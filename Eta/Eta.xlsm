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0" yWindow="0" windowWidth="17955" windowHeight="6750"/>
  </bookViews>
  <sheets>
    <sheet name="Data" sheetId="2" r:id="rId1"/>
    <sheet name="Planilha1" sheetId="1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2" i="2"/>
  <c r="S3" i="2"/>
  <c r="S11" i="2"/>
  <c r="S19" i="2"/>
  <c r="S27" i="2"/>
  <c r="S35" i="2"/>
  <c r="S43" i="2"/>
  <c r="S51" i="2"/>
  <c r="S59" i="2"/>
  <c r="S67" i="2"/>
  <c r="S75" i="2"/>
  <c r="S83" i="2"/>
  <c r="S91" i="2"/>
  <c r="S99" i="2"/>
  <c r="S107" i="2"/>
  <c r="S115" i="2"/>
  <c r="S123" i="2"/>
  <c r="S131" i="2"/>
  <c r="S139" i="2"/>
  <c r="S147" i="2"/>
  <c r="S155" i="2"/>
  <c r="S163" i="2"/>
  <c r="S171" i="2"/>
  <c r="S179" i="2"/>
  <c r="S187" i="2"/>
  <c r="S195" i="2"/>
  <c r="S203" i="2"/>
  <c r="S211" i="2"/>
  <c r="S219" i="2"/>
  <c r="S227" i="2"/>
  <c r="S235" i="2"/>
  <c r="S243" i="2"/>
  <c r="S251" i="2"/>
  <c r="S259" i="2"/>
  <c r="S267" i="2"/>
  <c r="S275" i="2"/>
  <c r="S283" i="2"/>
  <c r="S291" i="2"/>
  <c r="S299" i="2"/>
  <c r="S307" i="2"/>
  <c r="S315" i="2"/>
  <c r="S323" i="2"/>
  <c r="S331" i="2"/>
  <c r="S339" i="2"/>
  <c r="S347" i="2"/>
  <c r="S355" i="2"/>
  <c r="S363" i="2"/>
  <c r="S371" i="2"/>
  <c r="S379" i="2"/>
  <c r="S387" i="2"/>
  <c r="S395" i="2"/>
  <c r="S403" i="2"/>
  <c r="S411" i="2"/>
  <c r="S419" i="2"/>
  <c r="S427" i="2"/>
  <c r="S41" i="2"/>
  <c r="S73" i="2"/>
  <c r="S113" i="2"/>
  <c r="S169" i="2"/>
  <c r="S217" i="2"/>
  <c r="S273" i="2"/>
  <c r="S337" i="2"/>
  <c r="S393" i="2"/>
  <c r="S4" i="2"/>
  <c r="S12" i="2"/>
  <c r="S20" i="2"/>
  <c r="S28" i="2"/>
  <c r="S36" i="2"/>
  <c r="S44" i="2"/>
  <c r="S52" i="2"/>
  <c r="S60" i="2"/>
  <c r="S68" i="2"/>
  <c r="S76" i="2"/>
  <c r="S84" i="2"/>
  <c r="S92" i="2"/>
  <c r="S100" i="2"/>
  <c r="S108" i="2"/>
  <c r="S116" i="2"/>
  <c r="S124" i="2"/>
  <c r="S132" i="2"/>
  <c r="S140" i="2"/>
  <c r="S148" i="2"/>
  <c r="S156" i="2"/>
  <c r="S164" i="2"/>
  <c r="S172" i="2"/>
  <c r="S180" i="2"/>
  <c r="S188" i="2"/>
  <c r="S196" i="2"/>
  <c r="S204" i="2"/>
  <c r="S212" i="2"/>
  <c r="S220" i="2"/>
  <c r="S228" i="2"/>
  <c r="S236" i="2"/>
  <c r="S244" i="2"/>
  <c r="S252" i="2"/>
  <c r="S260" i="2"/>
  <c r="S268" i="2"/>
  <c r="S276" i="2"/>
  <c r="S284" i="2"/>
  <c r="S292" i="2"/>
  <c r="S300" i="2"/>
  <c r="S308" i="2"/>
  <c r="S316" i="2"/>
  <c r="S324" i="2"/>
  <c r="S332" i="2"/>
  <c r="S340" i="2"/>
  <c r="S348" i="2"/>
  <c r="S356" i="2"/>
  <c r="S364" i="2"/>
  <c r="S372" i="2"/>
  <c r="S380" i="2"/>
  <c r="S388" i="2"/>
  <c r="S396" i="2"/>
  <c r="S404" i="2"/>
  <c r="S412" i="2"/>
  <c r="S420" i="2"/>
  <c r="S428" i="2"/>
  <c r="S49" i="2"/>
  <c r="S97" i="2"/>
  <c r="S137" i="2"/>
  <c r="S193" i="2"/>
  <c r="S233" i="2"/>
  <c r="S281" i="2"/>
  <c r="S329" i="2"/>
  <c r="S385" i="2"/>
  <c r="S5" i="2"/>
  <c r="S13" i="2"/>
  <c r="S21" i="2"/>
  <c r="S29" i="2"/>
  <c r="S37" i="2"/>
  <c r="S45" i="2"/>
  <c r="S53" i="2"/>
  <c r="S61" i="2"/>
  <c r="S69" i="2"/>
  <c r="S77" i="2"/>
  <c r="S85" i="2"/>
  <c r="S93" i="2"/>
  <c r="S101" i="2"/>
  <c r="S109" i="2"/>
  <c r="S117" i="2"/>
  <c r="S125" i="2"/>
  <c r="S133" i="2"/>
  <c r="S141" i="2"/>
  <c r="S149" i="2"/>
  <c r="S157" i="2"/>
  <c r="S165" i="2"/>
  <c r="S173" i="2"/>
  <c r="S181" i="2"/>
  <c r="S189" i="2"/>
  <c r="S197" i="2"/>
  <c r="S205" i="2"/>
  <c r="S213" i="2"/>
  <c r="S221" i="2"/>
  <c r="S229" i="2"/>
  <c r="S237" i="2"/>
  <c r="S245" i="2"/>
  <c r="S253" i="2"/>
  <c r="S261" i="2"/>
  <c r="S269" i="2"/>
  <c r="S277" i="2"/>
  <c r="S285" i="2"/>
  <c r="S293" i="2"/>
  <c r="S301" i="2"/>
  <c r="S309" i="2"/>
  <c r="S317" i="2"/>
  <c r="S325" i="2"/>
  <c r="S333" i="2"/>
  <c r="S341" i="2"/>
  <c r="S349" i="2"/>
  <c r="S357" i="2"/>
  <c r="S365" i="2"/>
  <c r="S373" i="2"/>
  <c r="S381" i="2"/>
  <c r="S389" i="2"/>
  <c r="S397" i="2"/>
  <c r="S405" i="2"/>
  <c r="S413" i="2"/>
  <c r="S421" i="2"/>
  <c r="S429" i="2"/>
  <c r="S33" i="2"/>
  <c r="S81" i="2"/>
  <c r="S129" i="2"/>
  <c r="S177" i="2"/>
  <c r="S225" i="2"/>
  <c r="S289" i="2"/>
  <c r="S345" i="2"/>
  <c r="S401" i="2"/>
  <c r="S6" i="2"/>
  <c r="S14" i="2"/>
  <c r="S22" i="2"/>
  <c r="S30" i="2"/>
  <c r="S38" i="2"/>
  <c r="S46" i="2"/>
  <c r="S54" i="2"/>
  <c r="S62" i="2"/>
  <c r="S70" i="2"/>
  <c r="S78" i="2"/>
  <c r="S86" i="2"/>
  <c r="S94" i="2"/>
  <c r="S102" i="2"/>
  <c r="S110" i="2"/>
  <c r="S118" i="2"/>
  <c r="S126" i="2"/>
  <c r="S134" i="2"/>
  <c r="S142" i="2"/>
  <c r="S150" i="2"/>
  <c r="S158" i="2"/>
  <c r="S166" i="2"/>
  <c r="S174" i="2"/>
  <c r="S182" i="2"/>
  <c r="S190" i="2"/>
  <c r="S198" i="2"/>
  <c r="S206" i="2"/>
  <c r="S214" i="2"/>
  <c r="S222" i="2"/>
  <c r="S230" i="2"/>
  <c r="S238" i="2"/>
  <c r="S246" i="2"/>
  <c r="S254" i="2"/>
  <c r="S262" i="2"/>
  <c r="S270" i="2"/>
  <c r="S278" i="2"/>
  <c r="S286" i="2"/>
  <c r="S294" i="2"/>
  <c r="S302" i="2"/>
  <c r="S310" i="2"/>
  <c r="S318" i="2"/>
  <c r="S326" i="2"/>
  <c r="S334" i="2"/>
  <c r="S342" i="2"/>
  <c r="S350" i="2"/>
  <c r="S358" i="2"/>
  <c r="S366" i="2"/>
  <c r="S374" i="2"/>
  <c r="S382" i="2"/>
  <c r="S390" i="2"/>
  <c r="S398" i="2"/>
  <c r="S406" i="2"/>
  <c r="S414" i="2"/>
  <c r="S422" i="2"/>
  <c r="S430" i="2"/>
  <c r="S25" i="2"/>
  <c r="S161" i="2"/>
  <c r="S257" i="2"/>
  <c r="S321" i="2"/>
  <c r="S377" i="2"/>
  <c r="S425" i="2"/>
  <c r="S7" i="2"/>
  <c r="S15" i="2"/>
  <c r="S23" i="2"/>
  <c r="S31" i="2"/>
  <c r="S39" i="2"/>
  <c r="S47" i="2"/>
  <c r="S55" i="2"/>
  <c r="S63" i="2"/>
  <c r="S71" i="2"/>
  <c r="S79" i="2"/>
  <c r="S87" i="2"/>
  <c r="S95" i="2"/>
  <c r="S103" i="2"/>
  <c r="S111" i="2"/>
  <c r="S119" i="2"/>
  <c r="S127" i="2"/>
  <c r="S135" i="2"/>
  <c r="S143" i="2"/>
  <c r="S151" i="2"/>
  <c r="S159" i="2"/>
  <c r="S167" i="2"/>
  <c r="S175" i="2"/>
  <c r="S183" i="2"/>
  <c r="S191" i="2"/>
  <c r="S199" i="2"/>
  <c r="S207" i="2"/>
  <c r="S215" i="2"/>
  <c r="S223" i="2"/>
  <c r="S231" i="2"/>
  <c r="S239" i="2"/>
  <c r="S247" i="2"/>
  <c r="S255" i="2"/>
  <c r="S263" i="2"/>
  <c r="S271" i="2"/>
  <c r="S279" i="2"/>
  <c r="S287" i="2"/>
  <c r="S295" i="2"/>
  <c r="S303" i="2"/>
  <c r="S311" i="2"/>
  <c r="S319" i="2"/>
  <c r="S327" i="2"/>
  <c r="S335" i="2"/>
  <c r="S343" i="2"/>
  <c r="S351" i="2"/>
  <c r="S359" i="2"/>
  <c r="S367" i="2"/>
  <c r="S375" i="2"/>
  <c r="S383" i="2"/>
  <c r="S391" i="2"/>
  <c r="S399" i="2"/>
  <c r="S407" i="2"/>
  <c r="S415" i="2"/>
  <c r="S423" i="2"/>
  <c r="S431" i="2"/>
  <c r="S17" i="2"/>
  <c r="S65" i="2"/>
  <c r="S121" i="2"/>
  <c r="S185" i="2"/>
  <c r="S249" i="2"/>
  <c r="S305" i="2"/>
  <c r="S353" i="2"/>
  <c r="S409" i="2"/>
  <c r="S8" i="2"/>
  <c r="S16" i="2"/>
  <c r="S24" i="2"/>
  <c r="S32" i="2"/>
  <c r="S40" i="2"/>
  <c r="S48" i="2"/>
  <c r="S56" i="2"/>
  <c r="S64" i="2"/>
  <c r="S72" i="2"/>
  <c r="S80" i="2"/>
  <c r="S88" i="2"/>
  <c r="S96" i="2"/>
  <c r="S104" i="2"/>
  <c r="S112" i="2"/>
  <c r="S120" i="2"/>
  <c r="S128" i="2"/>
  <c r="S136" i="2"/>
  <c r="S144" i="2"/>
  <c r="S152" i="2"/>
  <c r="S160" i="2"/>
  <c r="S168" i="2"/>
  <c r="S176" i="2"/>
  <c r="S184" i="2"/>
  <c r="S192" i="2"/>
  <c r="S200" i="2"/>
  <c r="S208" i="2"/>
  <c r="S216" i="2"/>
  <c r="S224" i="2"/>
  <c r="S232" i="2"/>
  <c r="S240" i="2"/>
  <c r="S248" i="2"/>
  <c r="S256" i="2"/>
  <c r="S264" i="2"/>
  <c r="S272" i="2"/>
  <c r="S280" i="2"/>
  <c r="S288" i="2"/>
  <c r="S296" i="2"/>
  <c r="S304" i="2"/>
  <c r="S312" i="2"/>
  <c r="S320" i="2"/>
  <c r="S328" i="2"/>
  <c r="S336" i="2"/>
  <c r="S344" i="2"/>
  <c r="S352" i="2"/>
  <c r="S360" i="2"/>
  <c r="S368" i="2"/>
  <c r="S376" i="2"/>
  <c r="S384" i="2"/>
  <c r="S392" i="2"/>
  <c r="S400" i="2"/>
  <c r="S408" i="2"/>
  <c r="S416" i="2"/>
  <c r="S424" i="2"/>
  <c r="S432" i="2"/>
  <c r="S9" i="2"/>
  <c r="S89" i="2"/>
  <c r="S153" i="2"/>
  <c r="S209" i="2"/>
  <c r="S241" i="2"/>
  <c r="S297" i="2"/>
  <c r="S361" i="2"/>
  <c r="S417" i="2"/>
  <c r="S10" i="2"/>
  <c r="S18" i="2"/>
  <c r="S26" i="2"/>
  <c r="S34" i="2"/>
  <c r="S42" i="2"/>
  <c r="S50" i="2"/>
  <c r="S58" i="2"/>
  <c r="S66" i="2"/>
  <c r="S74" i="2"/>
  <c r="S82" i="2"/>
  <c r="S90" i="2"/>
  <c r="S98" i="2"/>
  <c r="S106" i="2"/>
  <c r="S114" i="2"/>
  <c r="S122" i="2"/>
  <c r="S130" i="2"/>
  <c r="S138" i="2"/>
  <c r="S146" i="2"/>
  <c r="S154" i="2"/>
  <c r="S162" i="2"/>
  <c r="S170" i="2"/>
  <c r="S178" i="2"/>
  <c r="S186" i="2"/>
  <c r="S194" i="2"/>
  <c r="S202" i="2"/>
  <c r="S210" i="2"/>
  <c r="S218" i="2"/>
  <c r="S226" i="2"/>
  <c r="S234" i="2"/>
  <c r="S242" i="2"/>
  <c r="S250" i="2"/>
  <c r="S258" i="2"/>
  <c r="S266" i="2"/>
  <c r="S274" i="2"/>
  <c r="S282" i="2"/>
  <c r="S290" i="2"/>
  <c r="S298" i="2"/>
  <c r="S306" i="2"/>
  <c r="S314" i="2"/>
  <c r="S322" i="2"/>
  <c r="S330" i="2"/>
  <c r="S338" i="2"/>
  <c r="S346" i="2"/>
  <c r="S354" i="2"/>
  <c r="S362" i="2"/>
  <c r="S370" i="2"/>
  <c r="S378" i="2"/>
  <c r="S386" i="2"/>
  <c r="S394" i="2"/>
  <c r="S402" i="2"/>
  <c r="S410" i="2"/>
  <c r="S418" i="2"/>
  <c r="S426" i="2"/>
  <c r="S57" i="2"/>
  <c r="S105" i="2"/>
  <c r="S145" i="2"/>
  <c r="S201" i="2"/>
  <c r="S265" i="2"/>
  <c r="S313" i="2"/>
  <c r="S369" i="2"/>
  <c r="S433" i="2"/>
  <c r="S2" i="2"/>
  <c r="R3" i="2"/>
  <c r="R11" i="2"/>
  <c r="R19" i="2"/>
  <c r="R27" i="2"/>
  <c r="R35" i="2"/>
  <c r="R43" i="2"/>
  <c r="R51" i="2"/>
  <c r="R59" i="2"/>
  <c r="R67" i="2"/>
  <c r="R75" i="2"/>
  <c r="R83" i="2"/>
  <c r="R91" i="2"/>
  <c r="R99" i="2"/>
  <c r="R107" i="2"/>
  <c r="R115" i="2"/>
  <c r="R123" i="2"/>
  <c r="R131" i="2"/>
  <c r="R139" i="2"/>
  <c r="R147" i="2"/>
  <c r="R155" i="2"/>
  <c r="R163" i="2"/>
  <c r="R171" i="2"/>
  <c r="R179" i="2"/>
  <c r="R187" i="2"/>
  <c r="R195" i="2"/>
  <c r="R203" i="2"/>
  <c r="R211" i="2"/>
  <c r="R219" i="2"/>
  <c r="R227" i="2"/>
  <c r="R235" i="2"/>
  <c r="R243" i="2"/>
  <c r="R251" i="2"/>
  <c r="R259" i="2"/>
  <c r="R267" i="2"/>
  <c r="R275" i="2"/>
  <c r="R283" i="2"/>
  <c r="R291" i="2"/>
  <c r="R299" i="2"/>
  <c r="R307" i="2"/>
  <c r="R315" i="2"/>
  <c r="R323" i="2"/>
  <c r="R331" i="2"/>
  <c r="R339" i="2"/>
  <c r="R347" i="2"/>
  <c r="R355" i="2"/>
  <c r="R363" i="2"/>
  <c r="R371" i="2"/>
  <c r="R379" i="2"/>
  <c r="R387" i="2"/>
  <c r="R395" i="2"/>
  <c r="R403" i="2"/>
  <c r="R411" i="2"/>
  <c r="R419" i="2"/>
  <c r="R427" i="2"/>
  <c r="R58" i="2"/>
  <c r="R106" i="2"/>
  <c r="R146" i="2"/>
  <c r="R202" i="2"/>
  <c r="R250" i="2"/>
  <c r="R314" i="2"/>
  <c r="R370" i="2"/>
  <c r="R4" i="2"/>
  <c r="R12" i="2"/>
  <c r="R20" i="2"/>
  <c r="R28" i="2"/>
  <c r="R36" i="2"/>
  <c r="R44" i="2"/>
  <c r="R52" i="2"/>
  <c r="R60" i="2"/>
  <c r="R68" i="2"/>
  <c r="R76" i="2"/>
  <c r="R84" i="2"/>
  <c r="R92" i="2"/>
  <c r="R100" i="2"/>
  <c r="R108" i="2"/>
  <c r="R116" i="2"/>
  <c r="R124" i="2"/>
  <c r="R132" i="2"/>
  <c r="R140" i="2"/>
  <c r="R148" i="2"/>
  <c r="R156" i="2"/>
  <c r="R164" i="2"/>
  <c r="R172" i="2"/>
  <c r="R180" i="2"/>
  <c r="R188" i="2"/>
  <c r="R196" i="2"/>
  <c r="R204" i="2"/>
  <c r="R212" i="2"/>
  <c r="R220" i="2"/>
  <c r="R228" i="2"/>
  <c r="R236" i="2"/>
  <c r="R244" i="2"/>
  <c r="R252" i="2"/>
  <c r="R260" i="2"/>
  <c r="R268" i="2"/>
  <c r="R276" i="2"/>
  <c r="R284" i="2"/>
  <c r="R292" i="2"/>
  <c r="R300" i="2"/>
  <c r="R308" i="2"/>
  <c r="R316" i="2"/>
  <c r="R324" i="2"/>
  <c r="R332" i="2"/>
  <c r="R340" i="2"/>
  <c r="R348" i="2"/>
  <c r="R356" i="2"/>
  <c r="R364" i="2"/>
  <c r="R372" i="2"/>
  <c r="R380" i="2"/>
  <c r="R388" i="2"/>
  <c r="R396" i="2"/>
  <c r="R404" i="2"/>
  <c r="R412" i="2"/>
  <c r="R420" i="2"/>
  <c r="R428" i="2"/>
  <c r="R50" i="2"/>
  <c r="R82" i="2"/>
  <c r="R130" i="2"/>
  <c r="R186" i="2"/>
  <c r="R234" i="2"/>
  <c r="R290" i="2"/>
  <c r="R346" i="2"/>
  <c r="R402" i="2"/>
  <c r="R5" i="2"/>
  <c r="R13" i="2"/>
  <c r="R21" i="2"/>
  <c r="R29" i="2"/>
  <c r="R37" i="2"/>
  <c r="R45" i="2"/>
  <c r="R53" i="2"/>
  <c r="R61" i="2"/>
  <c r="R69" i="2"/>
  <c r="R77" i="2"/>
  <c r="R85" i="2"/>
  <c r="R93" i="2"/>
  <c r="R101" i="2"/>
  <c r="R109" i="2"/>
  <c r="R117" i="2"/>
  <c r="R125" i="2"/>
  <c r="R133" i="2"/>
  <c r="R141" i="2"/>
  <c r="R149" i="2"/>
  <c r="R157" i="2"/>
  <c r="R165" i="2"/>
  <c r="R173" i="2"/>
  <c r="R181" i="2"/>
  <c r="R189" i="2"/>
  <c r="R197" i="2"/>
  <c r="R205" i="2"/>
  <c r="R213" i="2"/>
  <c r="R221" i="2"/>
  <c r="R229" i="2"/>
  <c r="R237" i="2"/>
  <c r="R245" i="2"/>
  <c r="R253" i="2"/>
  <c r="R261" i="2"/>
  <c r="R269" i="2"/>
  <c r="R277" i="2"/>
  <c r="R285" i="2"/>
  <c r="R293" i="2"/>
  <c r="R301" i="2"/>
  <c r="R309" i="2"/>
  <c r="R317" i="2"/>
  <c r="R325" i="2"/>
  <c r="R333" i="2"/>
  <c r="R341" i="2"/>
  <c r="R349" i="2"/>
  <c r="R357" i="2"/>
  <c r="R365" i="2"/>
  <c r="R373" i="2"/>
  <c r="R381" i="2"/>
  <c r="R389" i="2"/>
  <c r="R397" i="2"/>
  <c r="R405" i="2"/>
  <c r="R413" i="2"/>
  <c r="R421" i="2"/>
  <c r="R429" i="2"/>
  <c r="R42" i="2"/>
  <c r="R90" i="2"/>
  <c r="R138" i="2"/>
  <c r="R194" i="2"/>
  <c r="R242" i="2"/>
  <c r="R298" i="2"/>
  <c r="R354" i="2"/>
  <c r="R410" i="2"/>
  <c r="R6" i="2"/>
  <c r="R14" i="2"/>
  <c r="R22" i="2"/>
  <c r="R30" i="2"/>
  <c r="R38" i="2"/>
  <c r="R46" i="2"/>
  <c r="R54" i="2"/>
  <c r="R62" i="2"/>
  <c r="R70" i="2"/>
  <c r="R78" i="2"/>
  <c r="R86" i="2"/>
  <c r="R94" i="2"/>
  <c r="R102" i="2"/>
  <c r="R110" i="2"/>
  <c r="R118" i="2"/>
  <c r="R126" i="2"/>
  <c r="R134" i="2"/>
  <c r="R142" i="2"/>
  <c r="R150" i="2"/>
  <c r="R158" i="2"/>
  <c r="R166" i="2"/>
  <c r="R174" i="2"/>
  <c r="R182" i="2"/>
  <c r="R190" i="2"/>
  <c r="R198" i="2"/>
  <c r="R206" i="2"/>
  <c r="R214" i="2"/>
  <c r="R222" i="2"/>
  <c r="R230" i="2"/>
  <c r="R238" i="2"/>
  <c r="R246" i="2"/>
  <c r="R254" i="2"/>
  <c r="R262" i="2"/>
  <c r="R270" i="2"/>
  <c r="R278" i="2"/>
  <c r="R286" i="2"/>
  <c r="R294" i="2"/>
  <c r="R302" i="2"/>
  <c r="R310" i="2"/>
  <c r="R318" i="2"/>
  <c r="R326" i="2"/>
  <c r="R334" i="2"/>
  <c r="R342" i="2"/>
  <c r="R350" i="2"/>
  <c r="R358" i="2"/>
  <c r="R366" i="2"/>
  <c r="R374" i="2"/>
  <c r="R382" i="2"/>
  <c r="R390" i="2"/>
  <c r="R398" i="2"/>
  <c r="R406" i="2"/>
  <c r="R414" i="2"/>
  <c r="R422" i="2"/>
  <c r="R430" i="2"/>
  <c r="R34" i="2"/>
  <c r="R178" i="2"/>
  <c r="R258" i="2"/>
  <c r="R322" i="2"/>
  <c r="R394" i="2"/>
  <c r="R7" i="2"/>
  <c r="R15" i="2"/>
  <c r="R23" i="2"/>
  <c r="R31" i="2"/>
  <c r="R39" i="2"/>
  <c r="R47" i="2"/>
  <c r="R55" i="2"/>
  <c r="R63" i="2"/>
  <c r="R71" i="2"/>
  <c r="R79" i="2"/>
  <c r="R87" i="2"/>
  <c r="R95" i="2"/>
  <c r="R103" i="2"/>
  <c r="R111" i="2"/>
  <c r="R119" i="2"/>
  <c r="R127" i="2"/>
  <c r="R135" i="2"/>
  <c r="R143" i="2"/>
  <c r="R151" i="2"/>
  <c r="R159" i="2"/>
  <c r="R167" i="2"/>
  <c r="R175" i="2"/>
  <c r="R183" i="2"/>
  <c r="R191" i="2"/>
  <c r="R199" i="2"/>
  <c r="R207" i="2"/>
  <c r="R215" i="2"/>
  <c r="R223" i="2"/>
  <c r="R231" i="2"/>
  <c r="R239" i="2"/>
  <c r="R247" i="2"/>
  <c r="R255" i="2"/>
  <c r="R263" i="2"/>
  <c r="R271" i="2"/>
  <c r="R279" i="2"/>
  <c r="R287" i="2"/>
  <c r="R295" i="2"/>
  <c r="R303" i="2"/>
  <c r="R311" i="2"/>
  <c r="R319" i="2"/>
  <c r="R327" i="2"/>
  <c r="R335" i="2"/>
  <c r="R343" i="2"/>
  <c r="R351" i="2"/>
  <c r="R359" i="2"/>
  <c r="R367" i="2"/>
  <c r="R375" i="2"/>
  <c r="R383" i="2"/>
  <c r="R391" i="2"/>
  <c r="R399" i="2"/>
  <c r="R407" i="2"/>
  <c r="R415" i="2"/>
  <c r="R423" i="2"/>
  <c r="R431" i="2"/>
  <c r="R26" i="2"/>
  <c r="R98" i="2"/>
  <c r="R162" i="2"/>
  <c r="R218" i="2"/>
  <c r="R266" i="2"/>
  <c r="R330" i="2"/>
  <c r="R386" i="2"/>
  <c r="R8" i="2"/>
  <c r="R16" i="2"/>
  <c r="R24" i="2"/>
  <c r="R32" i="2"/>
  <c r="R40" i="2"/>
  <c r="R48" i="2"/>
  <c r="R56" i="2"/>
  <c r="R64" i="2"/>
  <c r="R72" i="2"/>
  <c r="R80" i="2"/>
  <c r="R88" i="2"/>
  <c r="R96" i="2"/>
  <c r="R104" i="2"/>
  <c r="R112" i="2"/>
  <c r="R120" i="2"/>
  <c r="R128" i="2"/>
  <c r="R136" i="2"/>
  <c r="R144" i="2"/>
  <c r="R152" i="2"/>
  <c r="R160" i="2"/>
  <c r="R168" i="2"/>
  <c r="R176" i="2"/>
  <c r="R184" i="2"/>
  <c r="R192" i="2"/>
  <c r="R200" i="2"/>
  <c r="R208" i="2"/>
  <c r="R216" i="2"/>
  <c r="R224" i="2"/>
  <c r="R232" i="2"/>
  <c r="R240" i="2"/>
  <c r="R248" i="2"/>
  <c r="R256" i="2"/>
  <c r="R264" i="2"/>
  <c r="R272" i="2"/>
  <c r="R280" i="2"/>
  <c r="R288" i="2"/>
  <c r="R296" i="2"/>
  <c r="R304" i="2"/>
  <c r="R312" i="2"/>
  <c r="R320" i="2"/>
  <c r="R328" i="2"/>
  <c r="R336" i="2"/>
  <c r="R344" i="2"/>
  <c r="R352" i="2"/>
  <c r="R360" i="2"/>
  <c r="R368" i="2"/>
  <c r="R376" i="2"/>
  <c r="R384" i="2"/>
  <c r="R392" i="2"/>
  <c r="R400" i="2"/>
  <c r="R408" i="2"/>
  <c r="R416" i="2"/>
  <c r="R424" i="2"/>
  <c r="R432" i="2"/>
  <c r="R18" i="2"/>
  <c r="R66" i="2"/>
  <c r="R114" i="2"/>
  <c r="R154" i="2"/>
  <c r="R210" i="2"/>
  <c r="R274" i="2"/>
  <c r="R338" i="2"/>
  <c r="R378" i="2"/>
  <c r="R426" i="2"/>
  <c r="R9" i="2"/>
  <c r="R17" i="2"/>
  <c r="R25" i="2"/>
  <c r="R33" i="2"/>
  <c r="R41" i="2"/>
  <c r="R49" i="2"/>
  <c r="R57" i="2"/>
  <c r="R65" i="2"/>
  <c r="R73" i="2"/>
  <c r="R81" i="2"/>
  <c r="R89" i="2"/>
  <c r="R97" i="2"/>
  <c r="R105" i="2"/>
  <c r="R113" i="2"/>
  <c r="R121" i="2"/>
  <c r="R129" i="2"/>
  <c r="R137" i="2"/>
  <c r="R145" i="2"/>
  <c r="R153" i="2"/>
  <c r="R161" i="2"/>
  <c r="R169" i="2"/>
  <c r="R177" i="2"/>
  <c r="R185" i="2"/>
  <c r="R193" i="2"/>
  <c r="R201" i="2"/>
  <c r="R209" i="2"/>
  <c r="R217" i="2"/>
  <c r="R225" i="2"/>
  <c r="R233" i="2"/>
  <c r="R241" i="2"/>
  <c r="R249" i="2"/>
  <c r="R257" i="2"/>
  <c r="R265" i="2"/>
  <c r="R273" i="2"/>
  <c r="R281" i="2"/>
  <c r="R289" i="2"/>
  <c r="R297" i="2"/>
  <c r="R305" i="2"/>
  <c r="R313" i="2"/>
  <c r="R321" i="2"/>
  <c r="R329" i="2"/>
  <c r="R337" i="2"/>
  <c r="R345" i="2"/>
  <c r="R353" i="2"/>
  <c r="R361" i="2"/>
  <c r="R369" i="2"/>
  <c r="R377" i="2"/>
  <c r="R385" i="2"/>
  <c r="R393" i="2"/>
  <c r="R401" i="2"/>
  <c r="R409" i="2"/>
  <c r="R417" i="2"/>
  <c r="R425" i="2"/>
  <c r="R433" i="2"/>
  <c r="R10" i="2"/>
  <c r="R74" i="2"/>
  <c r="R122" i="2"/>
  <c r="R170" i="2"/>
  <c r="R226" i="2"/>
  <c r="R282" i="2"/>
  <c r="R306" i="2"/>
  <c r="R362" i="2"/>
  <c r="R418" i="2"/>
  <c r="R2" i="2"/>
  <c r="A408" i="2" l="1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07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353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218" i="2"/>
</calcChain>
</file>

<file path=xl/sharedStrings.xml><?xml version="1.0" encoding="utf-8"?>
<sst xmlns="http://schemas.openxmlformats.org/spreadsheetml/2006/main" count="107" uniqueCount="72">
  <si>
    <t>Test</t>
  </si>
  <si>
    <t>L1D[mm]</t>
  </si>
  <si>
    <t>L1Pst</t>
  </si>
  <si>
    <t>L/Dreg</t>
  </si>
  <si>
    <t>T_H[K]</t>
  </si>
  <si>
    <t>T_C[K]</t>
  </si>
  <si>
    <t>dT[K]</t>
  </si>
  <si>
    <t>HB[-]</t>
  </si>
  <si>
    <t>CB[-]</t>
  </si>
  <si>
    <t>f[Hz]</t>
  </si>
  <si>
    <t>CB[kgh]</t>
  </si>
  <si>
    <t>HB[kgh]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</si>
  <si>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</si>
  <si>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</si>
  <si>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</si>
  <si>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</si>
  <si>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</si>
  <si>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</si>
  <si>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</si>
  <si>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</si>
  <si>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</si>
  <si>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</si>
  <si>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</si>
  <si>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</si>
  <si>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</si>
  <si>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</si>
  <si>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</si>
  <si>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</si>
  <si>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</si>
  <si>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</si>
  <si>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</si>
  <si>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</si>
  <si>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</si>
  <si>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</si>
  <si>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</si>
  <si>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</si>
  <si>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</si>
  <si>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</si>
  <si>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</si>
  <si>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Re_w[-]</t>
  </si>
  <si>
    <t>ReDp_CB[-]</t>
  </si>
  <si>
    <t>ReDp_HB[-]</t>
  </si>
  <si>
    <t>U_CB[-]</t>
  </si>
  <si>
    <t>U_HB[-]</t>
  </si>
  <si>
    <t>dPCB[kPa]</t>
  </si>
  <si>
    <t>dPHB[kPa]</t>
  </si>
  <si>
    <t>Tspan [K]</t>
  </si>
  <si>
    <t>dT_reg[K]</t>
  </si>
  <si>
    <t>Qc[W]</t>
  </si>
  <si>
    <t>Qh[W]</t>
  </si>
  <si>
    <t>Wpump[W]</t>
  </si>
  <si>
    <t>Wvalv[W]</t>
  </si>
  <si>
    <t>Wmotor[W]</t>
  </si>
  <si>
    <t>COP[-]</t>
  </si>
  <si>
    <t>D</t>
  </si>
  <si>
    <t>L</t>
  </si>
  <si>
    <t>d [m]</t>
  </si>
  <si>
    <t>L [m]</t>
  </si>
  <si>
    <t>D [m]</t>
  </si>
  <si>
    <t>m [kg]</t>
  </si>
  <si>
    <t>c</t>
  </si>
  <si>
    <t>dT</t>
  </si>
  <si>
    <t>cf</t>
  </si>
  <si>
    <t>phi</t>
  </si>
  <si>
    <t>mf</t>
  </si>
  <si>
    <t>L_a</t>
  </si>
  <si>
    <t>D_a</t>
  </si>
  <si>
    <t>Area</t>
  </si>
  <si>
    <t>h</t>
  </si>
  <si>
    <t>há</t>
  </si>
  <si>
    <t>Qc</t>
  </si>
  <si>
    <t>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</si>
</sst>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Convection"/>
      <definedName name="HeatTransferAre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A433"/>
  <sheetViews>
    <sheetView tabSelected="1" workbookViewId="0">
      <selection activeCell="X2" sqref="X2:X433"/>
    </sheetView>
  </sheetViews>
  <sheetFormatPr defaultRowHeight="15" x14ac:dyDescent="0.25"/>
  <cols>
    <col min="1" max="21" width="9.140625" style="1"/>
    <col min="22" max="23" width="12" style="1" bestFit="1" customWidth="1"/>
    <col min="24" max="24" width="12" style="1" customWidth="1"/>
    <col min="25" max="16384" width="9.140625" style="1"/>
  </cols>
  <sheetData>
    <row r="1" spans="1:27" x14ac:dyDescent="0.25">
      <c r="A1" s="1" t="s">
        <v>54</v>
      </c>
      <c r="B1" s="1" t="s">
        <v>1</v>
      </c>
      <c r="C1" s="1" t="s">
        <v>3</v>
      </c>
      <c r="D1" s="1" t="s">
        <v>55</v>
      </c>
      <c r="E1" s="1" t="s">
        <v>6</v>
      </c>
      <c r="F1" s="1" t="s">
        <v>9</v>
      </c>
      <c r="G1" s="1" t="s">
        <v>10</v>
      </c>
      <c r="H1" s="1" t="s">
        <v>48</v>
      </c>
      <c r="J1" s="1" t="s">
        <v>58</v>
      </c>
      <c r="K1" s="1" t="s">
        <v>57</v>
      </c>
      <c r="L1" s="1" t="s">
        <v>56</v>
      </c>
      <c r="M1" s="1" t="s">
        <v>59</v>
      </c>
      <c r="N1" s="1" t="s">
        <v>64</v>
      </c>
      <c r="O1" s="1" t="s">
        <v>60</v>
      </c>
      <c r="P1" s="1" t="s">
        <v>61</v>
      </c>
      <c r="Q1" s="1" t="s">
        <v>62</v>
      </c>
      <c r="R1" s="1" t="s">
        <v>67</v>
      </c>
      <c r="S1" s="1" t="s">
        <v>68</v>
      </c>
      <c r="U1" s="1" t="s">
        <v>63</v>
      </c>
      <c r="V1" s="1" t="s">
        <v>65</v>
      </c>
      <c r="W1" s="1" t="s">
        <v>66</v>
      </c>
      <c r="X1" s="1" t="s">
        <v>71</v>
      </c>
      <c r="Y1" s="1" t="s">
        <v>69</v>
      </c>
      <c r="Z1" s="1" t="s">
        <v>61</v>
      </c>
      <c r="AA1" s="1" t="s">
        <v>70</v>
      </c>
    </row>
    <row r="2" spans="1:27" x14ac:dyDescent="0.25">
      <c r="A2" s="1">
        <v>25</v>
      </c>
      <c r="B2" s="1">
        <v>0.3</v>
      </c>
      <c r="C2" s="1">
        <v>3</v>
      </c>
      <c r="D2" s="1">
        <f>C2*A2/1000</f>
        <v>7.4999999999999997E-2</v>
      </c>
      <c r="E2" s="1">
        <v>15</v>
      </c>
      <c r="F2" s="1">
        <v>0.5</v>
      </c>
      <c r="G2" s="1">
        <v>75</v>
      </c>
      <c r="H2" s="1">
        <v>22.139215459999999</v>
      </c>
      <c r="J2" s="1">
        <f>A2/1000</f>
        <v>2.5000000000000001E-2</v>
      </c>
      <c r="K2" s="1">
        <f>D2</f>
        <v>7.4999999999999997E-2</v>
      </c>
      <c r="L2" s="1">
        <f>B2/1000</f>
        <v>2.9999999999999997E-4</v>
      </c>
      <c r="M2" s="1">
        <f>PI()*J2^2*K2/4*(1-0.36)*7900</f>
        <v>0.18613936472519524</v>
      </c>
      <c r="N2" s="1">
        <f>G2/3600</f>
        <v>2.0833333333333332E-2</v>
      </c>
      <c r="O2" s="1">
        <v>370</v>
      </c>
      <c r="P2" s="1">
        <v>3</v>
      </c>
      <c r="Q2" s="1">
        <v>4148</v>
      </c>
      <c r="R2" s="1">
        <f>[1]!HeatTransferArea(J2,D2,0.36,L2)</f>
        <v>0.47123889803846908</v>
      </c>
      <c r="S2" s="1">
        <f>[1]!Convection(J2,N2,1000,9*10^-4,L2,0.6,0.36,7)</f>
        <v>33909.243146205263</v>
      </c>
      <c r="U2" s="1">
        <f>N2*Q2/(2*F2*M2*O2)</f>
        <v>1.2547510243379743</v>
      </c>
      <c r="V2" s="1">
        <f>K2^2*F2/(O2*P2)</f>
        <v>2.5337837837837837E-6</v>
      </c>
      <c r="W2" s="1">
        <f>J2^2*F2/(O2*P2)</f>
        <v>2.815315315315316E-7</v>
      </c>
      <c r="X2" s="1">
        <f>C2</f>
        <v>3</v>
      </c>
      <c r="Y2" s="1">
        <f>S2*R2/(F2*M2*O2)</f>
        <v>464.03343340684597</v>
      </c>
      <c r="Z2" s="1">
        <f>E2/P2</f>
        <v>5</v>
      </c>
      <c r="AA2" s="1">
        <f>H2/(M2*F2*O2*P2)</f>
        <v>0.21430436471725453</v>
      </c>
    </row>
    <row r="3" spans="1:27" x14ac:dyDescent="0.25">
      <c r="A3" s="1">
        <v>25</v>
      </c>
      <c r="B3" s="1">
        <v>0.3</v>
      </c>
      <c r="C3" s="1">
        <v>3</v>
      </c>
      <c r="D3" s="1">
        <f t="shared" ref="D3:D66" si="0">C3*A3/1000</f>
        <v>7.4999999999999997E-2</v>
      </c>
      <c r="E3" s="1">
        <v>15</v>
      </c>
      <c r="F3" s="1">
        <v>1</v>
      </c>
      <c r="G3" s="1">
        <v>75</v>
      </c>
      <c r="H3" s="1">
        <v>28.625495059999999</v>
      </c>
      <c r="J3" s="1">
        <f t="shared" ref="J3:J66" si="1">A3/1000</f>
        <v>2.5000000000000001E-2</v>
      </c>
      <c r="K3" s="1">
        <f t="shared" ref="K3:K66" si="2">D3</f>
        <v>7.4999999999999997E-2</v>
      </c>
      <c r="L3" s="1">
        <f t="shared" ref="L3:L66" si="3">B3/1000</f>
        <v>2.9999999999999997E-4</v>
      </c>
      <c r="M3" s="1">
        <f t="shared" ref="M3:M66" si="4">PI()*J3^2*K3/4*(1-0.36)*7900</f>
        <v>0.18613936472519524</v>
      </c>
      <c r="N3" s="1">
        <f t="shared" ref="N3:N66" si="5">G3/3600</f>
        <v>2.0833333333333332E-2</v>
      </c>
      <c r="O3" s="1">
        <v>370</v>
      </c>
      <c r="P3" s="1">
        <v>3</v>
      </c>
      <c r="Q3" s="1">
        <v>4148</v>
      </c>
      <c r="R3" s="1">
        <f>[1]!HeatTransferArea(J3,D3,0.36,L3)</f>
        <v>0.47123889803846908</v>
      </c>
      <c r="S3" s="1">
        <f>[1]!Convection(J3,N3,1000,9*10^-4,L3,0.6,0.36,7)</f>
        <v>33909.243146205263</v>
      </c>
      <c r="U3" s="1">
        <f t="shared" ref="U3:U66" si="6">N3*Q3/(2*F3*M3*O3)</f>
        <v>0.62737551216898713</v>
      </c>
      <c r="V3" s="1">
        <f t="shared" ref="V3:V66" si="7">K3^2*F3/(O3*P3)</f>
        <v>5.0675675675675673E-6</v>
      </c>
      <c r="W3" s="1">
        <f t="shared" ref="W3:W66" si="8">J3^2*F3/(O3*P3)</f>
        <v>5.630630630630632E-7</v>
      </c>
      <c r="X3" s="1">
        <f t="shared" ref="X3:X66" si="9">C3</f>
        <v>3</v>
      </c>
      <c r="Y3" s="1">
        <f t="shared" ref="Y3:Y66" si="10">S3*R3/(F3*M3*O3)</f>
        <v>232.01671670342299</v>
      </c>
      <c r="Z3" s="1">
        <f t="shared" ref="Z3:Z66" si="11">E3/P3</f>
        <v>5</v>
      </c>
      <c r="AA3" s="1">
        <f t="shared" ref="AA3:AA66" si="12">H3/(M3*F3*O3*P3)</f>
        <v>0.13854530086293781</v>
      </c>
    </row>
    <row r="4" spans="1:27" x14ac:dyDescent="0.25">
      <c r="A4" s="1">
        <v>25</v>
      </c>
      <c r="B4" s="1">
        <v>0.3</v>
      </c>
      <c r="C4" s="1">
        <v>3</v>
      </c>
      <c r="D4" s="1">
        <f t="shared" si="0"/>
        <v>7.4999999999999997E-2</v>
      </c>
      <c r="E4" s="1">
        <v>15</v>
      </c>
      <c r="F4" s="1">
        <v>1.5</v>
      </c>
      <c r="G4" s="1">
        <v>75</v>
      </c>
      <c r="H4" s="1">
        <v>28.949631279999998</v>
      </c>
      <c r="J4" s="1">
        <f t="shared" si="1"/>
        <v>2.5000000000000001E-2</v>
      </c>
      <c r="K4" s="1">
        <f t="shared" si="2"/>
        <v>7.4999999999999997E-2</v>
      </c>
      <c r="L4" s="1">
        <f t="shared" si="3"/>
        <v>2.9999999999999997E-4</v>
      </c>
      <c r="M4" s="1">
        <f t="shared" si="4"/>
        <v>0.18613936472519524</v>
      </c>
      <c r="N4" s="1">
        <f t="shared" si="5"/>
        <v>2.0833333333333332E-2</v>
      </c>
      <c r="O4" s="1">
        <v>370</v>
      </c>
      <c r="P4" s="1">
        <v>3</v>
      </c>
      <c r="Q4" s="1">
        <v>4148</v>
      </c>
      <c r="R4" s="1">
        <f>[1]!HeatTransferArea(J4,D4,0.36,L4)</f>
        <v>0.47123889803846908</v>
      </c>
      <c r="S4" s="1">
        <f>[1]!Convection(J4,N4,1000,9*10^-4,L4,0.6,0.36,7)</f>
        <v>33909.243146205263</v>
      </c>
      <c r="U4" s="1">
        <f t="shared" si="6"/>
        <v>0.41825034144599144</v>
      </c>
      <c r="V4" s="1">
        <f t="shared" si="7"/>
        <v>7.6013513513513518E-6</v>
      </c>
      <c r="W4" s="1">
        <f t="shared" si="8"/>
        <v>8.445945945945948E-7</v>
      </c>
      <c r="X4" s="1">
        <f t="shared" si="9"/>
        <v>3</v>
      </c>
      <c r="Y4" s="1">
        <f t="shared" si="10"/>
        <v>154.67781113561531</v>
      </c>
      <c r="Z4" s="1">
        <f t="shared" si="11"/>
        <v>5</v>
      </c>
      <c r="AA4" s="1">
        <f t="shared" si="12"/>
        <v>9.3409397628509583E-2</v>
      </c>
    </row>
    <row r="5" spans="1:27" x14ac:dyDescent="0.25">
      <c r="A5" s="1">
        <v>25</v>
      </c>
      <c r="B5" s="1">
        <v>0.3</v>
      </c>
      <c r="C5" s="1">
        <v>3</v>
      </c>
      <c r="D5" s="1">
        <f t="shared" si="0"/>
        <v>7.4999999999999997E-2</v>
      </c>
      <c r="E5" s="1">
        <v>20</v>
      </c>
      <c r="F5" s="1">
        <v>0.5</v>
      </c>
      <c r="G5" s="1">
        <v>75</v>
      </c>
      <c r="H5" s="1">
        <v>9.7692464300000008</v>
      </c>
      <c r="J5" s="1">
        <f t="shared" si="1"/>
        <v>2.5000000000000001E-2</v>
      </c>
      <c r="K5" s="1">
        <f t="shared" si="2"/>
        <v>7.4999999999999997E-2</v>
      </c>
      <c r="L5" s="1">
        <f t="shared" si="3"/>
        <v>2.9999999999999997E-4</v>
      </c>
      <c r="M5" s="1">
        <f t="shared" si="4"/>
        <v>0.18613936472519524</v>
      </c>
      <c r="N5" s="1">
        <f t="shared" si="5"/>
        <v>2.0833333333333332E-2</v>
      </c>
      <c r="O5" s="1">
        <v>370</v>
      </c>
      <c r="P5" s="1">
        <v>3</v>
      </c>
      <c r="Q5" s="1">
        <v>4148</v>
      </c>
      <c r="R5" s="1">
        <f>[1]!HeatTransferArea(J5,D5,0.36,L5)</f>
        <v>0.47123889803846908</v>
      </c>
      <c r="S5" s="1">
        <f>[1]!Convection(J5,N5,1000,9*10^-4,L5,0.6,0.36,7)</f>
        <v>33909.243146205263</v>
      </c>
      <c r="U5" s="1">
        <f t="shared" si="6"/>
        <v>1.2547510243379743</v>
      </c>
      <c r="V5" s="1">
        <f t="shared" si="7"/>
        <v>2.5337837837837837E-6</v>
      </c>
      <c r="W5" s="1">
        <f t="shared" si="8"/>
        <v>2.815315315315316E-7</v>
      </c>
      <c r="X5" s="1">
        <f t="shared" si="9"/>
        <v>3</v>
      </c>
      <c r="Y5" s="1">
        <f t="shared" si="10"/>
        <v>464.03343340684597</v>
      </c>
      <c r="Z5" s="1">
        <f t="shared" si="11"/>
        <v>6.666666666666667</v>
      </c>
      <c r="AA5" s="1">
        <f t="shared" si="12"/>
        <v>9.4564875333096252E-2</v>
      </c>
    </row>
    <row r="6" spans="1:27" x14ac:dyDescent="0.25">
      <c r="A6" s="1">
        <v>25</v>
      </c>
      <c r="B6" s="1">
        <v>0.3</v>
      </c>
      <c r="C6" s="1">
        <v>3</v>
      </c>
      <c r="D6" s="1">
        <f t="shared" si="0"/>
        <v>7.4999999999999997E-2</v>
      </c>
      <c r="E6" s="1">
        <v>20</v>
      </c>
      <c r="F6" s="1">
        <v>1</v>
      </c>
      <c r="G6" s="1">
        <v>75</v>
      </c>
      <c r="H6" s="1">
        <v>18.095194320000001</v>
      </c>
      <c r="J6" s="1">
        <f t="shared" si="1"/>
        <v>2.5000000000000001E-2</v>
      </c>
      <c r="K6" s="1">
        <f t="shared" si="2"/>
        <v>7.4999999999999997E-2</v>
      </c>
      <c r="L6" s="1">
        <f t="shared" si="3"/>
        <v>2.9999999999999997E-4</v>
      </c>
      <c r="M6" s="1">
        <f t="shared" si="4"/>
        <v>0.18613936472519524</v>
      </c>
      <c r="N6" s="1">
        <f t="shared" si="5"/>
        <v>2.0833333333333332E-2</v>
      </c>
      <c r="O6" s="1">
        <v>370</v>
      </c>
      <c r="P6" s="1">
        <v>3</v>
      </c>
      <c r="Q6" s="1">
        <v>4148</v>
      </c>
      <c r="R6" s="1">
        <f>[1]!HeatTransferArea(J6,D6,0.36,L6)</f>
        <v>0.47123889803846908</v>
      </c>
      <c r="S6" s="1">
        <f>[1]!Convection(J6,N6,1000,9*10^-4,L6,0.6,0.36,7)</f>
        <v>33909.243146205263</v>
      </c>
      <c r="U6" s="1">
        <f t="shared" si="6"/>
        <v>0.62737551216898713</v>
      </c>
      <c r="V6" s="1">
        <f t="shared" si="7"/>
        <v>5.0675675675675673E-6</v>
      </c>
      <c r="W6" s="1">
        <f t="shared" si="8"/>
        <v>5.630630630630632E-7</v>
      </c>
      <c r="X6" s="1">
        <f t="shared" si="9"/>
        <v>3</v>
      </c>
      <c r="Y6" s="1">
        <f t="shared" si="10"/>
        <v>232.01671670342299</v>
      </c>
      <c r="Z6" s="1">
        <f t="shared" si="11"/>
        <v>6.666666666666667</v>
      </c>
      <c r="AA6" s="1">
        <f t="shared" si="12"/>
        <v>8.7579416040943867E-2</v>
      </c>
    </row>
    <row r="7" spans="1:27" x14ac:dyDescent="0.25">
      <c r="A7" s="1">
        <v>25</v>
      </c>
      <c r="B7" s="1">
        <v>0.3</v>
      </c>
      <c r="C7" s="1">
        <v>3</v>
      </c>
      <c r="D7" s="1">
        <f t="shared" si="0"/>
        <v>7.4999999999999997E-2</v>
      </c>
      <c r="E7" s="1">
        <v>20</v>
      </c>
      <c r="F7" s="1">
        <v>1.5</v>
      </c>
      <c r="G7" s="1">
        <v>75</v>
      </c>
      <c r="H7" s="1">
        <v>18.778308859999999</v>
      </c>
      <c r="J7" s="1">
        <f t="shared" si="1"/>
        <v>2.5000000000000001E-2</v>
      </c>
      <c r="K7" s="1">
        <f t="shared" si="2"/>
        <v>7.4999999999999997E-2</v>
      </c>
      <c r="L7" s="1">
        <f t="shared" si="3"/>
        <v>2.9999999999999997E-4</v>
      </c>
      <c r="M7" s="1">
        <f t="shared" si="4"/>
        <v>0.18613936472519524</v>
      </c>
      <c r="N7" s="1">
        <f t="shared" si="5"/>
        <v>2.0833333333333332E-2</v>
      </c>
      <c r="O7" s="1">
        <v>370</v>
      </c>
      <c r="P7" s="1">
        <v>3</v>
      </c>
      <c r="Q7" s="1">
        <v>4148</v>
      </c>
      <c r="R7" s="1">
        <f>[1]!HeatTransferArea(J7,D7,0.36,L7)</f>
        <v>0.47123889803846908</v>
      </c>
      <c r="S7" s="1">
        <f>[1]!Convection(J7,N7,1000,9*10^-4,L7,0.6,0.36,7)</f>
        <v>33909.243146205263</v>
      </c>
      <c r="U7" s="1">
        <f t="shared" si="6"/>
        <v>0.41825034144599144</v>
      </c>
      <c r="V7" s="1">
        <f t="shared" si="7"/>
        <v>7.6013513513513518E-6</v>
      </c>
      <c r="W7" s="1">
        <f t="shared" si="8"/>
        <v>8.445945945945948E-7</v>
      </c>
      <c r="X7" s="1">
        <f t="shared" si="9"/>
        <v>3</v>
      </c>
      <c r="Y7" s="1">
        <f t="shared" si="10"/>
        <v>154.67781113561531</v>
      </c>
      <c r="Z7" s="1">
        <f t="shared" si="11"/>
        <v>6.666666666666667</v>
      </c>
      <c r="AA7" s="1">
        <f t="shared" si="12"/>
        <v>6.0590426942899032E-2</v>
      </c>
    </row>
    <row r="8" spans="1:27" x14ac:dyDescent="0.25">
      <c r="A8" s="1">
        <v>25</v>
      </c>
      <c r="B8" s="1">
        <v>0.3</v>
      </c>
      <c r="C8" s="1">
        <v>4</v>
      </c>
      <c r="D8" s="1">
        <f t="shared" si="0"/>
        <v>0.1</v>
      </c>
      <c r="E8" s="1">
        <v>15</v>
      </c>
      <c r="F8" s="1">
        <v>0.5</v>
      </c>
      <c r="G8" s="1">
        <v>75</v>
      </c>
      <c r="H8" s="1">
        <v>26.9402908</v>
      </c>
      <c r="J8" s="1">
        <f t="shared" si="1"/>
        <v>2.5000000000000001E-2</v>
      </c>
      <c r="K8" s="1">
        <f t="shared" si="2"/>
        <v>0.1</v>
      </c>
      <c r="L8" s="1">
        <f t="shared" si="3"/>
        <v>2.9999999999999997E-4</v>
      </c>
      <c r="M8" s="1">
        <f t="shared" si="4"/>
        <v>0.24818581963359368</v>
      </c>
      <c r="N8" s="1">
        <f t="shared" si="5"/>
        <v>2.0833333333333332E-2</v>
      </c>
      <c r="O8" s="1">
        <v>370</v>
      </c>
      <c r="P8" s="1">
        <v>3</v>
      </c>
      <c r="Q8" s="1">
        <v>4148</v>
      </c>
      <c r="R8" s="1">
        <f>[1]!HeatTransferArea(J8,D8,0.36,L8)</f>
        <v>0.62831853071795885</v>
      </c>
      <c r="S8" s="1">
        <f>[1]!Convection(J8,N8,1000,9*10^-4,L8,0.6,0.36,7)</f>
        <v>33909.243146205263</v>
      </c>
      <c r="U8" s="1">
        <f t="shared" si="6"/>
        <v>0.94106326825348063</v>
      </c>
      <c r="V8" s="1">
        <f t="shared" si="7"/>
        <v>4.5045045045045056E-6</v>
      </c>
      <c r="W8" s="1">
        <f t="shared" si="8"/>
        <v>2.815315315315316E-7</v>
      </c>
      <c r="X8" s="1">
        <f t="shared" si="9"/>
        <v>4</v>
      </c>
      <c r="Y8" s="1">
        <f t="shared" si="10"/>
        <v>464.03343340684597</v>
      </c>
      <c r="Z8" s="1">
        <f t="shared" si="11"/>
        <v>5</v>
      </c>
      <c r="AA8" s="1">
        <f t="shared" si="12"/>
        <v>0.19558355338821354</v>
      </c>
    </row>
    <row r="9" spans="1:27" x14ac:dyDescent="0.25">
      <c r="A9" s="1">
        <v>25</v>
      </c>
      <c r="B9" s="1">
        <v>0.3</v>
      </c>
      <c r="C9" s="1">
        <v>4</v>
      </c>
      <c r="D9" s="1">
        <f t="shared" si="0"/>
        <v>0.1</v>
      </c>
      <c r="E9" s="1">
        <v>15</v>
      </c>
      <c r="F9" s="1">
        <v>1</v>
      </c>
      <c r="G9" s="1">
        <v>75</v>
      </c>
      <c r="H9" s="1">
        <v>28.4256916</v>
      </c>
      <c r="J9" s="1">
        <f t="shared" si="1"/>
        <v>2.5000000000000001E-2</v>
      </c>
      <c r="K9" s="1">
        <f t="shared" si="2"/>
        <v>0.1</v>
      </c>
      <c r="L9" s="1">
        <f t="shared" si="3"/>
        <v>2.9999999999999997E-4</v>
      </c>
      <c r="M9" s="1">
        <f t="shared" si="4"/>
        <v>0.24818581963359368</v>
      </c>
      <c r="N9" s="1">
        <f t="shared" si="5"/>
        <v>2.0833333333333332E-2</v>
      </c>
      <c r="O9" s="1">
        <v>370</v>
      </c>
      <c r="P9" s="1">
        <v>3</v>
      </c>
      <c r="Q9" s="1">
        <v>4148</v>
      </c>
      <c r="R9" s="1">
        <f>[1]!HeatTransferArea(J9,D9,0.36,L9)</f>
        <v>0.62831853071795885</v>
      </c>
      <c r="S9" s="1">
        <f>[1]!Convection(J9,N9,1000,9*10^-4,L9,0.6,0.36,7)</f>
        <v>33909.243146205263</v>
      </c>
      <c r="U9" s="1">
        <f t="shared" si="6"/>
        <v>0.47053163412674032</v>
      </c>
      <c r="V9" s="1">
        <f t="shared" si="7"/>
        <v>9.0090090090090112E-6</v>
      </c>
      <c r="W9" s="1">
        <f t="shared" si="8"/>
        <v>5.630630630630632E-7</v>
      </c>
      <c r="X9" s="1">
        <f t="shared" si="9"/>
        <v>4</v>
      </c>
      <c r="Y9" s="1">
        <f t="shared" si="10"/>
        <v>232.01671670342299</v>
      </c>
      <c r="Z9" s="1">
        <f t="shared" si="11"/>
        <v>5</v>
      </c>
      <c r="AA9" s="1">
        <f t="shared" si="12"/>
        <v>0.10318370005578212</v>
      </c>
    </row>
    <row r="10" spans="1:27" x14ac:dyDescent="0.25">
      <c r="A10" s="1">
        <v>25</v>
      </c>
      <c r="B10" s="1">
        <v>0.3</v>
      </c>
      <c r="C10" s="1">
        <v>4</v>
      </c>
      <c r="D10" s="1">
        <f t="shared" si="0"/>
        <v>0.1</v>
      </c>
      <c r="E10" s="1">
        <v>15</v>
      </c>
      <c r="F10" s="1">
        <v>1.5</v>
      </c>
      <c r="G10" s="1">
        <v>75</v>
      </c>
      <c r="H10" s="1">
        <v>28.545139339999999</v>
      </c>
      <c r="J10" s="1">
        <f t="shared" si="1"/>
        <v>2.5000000000000001E-2</v>
      </c>
      <c r="K10" s="1">
        <f t="shared" si="2"/>
        <v>0.1</v>
      </c>
      <c r="L10" s="1">
        <f t="shared" si="3"/>
        <v>2.9999999999999997E-4</v>
      </c>
      <c r="M10" s="1">
        <f t="shared" si="4"/>
        <v>0.24818581963359368</v>
      </c>
      <c r="N10" s="1">
        <f t="shared" si="5"/>
        <v>2.0833333333333332E-2</v>
      </c>
      <c r="O10" s="1">
        <v>370</v>
      </c>
      <c r="P10" s="1">
        <v>3</v>
      </c>
      <c r="Q10" s="1">
        <v>4148</v>
      </c>
      <c r="R10" s="1">
        <f>[1]!HeatTransferArea(J10,D10,0.36,L10)</f>
        <v>0.62831853071795885</v>
      </c>
      <c r="S10" s="1">
        <f>[1]!Convection(J10,N10,1000,9*10^-4,L10,0.6,0.36,7)</f>
        <v>33909.243146205263</v>
      </c>
      <c r="U10" s="1">
        <f t="shared" si="6"/>
        <v>0.31368775608449356</v>
      </c>
      <c r="V10" s="1">
        <f t="shared" si="7"/>
        <v>1.3513513513513517E-5</v>
      </c>
      <c r="W10" s="1">
        <f t="shared" si="8"/>
        <v>8.445945945945948E-7</v>
      </c>
      <c r="X10" s="1">
        <f t="shared" si="9"/>
        <v>4</v>
      </c>
      <c r="Y10" s="1">
        <f t="shared" si="10"/>
        <v>154.67781113561531</v>
      </c>
      <c r="Z10" s="1">
        <f t="shared" si="11"/>
        <v>5</v>
      </c>
      <c r="AA10" s="1">
        <f t="shared" si="12"/>
        <v>6.9078192529865398E-2</v>
      </c>
    </row>
    <row r="11" spans="1:27" x14ac:dyDescent="0.25">
      <c r="A11" s="1">
        <v>25</v>
      </c>
      <c r="B11" s="1">
        <v>0.3</v>
      </c>
      <c r="C11" s="1">
        <v>4</v>
      </c>
      <c r="D11" s="1">
        <f t="shared" si="0"/>
        <v>0.1</v>
      </c>
      <c r="E11" s="1">
        <v>20</v>
      </c>
      <c r="F11" s="1">
        <v>0.5</v>
      </c>
      <c r="G11" s="1">
        <v>75</v>
      </c>
      <c r="H11" s="1">
        <v>15.833522049999999</v>
      </c>
      <c r="J11" s="1">
        <f t="shared" si="1"/>
        <v>2.5000000000000001E-2</v>
      </c>
      <c r="K11" s="1">
        <f t="shared" si="2"/>
        <v>0.1</v>
      </c>
      <c r="L11" s="1">
        <f t="shared" si="3"/>
        <v>2.9999999999999997E-4</v>
      </c>
      <c r="M11" s="1">
        <f t="shared" si="4"/>
        <v>0.24818581963359368</v>
      </c>
      <c r="N11" s="1">
        <f t="shared" si="5"/>
        <v>2.0833333333333332E-2</v>
      </c>
      <c r="O11" s="1">
        <v>370</v>
      </c>
      <c r="P11" s="1">
        <v>3</v>
      </c>
      <c r="Q11" s="1">
        <v>4148</v>
      </c>
      <c r="R11" s="1">
        <f>[1]!HeatTransferArea(J11,D11,0.36,L11)</f>
        <v>0.62831853071795885</v>
      </c>
      <c r="S11" s="1">
        <f>[1]!Convection(J11,N11,1000,9*10^-4,L11,0.6,0.36,7)</f>
        <v>33909.243146205263</v>
      </c>
      <c r="U11" s="1">
        <f t="shared" si="6"/>
        <v>0.94106326825348063</v>
      </c>
      <c r="V11" s="1">
        <f t="shared" si="7"/>
        <v>4.5045045045045056E-6</v>
      </c>
      <c r="W11" s="1">
        <f t="shared" si="8"/>
        <v>2.815315315315316E-7</v>
      </c>
      <c r="X11" s="1">
        <f t="shared" si="9"/>
        <v>4</v>
      </c>
      <c r="Y11" s="1">
        <f t="shared" si="10"/>
        <v>464.03343340684597</v>
      </c>
      <c r="Z11" s="1">
        <f t="shared" si="11"/>
        <v>6.666666666666667</v>
      </c>
      <c r="AA11" s="1">
        <f t="shared" si="12"/>
        <v>0.1149496316940139</v>
      </c>
    </row>
    <row r="12" spans="1:27" x14ac:dyDescent="0.25">
      <c r="A12" s="1">
        <v>25</v>
      </c>
      <c r="B12" s="1">
        <v>0.3</v>
      </c>
      <c r="C12" s="1">
        <v>4</v>
      </c>
      <c r="D12" s="1">
        <f t="shared" si="0"/>
        <v>0.1</v>
      </c>
      <c r="E12" s="1">
        <v>20</v>
      </c>
      <c r="F12" s="1">
        <v>1</v>
      </c>
      <c r="G12" s="1">
        <v>75</v>
      </c>
      <c r="H12" s="1">
        <v>18.262672760000001</v>
      </c>
      <c r="J12" s="1">
        <f t="shared" si="1"/>
        <v>2.5000000000000001E-2</v>
      </c>
      <c r="K12" s="1">
        <f t="shared" si="2"/>
        <v>0.1</v>
      </c>
      <c r="L12" s="1">
        <f t="shared" si="3"/>
        <v>2.9999999999999997E-4</v>
      </c>
      <c r="M12" s="1">
        <f t="shared" si="4"/>
        <v>0.24818581963359368</v>
      </c>
      <c r="N12" s="1">
        <f t="shared" si="5"/>
        <v>2.0833333333333332E-2</v>
      </c>
      <c r="O12" s="1">
        <v>370</v>
      </c>
      <c r="P12" s="1">
        <v>3</v>
      </c>
      <c r="Q12" s="1">
        <v>4148</v>
      </c>
      <c r="R12" s="1">
        <f>[1]!HeatTransferArea(J12,D12,0.36,L12)</f>
        <v>0.62831853071795885</v>
      </c>
      <c r="S12" s="1">
        <f>[1]!Convection(J12,N12,1000,9*10^-4,L12,0.6,0.36,7)</f>
        <v>33909.243146205263</v>
      </c>
      <c r="U12" s="1">
        <f t="shared" si="6"/>
        <v>0.47053163412674032</v>
      </c>
      <c r="V12" s="1">
        <f t="shared" si="7"/>
        <v>9.0090090090090112E-6</v>
      </c>
      <c r="W12" s="1">
        <f t="shared" si="8"/>
        <v>5.630630630630632E-7</v>
      </c>
      <c r="X12" s="1">
        <f t="shared" si="9"/>
        <v>4</v>
      </c>
      <c r="Y12" s="1">
        <f t="shared" si="10"/>
        <v>232.01671670342299</v>
      </c>
      <c r="Z12" s="1">
        <f t="shared" si="11"/>
        <v>6.666666666666667</v>
      </c>
      <c r="AA12" s="1">
        <f t="shared" si="12"/>
        <v>6.6292499574038252E-2</v>
      </c>
    </row>
    <row r="13" spans="1:27" x14ac:dyDescent="0.25">
      <c r="A13" s="1">
        <v>25</v>
      </c>
      <c r="B13" s="1">
        <v>0.3</v>
      </c>
      <c r="C13" s="1">
        <v>4</v>
      </c>
      <c r="D13" s="1">
        <f t="shared" si="0"/>
        <v>0.1</v>
      </c>
      <c r="E13" s="1">
        <v>20</v>
      </c>
      <c r="F13" s="1">
        <v>1.5</v>
      </c>
      <c r="G13" s="1">
        <v>75</v>
      </c>
      <c r="H13" s="1">
        <v>18.57920571</v>
      </c>
      <c r="J13" s="1">
        <f t="shared" si="1"/>
        <v>2.5000000000000001E-2</v>
      </c>
      <c r="K13" s="1">
        <f t="shared" si="2"/>
        <v>0.1</v>
      </c>
      <c r="L13" s="1">
        <f t="shared" si="3"/>
        <v>2.9999999999999997E-4</v>
      </c>
      <c r="M13" s="1">
        <f t="shared" si="4"/>
        <v>0.24818581963359368</v>
      </c>
      <c r="N13" s="1">
        <f t="shared" si="5"/>
        <v>2.0833333333333332E-2</v>
      </c>
      <c r="O13" s="1">
        <v>370</v>
      </c>
      <c r="P13" s="1">
        <v>3</v>
      </c>
      <c r="Q13" s="1">
        <v>4148</v>
      </c>
      <c r="R13" s="1">
        <f>[1]!HeatTransferArea(J13,D13,0.36,L13)</f>
        <v>0.62831853071795885</v>
      </c>
      <c r="S13" s="1">
        <f>[1]!Convection(J13,N13,1000,9*10^-4,L13,0.6,0.36,7)</f>
        <v>33909.243146205263</v>
      </c>
      <c r="U13" s="1">
        <f t="shared" si="6"/>
        <v>0.31368775608449356</v>
      </c>
      <c r="V13" s="1">
        <f t="shared" si="7"/>
        <v>1.3513513513513517E-5</v>
      </c>
      <c r="W13" s="1">
        <f t="shared" si="8"/>
        <v>8.445945945945948E-7</v>
      </c>
      <c r="X13" s="1">
        <f t="shared" si="9"/>
        <v>4</v>
      </c>
      <c r="Y13" s="1">
        <f t="shared" si="10"/>
        <v>154.67781113561531</v>
      </c>
      <c r="Z13" s="1">
        <f t="shared" si="11"/>
        <v>6.666666666666667</v>
      </c>
      <c r="AA13" s="1">
        <f t="shared" si="12"/>
        <v>4.4960997870797381E-2</v>
      </c>
    </row>
    <row r="14" spans="1:27" x14ac:dyDescent="0.25">
      <c r="A14" s="1">
        <v>25</v>
      </c>
      <c r="B14" s="1">
        <v>0.3</v>
      </c>
      <c r="C14" s="1">
        <v>5</v>
      </c>
      <c r="D14" s="1">
        <f t="shared" si="0"/>
        <v>0.125</v>
      </c>
      <c r="E14" s="1">
        <v>15</v>
      </c>
      <c r="F14" s="1">
        <v>0.5</v>
      </c>
      <c r="G14" s="1">
        <v>75</v>
      </c>
      <c r="H14" s="1">
        <v>27.570648819999999</v>
      </c>
      <c r="J14" s="1">
        <f t="shared" si="1"/>
        <v>2.5000000000000001E-2</v>
      </c>
      <c r="K14" s="1">
        <f t="shared" si="2"/>
        <v>0.125</v>
      </c>
      <c r="L14" s="1">
        <f t="shared" si="3"/>
        <v>2.9999999999999997E-4</v>
      </c>
      <c r="M14" s="1">
        <f t="shared" si="4"/>
        <v>0.31023227454199215</v>
      </c>
      <c r="N14" s="1">
        <f t="shared" si="5"/>
        <v>2.0833333333333332E-2</v>
      </c>
      <c r="O14" s="1">
        <v>370</v>
      </c>
      <c r="P14" s="1">
        <v>3</v>
      </c>
      <c r="Q14" s="1">
        <v>4148</v>
      </c>
      <c r="R14" s="1">
        <f>[1]!HeatTransferArea(J14,D14,0.36,L14)</f>
        <v>0.7853981633974485</v>
      </c>
      <c r="S14" s="1">
        <f>[1]!Convection(J14,N14,1000,9*10^-4,L14,0.6,0.36,7)</f>
        <v>33909.243146205263</v>
      </c>
      <c r="U14" s="1">
        <f t="shared" si="6"/>
        <v>0.75285061460278435</v>
      </c>
      <c r="V14" s="1">
        <f t="shared" si="7"/>
        <v>7.0382882882882884E-6</v>
      </c>
      <c r="W14" s="1">
        <f t="shared" si="8"/>
        <v>2.815315315315316E-7</v>
      </c>
      <c r="X14" s="1">
        <f t="shared" si="9"/>
        <v>5</v>
      </c>
      <c r="Y14" s="1">
        <f t="shared" si="10"/>
        <v>464.03343340684586</v>
      </c>
      <c r="Z14" s="1">
        <f t="shared" si="11"/>
        <v>5</v>
      </c>
      <c r="AA14" s="1">
        <f t="shared" si="12"/>
        <v>0.16012790672427799</v>
      </c>
    </row>
    <row r="15" spans="1:27" x14ac:dyDescent="0.25">
      <c r="A15" s="1">
        <v>25</v>
      </c>
      <c r="B15" s="1">
        <v>0.3</v>
      </c>
      <c r="C15" s="1">
        <v>5</v>
      </c>
      <c r="D15" s="1">
        <f t="shared" si="0"/>
        <v>0.125</v>
      </c>
      <c r="E15" s="1">
        <v>15</v>
      </c>
      <c r="F15" s="1">
        <v>1</v>
      </c>
      <c r="G15" s="1">
        <v>75</v>
      </c>
      <c r="H15" s="1">
        <v>28.155537020000001</v>
      </c>
      <c r="J15" s="1">
        <f t="shared" si="1"/>
        <v>2.5000000000000001E-2</v>
      </c>
      <c r="K15" s="1">
        <f t="shared" si="2"/>
        <v>0.125</v>
      </c>
      <c r="L15" s="1">
        <f t="shared" si="3"/>
        <v>2.9999999999999997E-4</v>
      </c>
      <c r="M15" s="1">
        <f t="shared" si="4"/>
        <v>0.31023227454199215</v>
      </c>
      <c r="N15" s="1">
        <f t="shared" si="5"/>
        <v>2.0833333333333332E-2</v>
      </c>
      <c r="O15" s="1">
        <v>370</v>
      </c>
      <c r="P15" s="1">
        <v>3</v>
      </c>
      <c r="Q15" s="1">
        <v>4148</v>
      </c>
      <c r="R15" s="1">
        <f>[1]!HeatTransferArea(J15,D15,0.36,L15)</f>
        <v>0.7853981633974485</v>
      </c>
      <c r="S15" s="1">
        <f>[1]!Convection(J15,N15,1000,9*10^-4,L15,0.6,0.36,7)</f>
        <v>33909.243146205263</v>
      </c>
      <c r="U15" s="1">
        <f t="shared" si="6"/>
        <v>0.37642530730139218</v>
      </c>
      <c r="V15" s="1">
        <f t="shared" si="7"/>
        <v>1.4076576576576577E-5</v>
      </c>
      <c r="W15" s="1">
        <f t="shared" si="8"/>
        <v>5.630630630630632E-7</v>
      </c>
      <c r="X15" s="1">
        <f t="shared" si="9"/>
        <v>5</v>
      </c>
      <c r="Y15" s="1">
        <f t="shared" si="10"/>
        <v>232.01671670342293</v>
      </c>
      <c r="Z15" s="1">
        <f t="shared" si="11"/>
        <v>5</v>
      </c>
      <c r="AA15" s="1">
        <f t="shared" si="12"/>
        <v>8.1762443008595767E-2</v>
      </c>
    </row>
    <row r="16" spans="1:27" x14ac:dyDescent="0.25">
      <c r="A16" s="1">
        <v>25</v>
      </c>
      <c r="B16" s="1">
        <v>0.3</v>
      </c>
      <c r="C16" s="1">
        <v>5</v>
      </c>
      <c r="D16" s="1">
        <f t="shared" si="0"/>
        <v>0.125</v>
      </c>
      <c r="E16" s="1">
        <v>15</v>
      </c>
      <c r="F16" s="1">
        <v>1.5</v>
      </c>
      <c r="G16" s="1">
        <v>75</v>
      </c>
      <c r="H16" s="1">
        <v>28.22622561</v>
      </c>
      <c r="J16" s="1">
        <f t="shared" si="1"/>
        <v>2.5000000000000001E-2</v>
      </c>
      <c r="K16" s="1">
        <f t="shared" si="2"/>
        <v>0.125</v>
      </c>
      <c r="L16" s="1">
        <f t="shared" si="3"/>
        <v>2.9999999999999997E-4</v>
      </c>
      <c r="M16" s="1">
        <f t="shared" si="4"/>
        <v>0.31023227454199215</v>
      </c>
      <c r="N16" s="1">
        <f t="shared" si="5"/>
        <v>2.0833333333333332E-2</v>
      </c>
      <c r="O16" s="1">
        <v>370</v>
      </c>
      <c r="P16" s="1">
        <v>3</v>
      </c>
      <c r="Q16" s="1">
        <v>4148</v>
      </c>
      <c r="R16" s="1">
        <f>[1]!HeatTransferArea(J16,D16,0.36,L16)</f>
        <v>0.7853981633974485</v>
      </c>
      <c r="S16" s="1">
        <f>[1]!Convection(J16,N16,1000,9*10^-4,L16,0.6,0.36,7)</f>
        <v>33909.243146205263</v>
      </c>
      <c r="U16" s="1">
        <f t="shared" si="6"/>
        <v>0.25095020486759478</v>
      </c>
      <c r="V16" s="1">
        <f t="shared" si="7"/>
        <v>2.1114864864864866E-5</v>
      </c>
      <c r="W16" s="1">
        <f t="shared" si="8"/>
        <v>8.445945945945948E-7</v>
      </c>
      <c r="X16" s="1">
        <f t="shared" si="9"/>
        <v>5</v>
      </c>
      <c r="Y16" s="1">
        <f t="shared" si="10"/>
        <v>154.67781113561529</v>
      </c>
      <c r="Z16" s="1">
        <f t="shared" si="11"/>
        <v>5</v>
      </c>
      <c r="AA16" s="1">
        <f t="shared" si="12"/>
        <v>5.4645146379698757E-2</v>
      </c>
    </row>
    <row r="17" spans="1:27" x14ac:dyDescent="0.25">
      <c r="A17" s="1">
        <v>25</v>
      </c>
      <c r="B17" s="1">
        <v>0.3</v>
      </c>
      <c r="C17" s="1">
        <v>5</v>
      </c>
      <c r="D17" s="1">
        <f t="shared" si="0"/>
        <v>0.125</v>
      </c>
      <c r="E17" s="1">
        <v>20</v>
      </c>
      <c r="F17" s="1">
        <v>0.5</v>
      </c>
      <c r="G17" s="1">
        <v>75</v>
      </c>
      <c r="H17" s="1">
        <v>16.951657539999999</v>
      </c>
      <c r="J17" s="1">
        <f t="shared" si="1"/>
        <v>2.5000000000000001E-2</v>
      </c>
      <c r="K17" s="1">
        <f t="shared" si="2"/>
        <v>0.125</v>
      </c>
      <c r="L17" s="1">
        <f t="shared" si="3"/>
        <v>2.9999999999999997E-4</v>
      </c>
      <c r="M17" s="1">
        <f t="shared" si="4"/>
        <v>0.31023227454199215</v>
      </c>
      <c r="N17" s="1">
        <f t="shared" si="5"/>
        <v>2.0833333333333332E-2</v>
      </c>
      <c r="O17" s="1">
        <v>370</v>
      </c>
      <c r="P17" s="1">
        <v>3</v>
      </c>
      <c r="Q17" s="1">
        <v>4148</v>
      </c>
      <c r="R17" s="1">
        <f>[1]!HeatTransferArea(J17,D17,0.36,L17)</f>
        <v>0.7853981633974485</v>
      </c>
      <c r="S17" s="1">
        <f>[1]!Convection(J17,N17,1000,9*10^-4,L17,0.6,0.36,7)</f>
        <v>33909.243146205263</v>
      </c>
      <c r="U17" s="1">
        <f t="shared" si="6"/>
        <v>0.75285061460278435</v>
      </c>
      <c r="V17" s="1">
        <f t="shared" si="7"/>
        <v>7.0382882882882884E-6</v>
      </c>
      <c r="W17" s="1">
        <f t="shared" si="8"/>
        <v>2.815315315315316E-7</v>
      </c>
      <c r="X17" s="1">
        <f t="shared" si="9"/>
        <v>5</v>
      </c>
      <c r="Y17" s="1">
        <f t="shared" si="10"/>
        <v>464.03343340684586</v>
      </c>
      <c r="Z17" s="1">
        <f t="shared" si="11"/>
        <v>6.666666666666667</v>
      </c>
      <c r="AA17" s="1">
        <f t="shared" si="12"/>
        <v>9.8453738071551972E-2</v>
      </c>
    </row>
    <row r="18" spans="1:27" x14ac:dyDescent="0.25">
      <c r="A18" s="1">
        <v>25</v>
      </c>
      <c r="B18" s="1">
        <v>0.3</v>
      </c>
      <c r="C18" s="1">
        <v>5</v>
      </c>
      <c r="D18" s="1">
        <f t="shared" si="0"/>
        <v>0.125</v>
      </c>
      <c r="E18" s="1">
        <v>20</v>
      </c>
      <c r="F18" s="1">
        <v>1</v>
      </c>
      <c r="G18" s="1">
        <v>75</v>
      </c>
      <c r="H18" s="1">
        <v>18.140113119999999</v>
      </c>
      <c r="J18" s="1">
        <f t="shared" si="1"/>
        <v>2.5000000000000001E-2</v>
      </c>
      <c r="K18" s="1">
        <f t="shared" si="2"/>
        <v>0.125</v>
      </c>
      <c r="L18" s="1">
        <f t="shared" si="3"/>
        <v>2.9999999999999997E-4</v>
      </c>
      <c r="M18" s="1">
        <f t="shared" si="4"/>
        <v>0.31023227454199215</v>
      </c>
      <c r="N18" s="1">
        <f t="shared" si="5"/>
        <v>2.0833333333333332E-2</v>
      </c>
      <c r="O18" s="1">
        <v>370</v>
      </c>
      <c r="P18" s="1">
        <v>3</v>
      </c>
      <c r="Q18" s="1">
        <v>4148</v>
      </c>
      <c r="R18" s="1">
        <f>[1]!HeatTransferArea(J18,D18,0.36,L18)</f>
        <v>0.7853981633974485</v>
      </c>
      <c r="S18" s="1">
        <f>[1]!Convection(J18,N18,1000,9*10^-4,L18,0.6,0.36,7)</f>
        <v>33909.243146205263</v>
      </c>
      <c r="U18" s="1">
        <f t="shared" si="6"/>
        <v>0.37642530730139218</v>
      </c>
      <c r="V18" s="1">
        <f t="shared" si="7"/>
        <v>1.4076576576576577E-5</v>
      </c>
      <c r="W18" s="1">
        <f t="shared" si="8"/>
        <v>5.630630630630632E-7</v>
      </c>
      <c r="X18" s="1">
        <f t="shared" si="9"/>
        <v>5</v>
      </c>
      <c r="Y18" s="1">
        <f t="shared" si="10"/>
        <v>232.01671670342293</v>
      </c>
      <c r="Z18" s="1">
        <f t="shared" si="11"/>
        <v>6.666666666666667</v>
      </c>
      <c r="AA18" s="1">
        <f t="shared" si="12"/>
        <v>5.2678091847082095E-2</v>
      </c>
    </row>
    <row r="19" spans="1:27" x14ac:dyDescent="0.25">
      <c r="A19" s="1">
        <v>25</v>
      </c>
      <c r="B19" s="1">
        <v>0.3</v>
      </c>
      <c r="C19" s="1">
        <v>5</v>
      </c>
      <c r="D19" s="1">
        <f t="shared" si="0"/>
        <v>0.125</v>
      </c>
      <c r="E19" s="1">
        <v>20</v>
      </c>
      <c r="F19" s="1">
        <v>1.5</v>
      </c>
      <c r="G19" s="1">
        <v>75</v>
      </c>
      <c r="H19" s="1">
        <v>18.339000639999998</v>
      </c>
      <c r="J19" s="1">
        <f t="shared" si="1"/>
        <v>2.5000000000000001E-2</v>
      </c>
      <c r="K19" s="1">
        <f t="shared" si="2"/>
        <v>0.125</v>
      </c>
      <c r="L19" s="1">
        <f t="shared" si="3"/>
        <v>2.9999999999999997E-4</v>
      </c>
      <c r="M19" s="1">
        <f t="shared" si="4"/>
        <v>0.31023227454199215</v>
      </c>
      <c r="N19" s="1">
        <f t="shared" si="5"/>
        <v>2.0833333333333332E-2</v>
      </c>
      <c r="O19" s="1">
        <v>370</v>
      </c>
      <c r="P19" s="1">
        <v>3</v>
      </c>
      <c r="Q19" s="1">
        <v>4148</v>
      </c>
      <c r="R19" s="1">
        <f>[1]!HeatTransferArea(J19,D19,0.36,L19)</f>
        <v>0.7853981633974485</v>
      </c>
      <c r="S19" s="1">
        <f>[1]!Convection(J19,N19,1000,9*10^-4,L19,0.6,0.36,7)</f>
        <v>33909.243146205263</v>
      </c>
      <c r="U19" s="1">
        <f t="shared" si="6"/>
        <v>0.25095020486759478</v>
      </c>
      <c r="V19" s="1">
        <f t="shared" si="7"/>
        <v>2.1114864864864866E-5</v>
      </c>
      <c r="W19" s="1">
        <f t="shared" si="8"/>
        <v>8.445945945945948E-7</v>
      </c>
      <c r="X19" s="1">
        <f t="shared" si="9"/>
        <v>5</v>
      </c>
      <c r="Y19" s="1">
        <f t="shared" si="10"/>
        <v>154.67781113561529</v>
      </c>
      <c r="Z19" s="1">
        <f t="shared" si="11"/>
        <v>6.666666666666667</v>
      </c>
      <c r="AA19" s="1">
        <f t="shared" si="12"/>
        <v>3.5503768313789409E-2</v>
      </c>
    </row>
    <row r="20" spans="1:27" x14ac:dyDescent="0.25">
      <c r="A20" s="1">
        <v>25</v>
      </c>
      <c r="B20" s="1">
        <v>0.4</v>
      </c>
      <c r="C20" s="1">
        <v>3</v>
      </c>
      <c r="D20" s="1">
        <f t="shared" si="0"/>
        <v>7.4999999999999997E-2</v>
      </c>
      <c r="E20" s="1">
        <v>15</v>
      </c>
      <c r="F20" s="1">
        <v>0.5</v>
      </c>
      <c r="G20" s="1">
        <v>75</v>
      </c>
      <c r="H20" s="1">
        <v>20.672214459999999</v>
      </c>
      <c r="J20" s="1">
        <f t="shared" si="1"/>
        <v>2.5000000000000001E-2</v>
      </c>
      <c r="K20" s="1">
        <f t="shared" si="2"/>
        <v>7.4999999999999997E-2</v>
      </c>
      <c r="L20" s="1">
        <f t="shared" si="3"/>
        <v>4.0000000000000002E-4</v>
      </c>
      <c r="M20" s="1">
        <f t="shared" si="4"/>
        <v>0.18613936472519524</v>
      </c>
      <c r="N20" s="1">
        <f t="shared" si="5"/>
        <v>2.0833333333333332E-2</v>
      </c>
      <c r="O20" s="1">
        <v>370</v>
      </c>
      <c r="P20" s="1">
        <v>3</v>
      </c>
      <c r="Q20" s="1">
        <v>4148</v>
      </c>
      <c r="R20" s="1">
        <f>[1]!HeatTransferArea(J20,D20,0.36,L20)</f>
        <v>0.35342917352885178</v>
      </c>
      <c r="S20" s="1">
        <f>[1]!Convection(J20,N20,1000,9*10^-4,L20,0.6,0.36,7)</f>
        <v>25638.910216425455</v>
      </c>
      <c r="U20" s="1">
        <f t="shared" si="6"/>
        <v>1.2547510243379743</v>
      </c>
      <c r="V20" s="1">
        <f t="shared" si="7"/>
        <v>2.5337837837837837E-6</v>
      </c>
      <c r="W20" s="1">
        <f t="shared" si="8"/>
        <v>2.815315315315316E-7</v>
      </c>
      <c r="X20" s="1">
        <f t="shared" si="9"/>
        <v>3</v>
      </c>
      <c r="Y20" s="1">
        <f t="shared" si="10"/>
        <v>263.14310861880386</v>
      </c>
      <c r="Z20" s="1">
        <f t="shared" si="11"/>
        <v>5</v>
      </c>
      <c r="AA20" s="1">
        <f t="shared" si="12"/>
        <v>0.20010400978992698</v>
      </c>
    </row>
    <row r="21" spans="1:27" x14ac:dyDescent="0.25">
      <c r="A21" s="1">
        <v>25</v>
      </c>
      <c r="B21" s="1">
        <v>0.4</v>
      </c>
      <c r="C21" s="1">
        <v>3</v>
      </c>
      <c r="D21" s="1">
        <f t="shared" si="0"/>
        <v>7.4999999999999997E-2</v>
      </c>
      <c r="E21" s="1">
        <v>15</v>
      </c>
      <c r="F21" s="1">
        <v>1</v>
      </c>
      <c r="G21" s="1">
        <v>75</v>
      </c>
      <c r="H21" s="1">
        <v>28.250629920000002</v>
      </c>
      <c r="J21" s="1">
        <f t="shared" si="1"/>
        <v>2.5000000000000001E-2</v>
      </c>
      <c r="K21" s="1">
        <f t="shared" si="2"/>
        <v>7.4999999999999997E-2</v>
      </c>
      <c r="L21" s="1">
        <f t="shared" si="3"/>
        <v>4.0000000000000002E-4</v>
      </c>
      <c r="M21" s="1">
        <f t="shared" si="4"/>
        <v>0.18613936472519524</v>
      </c>
      <c r="N21" s="1">
        <f t="shared" si="5"/>
        <v>2.0833333333333332E-2</v>
      </c>
      <c r="O21" s="1">
        <v>370</v>
      </c>
      <c r="P21" s="1">
        <v>3</v>
      </c>
      <c r="Q21" s="1">
        <v>4148</v>
      </c>
      <c r="R21" s="1">
        <f>[1]!HeatTransferArea(J21,D21,0.36,L21)</f>
        <v>0.35342917352885178</v>
      </c>
      <c r="S21" s="1">
        <f>[1]!Convection(J21,N21,1000,9*10^-4,L21,0.6,0.36,7)</f>
        <v>25638.910216425455</v>
      </c>
      <c r="U21" s="1">
        <f t="shared" si="6"/>
        <v>0.62737551216898713</v>
      </c>
      <c r="V21" s="1">
        <f t="shared" si="7"/>
        <v>5.0675675675675673E-6</v>
      </c>
      <c r="W21" s="1">
        <f t="shared" si="8"/>
        <v>5.630630630630632E-7</v>
      </c>
      <c r="X21" s="1">
        <f t="shared" si="9"/>
        <v>3</v>
      </c>
      <c r="Y21" s="1">
        <f t="shared" si="10"/>
        <v>131.57155430940193</v>
      </c>
      <c r="Z21" s="1">
        <f t="shared" si="11"/>
        <v>5</v>
      </c>
      <c r="AA21" s="1">
        <f t="shared" si="12"/>
        <v>0.13673098102338682</v>
      </c>
    </row>
    <row r="22" spans="1:27" x14ac:dyDescent="0.25">
      <c r="A22" s="1">
        <v>25</v>
      </c>
      <c r="B22" s="1">
        <v>0.4</v>
      </c>
      <c r="C22" s="1">
        <v>3</v>
      </c>
      <c r="D22" s="1">
        <f t="shared" si="0"/>
        <v>7.4999999999999997E-2</v>
      </c>
      <c r="E22" s="1">
        <v>15</v>
      </c>
      <c r="F22" s="1">
        <v>1.5</v>
      </c>
      <c r="G22" s="1">
        <v>75</v>
      </c>
      <c r="H22" s="1">
        <v>28.712045530000001</v>
      </c>
      <c r="J22" s="1">
        <f t="shared" si="1"/>
        <v>2.5000000000000001E-2</v>
      </c>
      <c r="K22" s="1">
        <f t="shared" si="2"/>
        <v>7.4999999999999997E-2</v>
      </c>
      <c r="L22" s="1">
        <f t="shared" si="3"/>
        <v>4.0000000000000002E-4</v>
      </c>
      <c r="M22" s="1">
        <f t="shared" si="4"/>
        <v>0.18613936472519524</v>
      </c>
      <c r="N22" s="1">
        <f t="shared" si="5"/>
        <v>2.0833333333333332E-2</v>
      </c>
      <c r="O22" s="1">
        <v>370</v>
      </c>
      <c r="P22" s="1">
        <v>3</v>
      </c>
      <c r="Q22" s="1">
        <v>4148</v>
      </c>
      <c r="R22" s="1">
        <f>[1]!HeatTransferArea(J22,D22,0.36,L22)</f>
        <v>0.35342917352885178</v>
      </c>
      <c r="S22" s="1">
        <f>[1]!Convection(J22,N22,1000,9*10^-4,L22,0.6,0.36,7)</f>
        <v>25638.910216425455</v>
      </c>
      <c r="U22" s="1">
        <f t="shared" si="6"/>
        <v>0.41825034144599144</v>
      </c>
      <c r="V22" s="1">
        <f t="shared" si="7"/>
        <v>7.6013513513513518E-6</v>
      </c>
      <c r="W22" s="1">
        <f t="shared" si="8"/>
        <v>8.445945945945948E-7</v>
      </c>
      <c r="X22" s="1">
        <f t="shared" si="9"/>
        <v>3</v>
      </c>
      <c r="Y22" s="1">
        <f t="shared" si="10"/>
        <v>87.714369539601293</v>
      </c>
      <c r="Z22" s="1">
        <f t="shared" si="11"/>
        <v>5</v>
      </c>
      <c r="AA22" s="1">
        <f t="shared" si="12"/>
        <v>9.2642799201815645E-2</v>
      </c>
    </row>
    <row r="23" spans="1:27" x14ac:dyDescent="0.25">
      <c r="A23" s="1">
        <v>25</v>
      </c>
      <c r="B23" s="1">
        <v>0.4</v>
      </c>
      <c r="C23" s="1">
        <v>3</v>
      </c>
      <c r="D23" s="1">
        <f t="shared" si="0"/>
        <v>7.4999999999999997E-2</v>
      </c>
      <c r="E23" s="1">
        <v>20</v>
      </c>
      <c r="F23" s="1">
        <v>0.5</v>
      </c>
      <c r="G23" s="1">
        <v>75</v>
      </c>
      <c r="H23" s="1">
        <v>7.7293338800000004</v>
      </c>
      <c r="J23" s="1">
        <f t="shared" si="1"/>
        <v>2.5000000000000001E-2</v>
      </c>
      <c r="K23" s="1">
        <f t="shared" si="2"/>
        <v>7.4999999999999997E-2</v>
      </c>
      <c r="L23" s="1">
        <f t="shared" si="3"/>
        <v>4.0000000000000002E-4</v>
      </c>
      <c r="M23" s="1">
        <f t="shared" si="4"/>
        <v>0.18613936472519524</v>
      </c>
      <c r="N23" s="1">
        <f t="shared" si="5"/>
        <v>2.0833333333333332E-2</v>
      </c>
      <c r="O23" s="1">
        <v>370</v>
      </c>
      <c r="P23" s="1">
        <v>3</v>
      </c>
      <c r="Q23" s="1">
        <v>4148</v>
      </c>
      <c r="R23" s="1">
        <f>[1]!HeatTransferArea(J23,D23,0.36,L23)</f>
        <v>0.35342917352885178</v>
      </c>
      <c r="S23" s="1">
        <f>[1]!Convection(J23,N23,1000,9*10^-4,L23,0.6,0.36,7)</f>
        <v>25638.910216425455</v>
      </c>
      <c r="U23" s="1">
        <f t="shared" si="6"/>
        <v>1.2547510243379743</v>
      </c>
      <c r="V23" s="1">
        <f t="shared" si="7"/>
        <v>2.5337837837837837E-6</v>
      </c>
      <c r="W23" s="1">
        <f t="shared" si="8"/>
        <v>2.815315315315316E-7</v>
      </c>
      <c r="X23" s="1">
        <f t="shared" si="9"/>
        <v>3</v>
      </c>
      <c r="Y23" s="1">
        <f t="shared" si="10"/>
        <v>263.14310861880386</v>
      </c>
      <c r="Z23" s="1">
        <f t="shared" si="11"/>
        <v>6.666666666666667</v>
      </c>
      <c r="AA23" s="1">
        <f t="shared" si="12"/>
        <v>7.4818820469664121E-2</v>
      </c>
    </row>
    <row r="24" spans="1:27" x14ac:dyDescent="0.25">
      <c r="A24" s="1">
        <v>25</v>
      </c>
      <c r="B24" s="1">
        <v>0.4</v>
      </c>
      <c r="C24" s="1">
        <v>3</v>
      </c>
      <c r="D24" s="1">
        <f t="shared" si="0"/>
        <v>7.4999999999999997E-2</v>
      </c>
      <c r="E24" s="1">
        <v>20</v>
      </c>
      <c r="F24" s="1">
        <v>1</v>
      </c>
      <c r="G24" s="1">
        <v>75</v>
      </c>
      <c r="H24" s="1">
        <v>17.437175700000001</v>
      </c>
      <c r="J24" s="1">
        <f t="shared" si="1"/>
        <v>2.5000000000000001E-2</v>
      </c>
      <c r="K24" s="1">
        <f t="shared" si="2"/>
        <v>7.4999999999999997E-2</v>
      </c>
      <c r="L24" s="1">
        <f t="shared" si="3"/>
        <v>4.0000000000000002E-4</v>
      </c>
      <c r="M24" s="1">
        <f t="shared" si="4"/>
        <v>0.18613936472519524</v>
      </c>
      <c r="N24" s="1">
        <f t="shared" si="5"/>
        <v>2.0833333333333332E-2</v>
      </c>
      <c r="O24" s="1">
        <v>370</v>
      </c>
      <c r="P24" s="1">
        <v>3</v>
      </c>
      <c r="Q24" s="1">
        <v>4148</v>
      </c>
      <c r="R24" s="1">
        <f>[1]!HeatTransferArea(J24,D24,0.36,L24)</f>
        <v>0.35342917352885178</v>
      </c>
      <c r="S24" s="1">
        <f>[1]!Convection(J24,N24,1000,9*10^-4,L24,0.6,0.36,7)</f>
        <v>25638.910216425455</v>
      </c>
      <c r="U24" s="1">
        <f t="shared" si="6"/>
        <v>0.62737551216898713</v>
      </c>
      <c r="V24" s="1">
        <f t="shared" si="7"/>
        <v>5.0675675675675673E-6</v>
      </c>
      <c r="W24" s="1">
        <f t="shared" si="8"/>
        <v>5.630630630630632E-7</v>
      </c>
      <c r="X24" s="1">
        <f t="shared" si="9"/>
        <v>3</v>
      </c>
      <c r="Y24" s="1">
        <f t="shared" si="10"/>
        <v>131.57155430940193</v>
      </c>
      <c r="Z24" s="1">
        <f t="shared" si="11"/>
        <v>6.666666666666667</v>
      </c>
      <c r="AA24" s="1">
        <f t="shared" si="12"/>
        <v>8.4394654083457046E-2</v>
      </c>
    </row>
    <row r="25" spans="1:27" x14ac:dyDescent="0.25">
      <c r="A25" s="1">
        <v>25</v>
      </c>
      <c r="B25" s="1">
        <v>0.4</v>
      </c>
      <c r="C25" s="1">
        <v>3</v>
      </c>
      <c r="D25" s="1">
        <f t="shared" si="0"/>
        <v>7.4999999999999997E-2</v>
      </c>
      <c r="E25" s="1">
        <v>20</v>
      </c>
      <c r="F25" s="1">
        <v>1.5</v>
      </c>
      <c r="G25" s="1">
        <v>75</v>
      </c>
      <c r="H25" s="1">
        <v>18.328105300000001</v>
      </c>
      <c r="J25" s="1">
        <f t="shared" si="1"/>
        <v>2.5000000000000001E-2</v>
      </c>
      <c r="K25" s="1">
        <f t="shared" si="2"/>
        <v>7.4999999999999997E-2</v>
      </c>
      <c r="L25" s="1">
        <f t="shared" si="3"/>
        <v>4.0000000000000002E-4</v>
      </c>
      <c r="M25" s="1">
        <f t="shared" si="4"/>
        <v>0.18613936472519524</v>
      </c>
      <c r="N25" s="1">
        <f t="shared" si="5"/>
        <v>2.0833333333333332E-2</v>
      </c>
      <c r="O25" s="1">
        <v>370</v>
      </c>
      <c r="P25" s="1">
        <v>3</v>
      </c>
      <c r="Q25" s="1">
        <v>4148</v>
      </c>
      <c r="R25" s="1">
        <f>[1]!HeatTransferArea(J25,D25,0.36,L25)</f>
        <v>0.35342917352885178</v>
      </c>
      <c r="S25" s="1">
        <f>[1]!Convection(J25,N25,1000,9*10^-4,L25,0.6,0.36,7)</f>
        <v>25638.910216425455</v>
      </c>
      <c r="U25" s="1">
        <f t="shared" si="6"/>
        <v>0.41825034144599144</v>
      </c>
      <c r="V25" s="1">
        <f t="shared" si="7"/>
        <v>7.6013513513513518E-6</v>
      </c>
      <c r="W25" s="1">
        <f t="shared" si="8"/>
        <v>8.445945945945948E-7</v>
      </c>
      <c r="X25" s="1">
        <f t="shared" si="9"/>
        <v>3</v>
      </c>
      <c r="Y25" s="1">
        <f t="shared" si="10"/>
        <v>87.714369539601293</v>
      </c>
      <c r="Z25" s="1">
        <f t="shared" si="11"/>
        <v>6.666666666666667</v>
      </c>
      <c r="AA25" s="1">
        <f t="shared" si="12"/>
        <v>5.9137792090901344E-2</v>
      </c>
    </row>
    <row r="26" spans="1:27" x14ac:dyDescent="0.25">
      <c r="A26" s="1">
        <v>25</v>
      </c>
      <c r="B26" s="1">
        <v>0.4</v>
      </c>
      <c r="C26" s="1">
        <v>4</v>
      </c>
      <c r="D26" s="1">
        <f t="shared" si="0"/>
        <v>0.1</v>
      </c>
      <c r="E26" s="1">
        <v>15</v>
      </c>
      <c r="F26" s="1">
        <v>0.5</v>
      </c>
      <c r="G26" s="1">
        <v>75</v>
      </c>
      <c r="H26" s="1">
        <v>26.493758530000001</v>
      </c>
      <c r="J26" s="1">
        <f t="shared" si="1"/>
        <v>2.5000000000000001E-2</v>
      </c>
      <c r="K26" s="1">
        <f t="shared" si="2"/>
        <v>0.1</v>
      </c>
      <c r="L26" s="1">
        <f t="shared" si="3"/>
        <v>4.0000000000000002E-4</v>
      </c>
      <c r="M26" s="1">
        <f t="shared" si="4"/>
        <v>0.24818581963359368</v>
      </c>
      <c r="N26" s="1">
        <f t="shared" si="5"/>
        <v>2.0833333333333332E-2</v>
      </c>
      <c r="O26" s="1">
        <v>370</v>
      </c>
      <c r="P26" s="1">
        <v>3</v>
      </c>
      <c r="Q26" s="1">
        <v>4148</v>
      </c>
      <c r="R26" s="1">
        <f>[1]!HeatTransferArea(J26,D26,0.36,L26)</f>
        <v>0.47123889803846908</v>
      </c>
      <c r="S26" s="1">
        <f>[1]!Convection(J26,N26,1000,9*10^-4,L26,0.6,0.36,7)</f>
        <v>25638.910216425455</v>
      </c>
      <c r="U26" s="1">
        <f t="shared" si="6"/>
        <v>0.94106326825348063</v>
      </c>
      <c r="V26" s="1">
        <f t="shared" si="7"/>
        <v>4.5045045045045056E-6</v>
      </c>
      <c r="W26" s="1">
        <f t="shared" si="8"/>
        <v>2.815315315315316E-7</v>
      </c>
      <c r="X26" s="1">
        <f t="shared" si="9"/>
        <v>4</v>
      </c>
      <c r="Y26" s="1">
        <f t="shared" si="10"/>
        <v>263.14310861880386</v>
      </c>
      <c r="Z26" s="1">
        <f t="shared" si="11"/>
        <v>5</v>
      </c>
      <c r="AA26" s="1">
        <f t="shared" si="12"/>
        <v>0.19234177813354164</v>
      </c>
    </row>
    <row r="27" spans="1:27" x14ac:dyDescent="0.25">
      <c r="A27" s="1">
        <v>25</v>
      </c>
      <c r="B27" s="1">
        <v>0.4</v>
      </c>
      <c r="C27" s="1">
        <v>4</v>
      </c>
      <c r="D27" s="1">
        <f t="shared" si="0"/>
        <v>0.1</v>
      </c>
      <c r="E27" s="1">
        <v>15</v>
      </c>
      <c r="F27" s="1">
        <v>1</v>
      </c>
      <c r="G27" s="1">
        <v>75</v>
      </c>
      <c r="H27" s="1">
        <v>28.395837350000001</v>
      </c>
      <c r="J27" s="1">
        <f t="shared" si="1"/>
        <v>2.5000000000000001E-2</v>
      </c>
      <c r="K27" s="1">
        <f t="shared" si="2"/>
        <v>0.1</v>
      </c>
      <c r="L27" s="1">
        <f t="shared" si="3"/>
        <v>4.0000000000000002E-4</v>
      </c>
      <c r="M27" s="1">
        <f t="shared" si="4"/>
        <v>0.24818581963359368</v>
      </c>
      <c r="N27" s="1">
        <f t="shared" si="5"/>
        <v>2.0833333333333332E-2</v>
      </c>
      <c r="O27" s="1">
        <v>370</v>
      </c>
      <c r="P27" s="1">
        <v>3</v>
      </c>
      <c r="Q27" s="1">
        <v>4148</v>
      </c>
      <c r="R27" s="1">
        <f>[1]!HeatTransferArea(J27,D27,0.36,L27)</f>
        <v>0.47123889803846908</v>
      </c>
      <c r="S27" s="1">
        <f>[1]!Convection(J27,N27,1000,9*10^-4,L27,0.6,0.36,7)</f>
        <v>25638.910216425455</v>
      </c>
      <c r="U27" s="1">
        <f t="shared" si="6"/>
        <v>0.47053163412674032</v>
      </c>
      <c r="V27" s="1">
        <f t="shared" si="7"/>
        <v>9.0090090090090112E-6</v>
      </c>
      <c r="W27" s="1">
        <f t="shared" si="8"/>
        <v>5.630630630630632E-7</v>
      </c>
      <c r="X27" s="1">
        <f t="shared" si="9"/>
        <v>4</v>
      </c>
      <c r="Y27" s="1">
        <f t="shared" si="10"/>
        <v>131.57155430940193</v>
      </c>
      <c r="Z27" s="1">
        <f t="shared" si="11"/>
        <v>5</v>
      </c>
      <c r="AA27" s="1">
        <f t="shared" si="12"/>
        <v>0.10307533076715626</v>
      </c>
    </row>
    <row r="28" spans="1:27" x14ac:dyDescent="0.25">
      <c r="A28" s="1">
        <v>25</v>
      </c>
      <c r="B28" s="1">
        <v>0.4</v>
      </c>
      <c r="C28" s="1">
        <v>4</v>
      </c>
      <c r="D28" s="1">
        <f t="shared" si="0"/>
        <v>0.1</v>
      </c>
      <c r="E28" s="1">
        <v>15</v>
      </c>
      <c r="F28" s="1">
        <v>1.5</v>
      </c>
      <c r="G28" s="1">
        <v>75</v>
      </c>
      <c r="H28" s="1">
        <v>28.492696380000002</v>
      </c>
      <c r="J28" s="1">
        <f t="shared" si="1"/>
        <v>2.5000000000000001E-2</v>
      </c>
      <c r="K28" s="1">
        <f t="shared" si="2"/>
        <v>0.1</v>
      </c>
      <c r="L28" s="1">
        <f t="shared" si="3"/>
        <v>4.0000000000000002E-4</v>
      </c>
      <c r="M28" s="1">
        <f t="shared" si="4"/>
        <v>0.24818581963359368</v>
      </c>
      <c r="N28" s="1">
        <f t="shared" si="5"/>
        <v>2.0833333333333332E-2</v>
      </c>
      <c r="O28" s="1">
        <v>370</v>
      </c>
      <c r="P28" s="1">
        <v>3</v>
      </c>
      <c r="Q28" s="1">
        <v>4148</v>
      </c>
      <c r="R28" s="1">
        <f>[1]!HeatTransferArea(J28,D28,0.36,L28)</f>
        <v>0.47123889803846908</v>
      </c>
      <c r="S28" s="1">
        <f>[1]!Convection(J28,N28,1000,9*10^-4,L28,0.6,0.36,7)</f>
        <v>25638.910216425455</v>
      </c>
      <c r="U28" s="1">
        <f t="shared" si="6"/>
        <v>0.31368775608449356</v>
      </c>
      <c r="V28" s="1">
        <f t="shared" si="7"/>
        <v>1.3513513513513517E-5</v>
      </c>
      <c r="W28" s="1">
        <f t="shared" si="8"/>
        <v>8.445945945945948E-7</v>
      </c>
      <c r="X28" s="1">
        <f t="shared" si="9"/>
        <v>4</v>
      </c>
      <c r="Y28" s="1">
        <f t="shared" si="10"/>
        <v>87.714369539601293</v>
      </c>
      <c r="Z28" s="1">
        <f t="shared" si="11"/>
        <v>5</v>
      </c>
      <c r="AA28" s="1">
        <f t="shared" si="12"/>
        <v>6.8951282485932297E-2</v>
      </c>
    </row>
    <row r="29" spans="1:27" x14ac:dyDescent="0.25">
      <c r="A29" s="1">
        <v>25</v>
      </c>
      <c r="B29" s="1">
        <v>0.4</v>
      </c>
      <c r="C29" s="1">
        <v>4</v>
      </c>
      <c r="D29" s="1">
        <f t="shared" si="0"/>
        <v>0.1</v>
      </c>
      <c r="E29" s="1">
        <v>20</v>
      </c>
      <c r="F29" s="1">
        <v>0.5</v>
      </c>
      <c r="G29" s="1">
        <v>75</v>
      </c>
      <c r="H29" s="1">
        <v>15.13168129</v>
      </c>
      <c r="J29" s="1">
        <f t="shared" si="1"/>
        <v>2.5000000000000001E-2</v>
      </c>
      <c r="K29" s="1">
        <f t="shared" si="2"/>
        <v>0.1</v>
      </c>
      <c r="L29" s="1">
        <f t="shared" si="3"/>
        <v>4.0000000000000002E-4</v>
      </c>
      <c r="M29" s="1">
        <f t="shared" si="4"/>
        <v>0.24818581963359368</v>
      </c>
      <c r="N29" s="1">
        <f t="shared" si="5"/>
        <v>2.0833333333333332E-2</v>
      </c>
      <c r="O29" s="1">
        <v>370</v>
      </c>
      <c r="P29" s="1">
        <v>3</v>
      </c>
      <c r="Q29" s="1">
        <v>4148</v>
      </c>
      <c r="R29" s="1">
        <f>[1]!HeatTransferArea(J29,D29,0.36,L29)</f>
        <v>0.47123889803846908</v>
      </c>
      <c r="S29" s="1">
        <f>[1]!Convection(J29,N29,1000,9*10^-4,L29,0.6,0.36,7)</f>
        <v>25638.910216425455</v>
      </c>
      <c r="U29" s="1">
        <f t="shared" si="6"/>
        <v>0.94106326825348063</v>
      </c>
      <c r="V29" s="1">
        <f t="shared" si="7"/>
        <v>4.5045045045045056E-6</v>
      </c>
      <c r="W29" s="1">
        <f t="shared" si="8"/>
        <v>2.815315315315316E-7</v>
      </c>
      <c r="X29" s="1">
        <f t="shared" si="9"/>
        <v>4</v>
      </c>
      <c r="Y29" s="1">
        <f t="shared" si="10"/>
        <v>263.14310861880386</v>
      </c>
      <c r="Z29" s="1">
        <f t="shared" si="11"/>
        <v>6.666666666666667</v>
      </c>
      <c r="AA29" s="1">
        <f t="shared" si="12"/>
        <v>0.10985434483269003</v>
      </c>
    </row>
    <row r="30" spans="1:27" x14ac:dyDescent="0.25">
      <c r="A30" s="1">
        <v>25</v>
      </c>
      <c r="B30" s="1">
        <v>0.4</v>
      </c>
      <c r="C30" s="1">
        <v>4</v>
      </c>
      <c r="D30" s="1">
        <f t="shared" si="0"/>
        <v>0.1</v>
      </c>
      <c r="E30" s="1">
        <v>20</v>
      </c>
      <c r="F30" s="1">
        <v>1</v>
      </c>
      <c r="G30" s="1">
        <v>75</v>
      </c>
      <c r="H30" s="1">
        <v>18.088403230000001</v>
      </c>
      <c r="J30" s="1">
        <f t="shared" si="1"/>
        <v>2.5000000000000001E-2</v>
      </c>
      <c r="K30" s="1">
        <f t="shared" si="2"/>
        <v>0.1</v>
      </c>
      <c r="L30" s="1">
        <f t="shared" si="3"/>
        <v>4.0000000000000002E-4</v>
      </c>
      <c r="M30" s="1">
        <f t="shared" si="4"/>
        <v>0.24818581963359368</v>
      </c>
      <c r="N30" s="1">
        <f t="shared" si="5"/>
        <v>2.0833333333333332E-2</v>
      </c>
      <c r="O30" s="1">
        <v>370</v>
      </c>
      <c r="P30" s="1">
        <v>3</v>
      </c>
      <c r="Q30" s="1">
        <v>4148</v>
      </c>
      <c r="R30" s="1">
        <f>[1]!HeatTransferArea(J30,D30,0.36,L30)</f>
        <v>0.47123889803846908</v>
      </c>
      <c r="S30" s="1">
        <f>[1]!Convection(J30,N30,1000,9*10^-4,L30,0.6,0.36,7)</f>
        <v>25638.910216425455</v>
      </c>
      <c r="U30" s="1">
        <f t="shared" si="6"/>
        <v>0.47053163412674032</v>
      </c>
      <c r="V30" s="1">
        <f t="shared" si="7"/>
        <v>9.0090090090090112E-6</v>
      </c>
      <c r="W30" s="1">
        <f t="shared" si="8"/>
        <v>5.630630630630632E-7</v>
      </c>
      <c r="X30" s="1">
        <f t="shared" si="9"/>
        <v>4</v>
      </c>
      <c r="Y30" s="1">
        <f t="shared" si="10"/>
        <v>131.57155430940193</v>
      </c>
      <c r="Z30" s="1">
        <f t="shared" si="11"/>
        <v>6.666666666666667</v>
      </c>
      <c r="AA30" s="1">
        <f t="shared" si="12"/>
        <v>6.565991074681049E-2</v>
      </c>
    </row>
    <row r="31" spans="1:27" x14ac:dyDescent="0.25">
      <c r="A31" s="1">
        <v>25</v>
      </c>
      <c r="B31" s="1">
        <v>0.4</v>
      </c>
      <c r="C31" s="1">
        <v>4</v>
      </c>
      <c r="D31" s="1">
        <f t="shared" si="0"/>
        <v>0.1</v>
      </c>
      <c r="E31" s="1">
        <v>20</v>
      </c>
      <c r="F31" s="1">
        <v>1.5</v>
      </c>
      <c r="G31" s="1">
        <v>75</v>
      </c>
      <c r="H31" s="1">
        <v>18.445052189999998</v>
      </c>
      <c r="J31" s="1">
        <f t="shared" si="1"/>
        <v>2.5000000000000001E-2</v>
      </c>
      <c r="K31" s="1">
        <f t="shared" si="2"/>
        <v>0.1</v>
      </c>
      <c r="L31" s="1">
        <f t="shared" si="3"/>
        <v>4.0000000000000002E-4</v>
      </c>
      <c r="M31" s="1">
        <f t="shared" si="4"/>
        <v>0.24818581963359368</v>
      </c>
      <c r="N31" s="1">
        <f t="shared" si="5"/>
        <v>2.0833333333333332E-2</v>
      </c>
      <c r="O31" s="1">
        <v>370</v>
      </c>
      <c r="P31" s="1">
        <v>3</v>
      </c>
      <c r="Q31" s="1">
        <v>4148</v>
      </c>
      <c r="R31" s="1">
        <f>[1]!HeatTransferArea(J31,D31,0.36,L31)</f>
        <v>0.47123889803846908</v>
      </c>
      <c r="S31" s="1">
        <f>[1]!Convection(J31,N31,1000,9*10^-4,L31,0.6,0.36,7)</f>
        <v>25638.910216425455</v>
      </c>
      <c r="U31" s="1">
        <f t="shared" si="6"/>
        <v>0.31368775608449356</v>
      </c>
      <c r="V31" s="1">
        <f t="shared" si="7"/>
        <v>1.3513513513513517E-5</v>
      </c>
      <c r="W31" s="1">
        <f t="shared" si="8"/>
        <v>8.445945945945948E-7</v>
      </c>
      <c r="X31" s="1">
        <f t="shared" si="9"/>
        <v>4</v>
      </c>
      <c r="Y31" s="1">
        <f t="shared" si="10"/>
        <v>87.714369539601293</v>
      </c>
      <c r="Z31" s="1">
        <f t="shared" si="11"/>
        <v>6.666666666666667</v>
      </c>
      <c r="AA31" s="1">
        <f t="shared" si="12"/>
        <v>4.4636351262044162E-2</v>
      </c>
    </row>
    <row r="32" spans="1:27" x14ac:dyDescent="0.25">
      <c r="A32" s="1">
        <v>25</v>
      </c>
      <c r="B32" s="1">
        <v>0.4</v>
      </c>
      <c r="C32" s="1">
        <v>5</v>
      </c>
      <c r="D32" s="1">
        <f t="shared" si="0"/>
        <v>0.125</v>
      </c>
      <c r="E32" s="1">
        <v>15</v>
      </c>
      <c r="F32" s="1">
        <v>0.5</v>
      </c>
      <c r="G32" s="1">
        <v>75</v>
      </c>
      <c r="H32" s="1">
        <v>27.57899531</v>
      </c>
      <c r="J32" s="1">
        <f t="shared" si="1"/>
        <v>2.5000000000000001E-2</v>
      </c>
      <c r="K32" s="1">
        <f t="shared" si="2"/>
        <v>0.125</v>
      </c>
      <c r="L32" s="1">
        <f t="shared" si="3"/>
        <v>4.0000000000000002E-4</v>
      </c>
      <c r="M32" s="1">
        <f t="shared" si="4"/>
        <v>0.31023227454199215</v>
      </c>
      <c r="N32" s="1">
        <f t="shared" si="5"/>
        <v>2.0833333333333332E-2</v>
      </c>
      <c r="O32" s="1">
        <v>370</v>
      </c>
      <c r="P32" s="1">
        <v>3</v>
      </c>
      <c r="Q32" s="1">
        <v>4148</v>
      </c>
      <c r="R32" s="1">
        <f>[1]!HeatTransferArea(J32,D32,0.36,L32)</f>
        <v>0.58904862254808632</v>
      </c>
      <c r="S32" s="1">
        <f>[1]!Convection(J32,N32,1000,9*10^-4,L32,0.6,0.36,7)</f>
        <v>25638.910216425455</v>
      </c>
      <c r="U32" s="1">
        <f t="shared" si="6"/>
        <v>0.75285061460278435</v>
      </c>
      <c r="V32" s="1">
        <f t="shared" si="7"/>
        <v>7.0382882882882884E-6</v>
      </c>
      <c r="W32" s="1">
        <f t="shared" si="8"/>
        <v>2.815315315315316E-7</v>
      </c>
      <c r="X32" s="1">
        <f t="shared" si="9"/>
        <v>5</v>
      </c>
      <c r="Y32" s="1">
        <f t="shared" si="10"/>
        <v>263.14310861880381</v>
      </c>
      <c r="Z32" s="1">
        <f t="shared" si="11"/>
        <v>5</v>
      </c>
      <c r="AA32" s="1">
        <f t="shared" si="12"/>
        <v>0.16017638240509785</v>
      </c>
    </row>
    <row r="33" spans="1:27" x14ac:dyDescent="0.25">
      <c r="A33" s="1">
        <v>25</v>
      </c>
      <c r="B33" s="1">
        <v>0.4</v>
      </c>
      <c r="C33" s="1">
        <v>5</v>
      </c>
      <c r="D33" s="1">
        <f t="shared" si="0"/>
        <v>0.125</v>
      </c>
      <c r="E33" s="1">
        <v>15</v>
      </c>
      <c r="F33" s="1">
        <v>1</v>
      </c>
      <c r="G33" s="1">
        <v>75</v>
      </c>
      <c r="H33" s="1">
        <v>28.2410368</v>
      </c>
      <c r="J33" s="1">
        <f t="shared" si="1"/>
        <v>2.5000000000000001E-2</v>
      </c>
      <c r="K33" s="1">
        <f t="shared" si="2"/>
        <v>0.125</v>
      </c>
      <c r="L33" s="1">
        <f t="shared" si="3"/>
        <v>4.0000000000000002E-4</v>
      </c>
      <c r="M33" s="1">
        <f t="shared" si="4"/>
        <v>0.31023227454199215</v>
      </c>
      <c r="N33" s="1">
        <f t="shared" si="5"/>
        <v>2.0833333333333332E-2</v>
      </c>
      <c r="O33" s="1">
        <v>370</v>
      </c>
      <c r="P33" s="1">
        <v>3</v>
      </c>
      <c r="Q33" s="1">
        <v>4148</v>
      </c>
      <c r="R33" s="1">
        <f>[1]!HeatTransferArea(J33,D33,0.36,L33)</f>
        <v>0.58904862254808632</v>
      </c>
      <c r="S33" s="1">
        <f>[1]!Convection(J33,N33,1000,9*10^-4,L33,0.6,0.36,7)</f>
        <v>25638.910216425455</v>
      </c>
      <c r="U33" s="1">
        <f t="shared" si="6"/>
        <v>0.37642530730139218</v>
      </c>
      <c r="V33" s="1">
        <f t="shared" si="7"/>
        <v>1.4076576576576577E-5</v>
      </c>
      <c r="W33" s="1">
        <f t="shared" si="8"/>
        <v>5.630630630630632E-7</v>
      </c>
      <c r="X33" s="1">
        <f t="shared" si="9"/>
        <v>5</v>
      </c>
      <c r="Y33" s="1">
        <f t="shared" si="10"/>
        <v>131.5715543094019</v>
      </c>
      <c r="Z33" s="1">
        <f t="shared" si="11"/>
        <v>5</v>
      </c>
      <c r="AA33" s="1">
        <f t="shared" si="12"/>
        <v>8.2010730614849967E-2</v>
      </c>
    </row>
    <row r="34" spans="1:27" x14ac:dyDescent="0.25">
      <c r="A34" s="1">
        <v>25</v>
      </c>
      <c r="B34" s="1">
        <v>0.4</v>
      </c>
      <c r="C34" s="1">
        <v>5</v>
      </c>
      <c r="D34" s="1">
        <f t="shared" si="0"/>
        <v>0.125</v>
      </c>
      <c r="E34" s="1">
        <v>15</v>
      </c>
      <c r="F34" s="1">
        <v>1.5</v>
      </c>
      <c r="G34" s="1">
        <v>75</v>
      </c>
      <c r="H34" s="1">
        <v>28.24270323</v>
      </c>
      <c r="J34" s="1">
        <f t="shared" si="1"/>
        <v>2.5000000000000001E-2</v>
      </c>
      <c r="K34" s="1">
        <f t="shared" si="2"/>
        <v>0.125</v>
      </c>
      <c r="L34" s="1">
        <f t="shared" si="3"/>
        <v>4.0000000000000002E-4</v>
      </c>
      <c r="M34" s="1">
        <f t="shared" si="4"/>
        <v>0.31023227454199215</v>
      </c>
      <c r="N34" s="1">
        <f t="shared" si="5"/>
        <v>2.0833333333333332E-2</v>
      </c>
      <c r="O34" s="1">
        <v>370</v>
      </c>
      <c r="P34" s="1">
        <v>3</v>
      </c>
      <c r="Q34" s="1">
        <v>4148</v>
      </c>
      <c r="R34" s="1">
        <f>[1]!HeatTransferArea(J34,D34,0.36,L34)</f>
        <v>0.58904862254808632</v>
      </c>
      <c r="S34" s="1">
        <f>[1]!Convection(J34,N34,1000,9*10^-4,L34,0.6,0.36,7)</f>
        <v>25638.910216425455</v>
      </c>
      <c r="U34" s="1">
        <f t="shared" si="6"/>
        <v>0.25095020486759478</v>
      </c>
      <c r="V34" s="1">
        <f t="shared" si="7"/>
        <v>2.1114864864864866E-5</v>
      </c>
      <c r="W34" s="1">
        <f t="shared" si="8"/>
        <v>8.445945945945948E-7</v>
      </c>
      <c r="X34" s="1">
        <f t="shared" si="9"/>
        <v>5</v>
      </c>
      <c r="Y34" s="1">
        <f t="shared" si="10"/>
        <v>87.714369539601265</v>
      </c>
      <c r="Z34" s="1">
        <f t="shared" si="11"/>
        <v>5</v>
      </c>
      <c r="AA34" s="1">
        <f t="shared" si="12"/>
        <v>5.4677046569590597E-2</v>
      </c>
    </row>
    <row r="35" spans="1:27" x14ac:dyDescent="0.25">
      <c r="A35" s="1">
        <v>25</v>
      </c>
      <c r="B35" s="1">
        <v>0.4</v>
      </c>
      <c r="C35" s="1">
        <v>5</v>
      </c>
      <c r="D35" s="1">
        <f t="shared" si="0"/>
        <v>0.125</v>
      </c>
      <c r="E35" s="1">
        <v>20</v>
      </c>
      <c r="F35" s="1">
        <v>0.5</v>
      </c>
      <c r="G35" s="1">
        <v>75</v>
      </c>
      <c r="H35" s="1">
        <v>16.812699169999998</v>
      </c>
      <c r="J35" s="1">
        <f t="shared" si="1"/>
        <v>2.5000000000000001E-2</v>
      </c>
      <c r="K35" s="1">
        <f t="shared" si="2"/>
        <v>0.125</v>
      </c>
      <c r="L35" s="1">
        <f t="shared" si="3"/>
        <v>4.0000000000000002E-4</v>
      </c>
      <c r="M35" s="1">
        <f t="shared" si="4"/>
        <v>0.31023227454199215</v>
      </c>
      <c r="N35" s="1">
        <f t="shared" si="5"/>
        <v>2.0833333333333332E-2</v>
      </c>
      <c r="O35" s="1">
        <v>370</v>
      </c>
      <c r="P35" s="1">
        <v>3</v>
      </c>
      <c r="Q35" s="1">
        <v>4148</v>
      </c>
      <c r="R35" s="1">
        <f>[1]!HeatTransferArea(J35,D35,0.36,L35)</f>
        <v>0.58904862254808632</v>
      </c>
      <c r="S35" s="1">
        <f>[1]!Convection(J35,N35,1000,9*10^-4,L35,0.6,0.36,7)</f>
        <v>25638.910216425455</v>
      </c>
      <c r="U35" s="1">
        <f t="shared" si="6"/>
        <v>0.75285061460278435</v>
      </c>
      <c r="V35" s="1">
        <f t="shared" si="7"/>
        <v>7.0382882882882884E-6</v>
      </c>
      <c r="W35" s="1">
        <f t="shared" si="8"/>
        <v>2.815315315315316E-7</v>
      </c>
      <c r="X35" s="1">
        <f t="shared" si="9"/>
        <v>5</v>
      </c>
      <c r="Y35" s="1">
        <f t="shared" si="10"/>
        <v>263.14310861880381</v>
      </c>
      <c r="Z35" s="1">
        <f t="shared" si="11"/>
        <v>6.666666666666667</v>
      </c>
      <c r="AA35" s="1">
        <f t="shared" si="12"/>
        <v>9.764668006377028E-2</v>
      </c>
    </row>
    <row r="36" spans="1:27" x14ac:dyDescent="0.25">
      <c r="A36" s="1">
        <v>25</v>
      </c>
      <c r="B36" s="1">
        <v>0.4</v>
      </c>
      <c r="C36" s="1">
        <v>5</v>
      </c>
      <c r="D36" s="1">
        <f t="shared" si="0"/>
        <v>0.125</v>
      </c>
      <c r="E36" s="1">
        <v>20</v>
      </c>
      <c r="F36" s="1">
        <v>1</v>
      </c>
      <c r="G36" s="1">
        <v>75</v>
      </c>
      <c r="H36" s="1">
        <v>18.173480900000001</v>
      </c>
      <c r="J36" s="1">
        <f t="shared" si="1"/>
        <v>2.5000000000000001E-2</v>
      </c>
      <c r="K36" s="1">
        <f t="shared" si="2"/>
        <v>0.125</v>
      </c>
      <c r="L36" s="1">
        <f t="shared" si="3"/>
        <v>4.0000000000000002E-4</v>
      </c>
      <c r="M36" s="1">
        <f t="shared" si="4"/>
        <v>0.31023227454199215</v>
      </c>
      <c r="N36" s="1">
        <f t="shared" si="5"/>
        <v>2.0833333333333332E-2</v>
      </c>
      <c r="O36" s="1">
        <v>370</v>
      </c>
      <c r="P36" s="1">
        <v>3</v>
      </c>
      <c r="Q36" s="1">
        <v>4148</v>
      </c>
      <c r="R36" s="1">
        <f>[1]!HeatTransferArea(J36,D36,0.36,L36)</f>
        <v>0.58904862254808632</v>
      </c>
      <c r="S36" s="1">
        <f>[1]!Convection(J36,N36,1000,9*10^-4,L36,0.6,0.36,7)</f>
        <v>25638.910216425455</v>
      </c>
      <c r="U36" s="1">
        <f t="shared" si="6"/>
        <v>0.37642530730139218</v>
      </c>
      <c r="V36" s="1">
        <f t="shared" si="7"/>
        <v>1.4076576576576577E-5</v>
      </c>
      <c r="W36" s="1">
        <f t="shared" si="8"/>
        <v>5.630630630630632E-7</v>
      </c>
      <c r="X36" s="1">
        <f t="shared" si="9"/>
        <v>5</v>
      </c>
      <c r="Y36" s="1">
        <f t="shared" si="10"/>
        <v>131.5715543094019</v>
      </c>
      <c r="Z36" s="1">
        <f t="shared" si="11"/>
        <v>6.666666666666667</v>
      </c>
      <c r="AA36" s="1">
        <f t="shared" si="12"/>
        <v>5.277499041480025E-2</v>
      </c>
    </row>
    <row r="37" spans="1:27" x14ac:dyDescent="0.25">
      <c r="A37" s="1">
        <v>25</v>
      </c>
      <c r="B37" s="1">
        <v>0.4</v>
      </c>
      <c r="C37" s="1">
        <v>5</v>
      </c>
      <c r="D37" s="1">
        <f t="shared" si="0"/>
        <v>0.125</v>
      </c>
      <c r="E37" s="1">
        <v>20</v>
      </c>
      <c r="F37" s="1">
        <v>1.5</v>
      </c>
      <c r="G37" s="1">
        <v>75</v>
      </c>
      <c r="H37" s="1">
        <v>18.351385780000001</v>
      </c>
      <c r="J37" s="1">
        <f t="shared" si="1"/>
        <v>2.5000000000000001E-2</v>
      </c>
      <c r="K37" s="1">
        <f t="shared" si="2"/>
        <v>0.125</v>
      </c>
      <c r="L37" s="1">
        <f t="shared" si="3"/>
        <v>4.0000000000000002E-4</v>
      </c>
      <c r="M37" s="1">
        <f t="shared" si="4"/>
        <v>0.31023227454199215</v>
      </c>
      <c r="N37" s="1">
        <f t="shared" si="5"/>
        <v>2.0833333333333332E-2</v>
      </c>
      <c r="O37" s="1">
        <v>370</v>
      </c>
      <c r="P37" s="1">
        <v>3</v>
      </c>
      <c r="Q37" s="1">
        <v>4148</v>
      </c>
      <c r="R37" s="1">
        <f>[1]!HeatTransferArea(J37,D37,0.36,L37)</f>
        <v>0.58904862254808632</v>
      </c>
      <c r="S37" s="1">
        <f>[1]!Convection(J37,N37,1000,9*10^-4,L37,0.6,0.36,7)</f>
        <v>25638.910216425455</v>
      </c>
      <c r="U37" s="1">
        <f t="shared" si="6"/>
        <v>0.25095020486759478</v>
      </c>
      <c r="V37" s="1">
        <f t="shared" si="7"/>
        <v>2.1114864864864866E-5</v>
      </c>
      <c r="W37" s="1">
        <f t="shared" si="8"/>
        <v>8.445945945945948E-7</v>
      </c>
      <c r="X37" s="1">
        <f t="shared" si="9"/>
        <v>5</v>
      </c>
      <c r="Y37" s="1">
        <f t="shared" si="10"/>
        <v>87.714369539601265</v>
      </c>
      <c r="Z37" s="1">
        <f t="shared" si="11"/>
        <v>6.666666666666667</v>
      </c>
      <c r="AA37" s="1">
        <f t="shared" si="12"/>
        <v>3.5527745582219994E-2</v>
      </c>
    </row>
    <row r="38" spans="1:27" x14ac:dyDescent="0.25">
      <c r="A38" s="1">
        <v>25</v>
      </c>
      <c r="B38" s="1">
        <v>0.5</v>
      </c>
      <c r="C38" s="1">
        <v>3</v>
      </c>
      <c r="D38" s="1">
        <f t="shared" si="0"/>
        <v>7.4999999999999997E-2</v>
      </c>
      <c r="E38" s="1">
        <v>15</v>
      </c>
      <c r="F38" s="1">
        <v>0.5</v>
      </c>
      <c r="G38" s="1">
        <v>75</v>
      </c>
      <c r="H38" s="1">
        <v>18.645732160000001</v>
      </c>
      <c r="J38" s="1">
        <f t="shared" si="1"/>
        <v>2.5000000000000001E-2</v>
      </c>
      <c r="K38" s="1">
        <f t="shared" si="2"/>
        <v>7.4999999999999997E-2</v>
      </c>
      <c r="L38" s="1">
        <f t="shared" si="3"/>
        <v>5.0000000000000001E-4</v>
      </c>
      <c r="M38" s="1">
        <f t="shared" si="4"/>
        <v>0.18613936472519524</v>
      </c>
      <c r="N38" s="1">
        <f t="shared" si="5"/>
        <v>2.0833333333333332E-2</v>
      </c>
      <c r="O38" s="1">
        <v>370</v>
      </c>
      <c r="P38" s="1">
        <v>3</v>
      </c>
      <c r="Q38" s="1">
        <v>4148</v>
      </c>
      <c r="R38" s="1">
        <f>[1]!HeatTransferArea(J38,D38,0.36,L38)</f>
        <v>0.28274333882308145</v>
      </c>
      <c r="S38" s="1">
        <f>[1]!Convection(J38,N38,1000,9*10^-4,L38,0.6,0.36,7)</f>
        <v>20660.760475301788</v>
      </c>
      <c r="U38" s="1">
        <f t="shared" si="6"/>
        <v>1.2547510243379743</v>
      </c>
      <c r="V38" s="1">
        <f t="shared" si="7"/>
        <v>2.5337837837837837E-6</v>
      </c>
      <c r="W38" s="1">
        <f t="shared" si="8"/>
        <v>2.815315315315316E-7</v>
      </c>
      <c r="X38" s="1">
        <f t="shared" si="9"/>
        <v>3</v>
      </c>
      <c r="Y38" s="1">
        <f t="shared" si="10"/>
        <v>169.64018180199898</v>
      </c>
      <c r="Z38" s="1">
        <f t="shared" si="11"/>
        <v>5</v>
      </c>
      <c r="AA38" s="1">
        <f t="shared" si="12"/>
        <v>0.18048795778045526</v>
      </c>
    </row>
    <row r="39" spans="1:27" x14ac:dyDescent="0.25">
      <c r="A39" s="1">
        <v>25</v>
      </c>
      <c r="B39" s="1">
        <v>0.5</v>
      </c>
      <c r="C39" s="1">
        <v>3</v>
      </c>
      <c r="D39" s="1">
        <f t="shared" si="0"/>
        <v>7.4999999999999997E-2</v>
      </c>
      <c r="E39" s="1">
        <v>15</v>
      </c>
      <c r="F39" s="1">
        <v>1</v>
      </c>
      <c r="G39" s="1">
        <v>75</v>
      </c>
      <c r="H39" s="1">
        <v>27.44178325</v>
      </c>
      <c r="J39" s="1">
        <f t="shared" si="1"/>
        <v>2.5000000000000001E-2</v>
      </c>
      <c r="K39" s="1">
        <f t="shared" si="2"/>
        <v>7.4999999999999997E-2</v>
      </c>
      <c r="L39" s="1">
        <f t="shared" si="3"/>
        <v>5.0000000000000001E-4</v>
      </c>
      <c r="M39" s="1">
        <f t="shared" si="4"/>
        <v>0.18613936472519524</v>
      </c>
      <c r="N39" s="1">
        <f t="shared" si="5"/>
        <v>2.0833333333333332E-2</v>
      </c>
      <c r="O39" s="1">
        <v>370</v>
      </c>
      <c r="P39" s="1">
        <v>3</v>
      </c>
      <c r="Q39" s="1">
        <v>4148</v>
      </c>
      <c r="R39" s="1">
        <f>[1]!HeatTransferArea(J39,D39,0.36,L39)</f>
        <v>0.28274333882308145</v>
      </c>
      <c r="S39" s="1">
        <f>[1]!Convection(J39,N39,1000,9*10^-4,L39,0.6,0.36,7)</f>
        <v>20660.760475301788</v>
      </c>
      <c r="U39" s="1">
        <f t="shared" si="6"/>
        <v>0.62737551216898713</v>
      </c>
      <c r="V39" s="1">
        <f t="shared" si="7"/>
        <v>5.0675675675675673E-6</v>
      </c>
      <c r="W39" s="1">
        <f t="shared" si="8"/>
        <v>5.630630630630632E-7</v>
      </c>
      <c r="X39" s="1">
        <f t="shared" si="9"/>
        <v>3</v>
      </c>
      <c r="Y39" s="1">
        <f t="shared" si="10"/>
        <v>84.820090900999489</v>
      </c>
      <c r="Z39" s="1">
        <f t="shared" si="11"/>
        <v>5</v>
      </c>
      <c r="AA39" s="1">
        <f t="shared" si="12"/>
        <v>0.13281622234367665</v>
      </c>
    </row>
    <row r="40" spans="1:27" x14ac:dyDescent="0.25">
      <c r="A40" s="1">
        <v>25</v>
      </c>
      <c r="B40" s="1">
        <v>0.5</v>
      </c>
      <c r="C40" s="1">
        <v>3</v>
      </c>
      <c r="D40" s="1">
        <f t="shared" si="0"/>
        <v>7.4999999999999997E-2</v>
      </c>
      <c r="E40" s="1">
        <v>15</v>
      </c>
      <c r="F40" s="1">
        <v>1.5</v>
      </c>
      <c r="G40" s="1">
        <v>75</v>
      </c>
      <c r="H40" s="1">
        <v>28.11801711</v>
      </c>
      <c r="J40" s="1">
        <f t="shared" si="1"/>
        <v>2.5000000000000001E-2</v>
      </c>
      <c r="K40" s="1">
        <f t="shared" si="2"/>
        <v>7.4999999999999997E-2</v>
      </c>
      <c r="L40" s="1">
        <f t="shared" si="3"/>
        <v>5.0000000000000001E-4</v>
      </c>
      <c r="M40" s="1">
        <f t="shared" si="4"/>
        <v>0.18613936472519524</v>
      </c>
      <c r="N40" s="1">
        <f t="shared" si="5"/>
        <v>2.0833333333333332E-2</v>
      </c>
      <c r="O40" s="1">
        <v>370</v>
      </c>
      <c r="P40" s="1">
        <v>3</v>
      </c>
      <c r="Q40" s="1">
        <v>4148</v>
      </c>
      <c r="R40" s="1">
        <f>[1]!HeatTransferArea(J40,D40,0.36,L40)</f>
        <v>0.28274333882308145</v>
      </c>
      <c r="S40" s="1">
        <f>[1]!Convection(J40,N40,1000,9*10^-4,L40,0.6,0.36,7)</f>
        <v>20660.760475301788</v>
      </c>
      <c r="U40" s="1">
        <f t="shared" si="6"/>
        <v>0.41825034144599144</v>
      </c>
      <c r="V40" s="1">
        <f t="shared" si="7"/>
        <v>7.6013513513513518E-6</v>
      </c>
      <c r="W40" s="1">
        <f t="shared" si="8"/>
        <v>8.445945945945948E-7</v>
      </c>
      <c r="X40" s="1">
        <f t="shared" si="9"/>
        <v>3</v>
      </c>
      <c r="Y40" s="1">
        <f t="shared" si="10"/>
        <v>56.546727267332997</v>
      </c>
      <c r="Z40" s="1">
        <f t="shared" si="11"/>
        <v>5</v>
      </c>
      <c r="AA40" s="1">
        <f t="shared" si="12"/>
        <v>9.0726096486339294E-2</v>
      </c>
    </row>
    <row r="41" spans="1:27" x14ac:dyDescent="0.25">
      <c r="A41" s="1">
        <v>25</v>
      </c>
      <c r="B41" s="1">
        <v>0.5</v>
      </c>
      <c r="C41" s="1">
        <v>3</v>
      </c>
      <c r="D41" s="1">
        <f t="shared" si="0"/>
        <v>7.4999999999999997E-2</v>
      </c>
      <c r="E41" s="1">
        <v>20</v>
      </c>
      <c r="F41" s="1">
        <v>0.5</v>
      </c>
      <c r="G41" s="1">
        <v>75</v>
      </c>
      <c r="H41" s="1">
        <v>5.0016555599999997</v>
      </c>
      <c r="J41" s="1">
        <f t="shared" si="1"/>
        <v>2.5000000000000001E-2</v>
      </c>
      <c r="K41" s="1">
        <f t="shared" si="2"/>
        <v>7.4999999999999997E-2</v>
      </c>
      <c r="L41" s="1">
        <f t="shared" si="3"/>
        <v>5.0000000000000001E-4</v>
      </c>
      <c r="M41" s="1">
        <f t="shared" si="4"/>
        <v>0.18613936472519524</v>
      </c>
      <c r="N41" s="1">
        <f t="shared" si="5"/>
        <v>2.0833333333333332E-2</v>
      </c>
      <c r="O41" s="1">
        <v>370</v>
      </c>
      <c r="P41" s="1">
        <v>3</v>
      </c>
      <c r="Q41" s="1">
        <v>4148</v>
      </c>
      <c r="R41" s="1">
        <f>[1]!HeatTransferArea(J41,D41,0.36,L41)</f>
        <v>0.28274333882308145</v>
      </c>
      <c r="S41" s="1">
        <f>[1]!Convection(J41,N41,1000,9*10^-4,L41,0.6,0.36,7)</f>
        <v>20660.760475301788</v>
      </c>
      <c r="U41" s="1">
        <f t="shared" si="6"/>
        <v>1.2547510243379743</v>
      </c>
      <c r="V41" s="1">
        <f t="shared" si="7"/>
        <v>2.5337837837837837E-6</v>
      </c>
      <c r="W41" s="1">
        <f t="shared" si="8"/>
        <v>2.815315315315316E-7</v>
      </c>
      <c r="X41" s="1">
        <f t="shared" si="9"/>
        <v>3</v>
      </c>
      <c r="Y41" s="1">
        <f t="shared" si="10"/>
        <v>169.64018180199898</v>
      </c>
      <c r="Z41" s="1">
        <f t="shared" si="11"/>
        <v>6.666666666666667</v>
      </c>
      <c r="AA41" s="1">
        <f t="shared" si="12"/>
        <v>4.8415293633911088E-2</v>
      </c>
    </row>
    <row r="42" spans="1:27" x14ac:dyDescent="0.25">
      <c r="A42" s="1">
        <v>25</v>
      </c>
      <c r="B42" s="1">
        <v>0.5</v>
      </c>
      <c r="C42" s="1">
        <v>3</v>
      </c>
      <c r="D42" s="1">
        <f t="shared" si="0"/>
        <v>7.4999999999999997E-2</v>
      </c>
      <c r="E42" s="1">
        <v>20</v>
      </c>
      <c r="F42" s="1">
        <v>1</v>
      </c>
      <c r="G42" s="1">
        <v>75</v>
      </c>
      <c r="H42" s="1">
        <v>16.261449469999999</v>
      </c>
      <c r="J42" s="1">
        <f t="shared" si="1"/>
        <v>2.5000000000000001E-2</v>
      </c>
      <c r="K42" s="1">
        <f t="shared" si="2"/>
        <v>7.4999999999999997E-2</v>
      </c>
      <c r="L42" s="1">
        <f t="shared" si="3"/>
        <v>5.0000000000000001E-4</v>
      </c>
      <c r="M42" s="1">
        <f t="shared" si="4"/>
        <v>0.18613936472519524</v>
      </c>
      <c r="N42" s="1">
        <f t="shared" si="5"/>
        <v>2.0833333333333332E-2</v>
      </c>
      <c r="O42" s="1">
        <v>370</v>
      </c>
      <c r="P42" s="1">
        <v>3</v>
      </c>
      <c r="Q42" s="1">
        <v>4148</v>
      </c>
      <c r="R42" s="1">
        <f>[1]!HeatTransferArea(J42,D42,0.36,L42)</f>
        <v>0.28274333882308145</v>
      </c>
      <c r="S42" s="1">
        <f>[1]!Convection(J42,N42,1000,9*10^-4,L42,0.6,0.36,7)</f>
        <v>20660.760475301788</v>
      </c>
      <c r="U42" s="1">
        <f t="shared" si="6"/>
        <v>0.62737551216898713</v>
      </c>
      <c r="V42" s="1">
        <f t="shared" si="7"/>
        <v>5.0675675675675673E-6</v>
      </c>
      <c r="W42" s="1">
        <f t="shared" si="8"/>
        <v>5.630630630630632E-7</v>
      </c>
      <c r="X42" s="1">
        <f t="shared" si="9"/>
        <v>3</v>
      </c>
      <c r="Y42" s="1">
        <f t="shared" si="10"/>
        <v>84.820090900999489</v>
      </c>
      <c r="Z42" s="1">
        <f t="shared" si="11"/>
        <v>6.666666666666667</v>
      </c>
      <c r="AA42" s="1">
        <f t="shared" si="12"/>
        <v>7.8704225186895696E-2</v>
      </c>
    </row>
    <row r="43" spans="1:27" x14ac:dyDescent="0.25">
      <c r="A43" s="1">
        <v>25</v>
      </c>
      <c r="B43" s="1">
        <v>0.5</v>
      </c>
      <c r="C43" s="1">
        <v>3</v>
      </c>
      <c r="D43" s="1">
        <f t="shared" si="0"/>
        <v>7.4999999999999997E-2</v>
      </c>
      <c r="E43" s="1">
        <v>20</v>
      </c>
      <c r="F43" s="1">
        <v>1.5</v>
      </c>
      <c r="G43" s="1">
        <v>75</v>
      </c>
      <c r="H43" s="1">
        <v>17.433283100000001</v>
      </c>
      <c r="J43" s="1">
        <f t="shared" si="1"/>
        <v>2.5000000000000001E-2</v>
      </c>
      <c r="K43" s="1">
        <f t="shared" si="2"/>
        <v>7.4999999999999997E-2</v>
      </c>
      <c r="L43" s="1">
        <f t="shared" si="3"/>
        <v>5.0000000000000001E-4</v>
      </c>
      <c r="M43" s="1">
        <f t="shared" si="4"/>
        <v>0.18613936472519524</v>
      </c>
      <c r="N43" s="1">
        <f t="shared" si="5"/>
        <v>2.0833333333333332E-2</v>
      </c>
      <c r="O43" s="1">
        <v>370</v>
      </c>
      <c r="P43" s="1">
        <v>3</v>
      </c>
      <c r="Q43" s="1">
        <v>4148</v>
      </c>
      <c r="R43" s="1">
        <f>[1]!HeatTransferArea(J43,D43,0.36,L43)</f>
        <v>0.28274333882308145</v>
      </c>
      <c r="S43" s="1">
        <f>[1]!Convection(J43,N43,1000,9*10^-4,L43,0.6,0.36,7)</f>
        <v>20660.760475301788</v>
      </c>
      <c r="U43" s="1">
        <f t="shared" si="6"/>
        <v>0.41825034144599144</v>
      </c>
      <c r="V43" s="1">
        <f t="shared" si="7"/>
        <v>7.6013513513513518E-6</v>
      </c>
      <c r="W43" s="1">
        <f t="shared" si="8"/>
        <v>8.445945945945948E-7</v>
      </c>
      <c r="X43" s="1">
        <f t="shared" si="9"/>
        <v>3</v>
      </c>
      <c r="Y43" s="1">
        <f t="shared" si="10"/>
        <v>56.546727267332997</v>
      </c>
      <c r="Z43" s="1">
        <f t="shared" si="11"/>
        <v>6.666666666666667</v>
      </c>
      <c r="AA43" s="1">
        <f t="shared" si="12"/>
        <v>5.6250542789582511E-2</v>
      </c>
    </row>
    <row r="44" spans="1:27" x14ac:dyDescent="0.25">
      <c r="A44" s="1">
        <v>25</v>
      </c>
      <c r="B44" s="1">
        <v>0.5</v>
      </c>
      <c r="C44" s="1">
        <v>4</v>
      </c>
      <c r="D44" s="1">
        <f t="shared" si="0"/>
        <v>0.1</v>
      </c>
      <c r="E44" s="1">
        <v>15</v>
      </c>
      <c r="F44" s="1">
        <v>0.5</v>
      </c>
      <c r="G44" s="1">
        <v>75</v>
      </c>
      <c r="H44" s="1">
        <v>25.602943369999998</v>
      </c>
      <c r="J44" s="1">
        <f t="shared" si="1"/>
        <v>2.5000000000000001E-2</v>
      </c>
      <c r="K44" s="1">
        <f t="shared" si="2"/>
        <v>0.1</v>
      </c>
      <c r="L44" s="1">
        <f t="shared" si="3"/>
        <v>5.0000000000000001E-4</v>
      </c>
      <c r="M44" s="1">
        <f t="shared" si="4"/>
        <v>0.24818581963359368</v>
      </c>
      <c r="N44" s="1">
        <f t="shared" si="5"/>
        <v>2.0833333333333332E-2</v>
      </c>
      <c r="O44" s="1">
        <v>370</v>
      </c>
      <c r="P44" s="1">
        <v>3</v>
      </c>
      <c r="Q44" s="1">
        <v>4148</v>
      </c>
      <c r="R44" s="1">
        <f>[1]!HeatTransferArea(J44,D44,0.36,L44)</f>
        <v>0.37699111843077526</v>
      </c>
      <c r="S44" s="1">
        <f>[1]!Convection(J44,N44,1000,9*10^-4,L44,0.6,0.36,7)</f>
        <v>20660.760475301788</v>
      </c>
      <c r="U44" s="1">
        <f t="shared" si="6"/>
        <v>0.94106326825348063</v>
      </c>
      <c r="V44" s="1">
        <f t="shared" si="7"/>
        <v>4.5045045045045056E-6</v>
      </c>
      <c r="W44" s="1">
        <f t="shared" si="8"/>
        <v>2.815315315315316E-7</v>
      </c>
      <c r="X44" s="1">
        <f t="shared" si="9"/>
        <v>4</v>
      </c>
      <c r="Y44" s="1">
        <f t="shared" si="10"/>
        <v>169.64018180199895</v>
      </c>
      <c r="Z44" s="1">
        <f t="shared" si="11"/>
        <v>5</v>
      </c>
      <c r="AA44" s="1">
        <f t="shared" si="12"/>
        <v>0.1858745578760346</v>
      </c>
    </row>
    <row r="45" spans="1:27" x14ac:dyDescent="0.25">
      <c r="A45" s="1">
        <v>25</v>
      </c>
      <c r="B45" s="1">
        <v>0.5</v>
      </c>
      <c r="C45" s="1">
        <v>4</v>
      </c>
      <c r="D45" s="1">
        <f t="shared" si="0"/>
        <v>0.1</v>
      </c>
      <c r="E45" s="1">
        <v>15</v>
      </c>
      <c r="F45" s="1">
        <v>1</v>
      </c>
      <c r="G45" s="1">
        <v>75</v>
      </c>
      <c r="H45" s="1">
        <v>28.081027500000001</v>
      </c>
      <c r="J45" s="1">
        <f t="shared" si="1"/>
        <v>2.5000000000000001E-2</v>
      </c>
      <c r="K45" s="1">
        <f t="shared" si="2"/>
        <v>0.1</v>
      </c>
      <c r="L45" s="1">
        <f t="shared" si="3"/>
        <v>5.0000000000000001E-4</v>
      </c>
      <c r="M45" s="1">
        <f t="shared" si="4"/>
        <v>0.24818581963359368</v>
      </c>
      <c r="N45" s="1">
        <f t="shared" si="5"/>
        <v>2.0833333333333332E-2</v>
      </c>
      <c r="O45" s="1">
        <v>370</v>
      </c>
      <c r="P45" s="1">
        <v>3</v>
      </c>
      <c r="Q45" s="1">
        <v>4148</v>
      </c>
      <c r="R45" s="1">
        <f>[1]!HeatTransferArea(J45,D45,0.36,L45)</f>
        <v>0.37699111843077526</v>
      </c>
      <c r="S45" s="1">
        <f>[1]!Convection(J45,N45,1000,9*10^-4,L45,0.6,0.36,7)</f>
        <v>20660.760475301788</v>
      </c>
      <c r="U45" s="1">
        <f t="shared" si="6"/>
        <v>0.47053163412674032</v>
      </c>
      <c r="V45" s="1">
        <f t="shared" si="7"/>
        <v>9.0090090090090112E-6</v>
      </c>
      <c r="W45" s="1">
        <f t="shared" si="8"/>
        <v>5.630630630630632E-7</v>
      </c>
      <c r="X45" s="1">
        <f t="shared" si="9"/>
        <v>4</v>
      </c>
      <c r="Y45" s="1">
        <f t="shared" si="10"/>
        <v>84.820090900999475</v>
      </c>
      <c r="Z45" s="1">
        <f t="shared" si="11"/>
        <v>5</v>
      </c>
      <c r="AA45" s="1">
        <f t="shared" si="12"/>
        <v>0.10193258829340741</v>
      </c>
    </row>
    <row r="46" spans="1:27" x14ac:dyDescent="0.25">
      <c r="A46" s="1">
        <v>25</v>
      </c>
      <c r="B46" s="1">
        <v>0.5</v>
      </c>
      <c r="C46" s="1">
        <v>4</v>
      </c>
      <c r="D46" s="1">
        <f t="shared" si="0"/>
        <v>0.1</v>
      </c>
      <c r="E46" s="1">
        <v>15</v>
      </c>
      <c r="F46" s="1">
        <v>1.5</v>
      </c>
      <c r="G46" s="1">
        <v>75</v>
      </c>
      <c r="H46" s="1">
        <v>28.201669819999999</v>
      </c>
      <c r="J46" s="1">
        <f t="shared" si="1"/>
        <v>2.5000000000000001E-2</v>
      </c>
      <c r="K46" s="1">
        <f t="shared" si="2"/>
        <v>0.1</v>
      </c>
      <c r="L46" s="1">
        <f t="shared" si="3"/>
        <v>5.0000000000000001E-4</v>
      </c>
      <c r="M46" s="1">
        <f t="shared" si="4"/>
        <v>0.24818581963359368</v>
      </c>
      <c r="N46" s="1">
        <f t="shared" si="5"/>
        <v>2.0833333333333332E-2</v>
      </c>
      <c r="O46" s="1">
        <v>370</v>
      </c>
      <c r="P46" s="1">
        <v>3</v>
      </c>
      <c r="Q46" s="1">
        <v>4148</v>
      </c>
      <c r="R46" s="1">
        <f>[1]!HeatTransferArea(J46,D46,0.36,L46)</f>
        <v>0.37699111843077526</v>
      </c>
      <c r="S46" s="1">
        <f>[1]!Convection(J46,N46,1000,9*10^-4,L46,0.6,0.36,7)</f>
        <v>20660.760475301788</v>
      </c>
      <c r="U46" s="1">
        <f t="shared" si="6"/>
        <v>0.31368775608449356</v>
      </c>
      <c r="V46" s="1">
        <f t="shared" si="7"/>
        <v>1.3513513513513517E-5</v>
      </c>
      <c r="W46" s="1">
        <f t="shared" si="8"/>
        <v>8.445945945945948E-7</v>
      </c>
      <c r="X46" s="1">
        <f t="shared" si="9"/>
        <v>4</v>
      </c>
      <c r="Y46" s="1">
        <f t="shared" si="10"/>
        <v>56.54672726733299</v>
      </c>
      <c r="Z46" s="1">
        <f t="shared" si="11"/>
        <v>5</v>
      </c>
      <c r="AA46" s="1">
        <f t="shared" si="12"/>
        <v>6.8247008861497274E-2</v>
      </c>
    </row>
    <row r="47" spans="1:27" x14ac:dyDescent="0.25">
      <c r="A47" s="1">
        <v>25</v>
      </c>
      <c r="B47" s="1">
        <v>0.5</v>
      </c>
      <c r="C47" s="1">
        <v>4</v>
      </c>
      <c r="D47" s="1">
        <f t="shared" si="0"/>
        <v>0.1</v>
      </c>
      <c r="E47" s="1">
        <v>20</v>
      </c>
      <c r="F47" s="1">
        <v>0.5</v>
      </c>
      <c r="G47" s="1">
        <v>75</v>
      </c>
      <c r="H47" s="1">
        <v>13.899042059999999</v>
      </c>
      <c r="J47" s="1">
        <f t="shared" si="1"/>
        <v>2.5000000000000001E-2</v>
      </c>
      <c r="K47" s="1">
        <f t="shared" si="2"/>
        <v>0.1</v>
      </c>
      <c r="L47" s="1">
        <f t="shared" si="3"/>
        <v>5.0000000000000001E-4</v>
      </c>
      <c r="M47" s="1">
        <f t="shared" si="4"/>
        <v>0.24818581963359368</v>
      </c>
      <c r="N47" s="1">
        <f t="shared" si="5"/>
        <v>2.0833333333333332E-2</v>
      </c>
      <c r="O47" s="1">
        <v>370</v>
      </c>
      <c r="P47" s="1">
        <v>3</v>
      </c>
      <c r="Q47" s="1">
        <v>4148</v>
      </c>
      <c r="R47" s="1">
        <f>[1]!HeatTransferArea(J47,D47,0.36,L47)</f>
        <v>0.37699111843077526</v>
      </c>
      <c r="S47" s="1">
        <f>[1]!Convection(J47,N47,1000,9*10^-4,L47,0.6,0.36,7)</f>
        <v>20660.760475301788</v>
      </c>
      <c r="U47" s="1">
        <f t="shared" si="6"/>
        <v>0.94106326825348063</v>
      </c>
      <c r="V47" s="1">
        <f t="shared" si="7"/>
        <v>4.5045045045045056E-6</v>
      </c>
      <c r="W47" s="1">
        <f t="shared" si="8"/>
        <v>2.815315315315316E-7</v>
      </c>
      <c r="X47" s="1">
        <f t="shared" si="9"/>
        <v>4</v>
      </c>
      <c r="Y47" s="1">
        <f t="shared" si="10"/>
        <v>169.64018180199895</v>
      </c>
      <c r="Z47" s="1">
        <f t="shared" si="11"/>
        <v>6.666666666666667</v>
      </c>
      <c r="AA47" s="1">
        <f t="shared" si="12"/>
        <v>0.10090551935642192</v>
      </c>
    </row>
    <row r="48" spans="1:27" x14ac:dyDescent="0.25">
      <c r="A48" s="1">
        <v>25</v>
      </c>
      <c r="B48" s="1">
        <v>0.5</v>
      </c>
      <c r="C48" s="1">
        <v>4</v>
      </c>
      <c r="D48" s="1">
        <f t="shared" si="0"/>
        <v>0.1</v>
      </c>
      <c r="E48" s="1">
        <v>20</v>
      </c>
      <c r="F48" s="1">
        <v>1</v>
      </c>
      <c r="G48" s="1">
        <v>75</v>
      </c>
      <c r="H48" s="1">
        <v>17.541011820000001</v>
      </c>
      <c r="J48" s="1">
        <f t="shared" si="1"/>
        <v>2.5000000000000001E-2</v>
      </c>
      <c r="K48" s="1">
        <f t="shared" si="2"/>
        <v>0.1</v>
      </c>
      <c r="L48" s="1">
        <f t="shared" si="3"/>
        <v>5.0000000000000001E-4</v>
      </c>
      <c r="M48" s="1">
        <f t="shared" si="4"/>
        <v>0.24818581963359368</v>
      </c>
      <c r="N48" s="1">
        <f t="shared" si="5"/>
        <v>2.0833333333333332E-2</v>
      </c>
      <c r="O48" s="1">
        <v>370</v>
      </c>
      <c r="P48" s="1">
        <v>3</v>
      </c>
      <c r="Q48" s="1">
        <v>4148</v>
      </c>
      <c r="R48" s="1">
        <f>[1]!HeatTransferArea(J48,D48,0.36,L48)</f>
        <v>0.37699111843077526</v>
      </c>
      <c r="S48" s="1">
        <f>[1]!Convection(J48,N48,1000,9*10^-4,L48,0.6,0.36,7)</f>
        <v>20660.760475301788</v>
      </c>
      <c r="U48" s="1">
        <f t="shared" si="6"/>
        <v>0.47053163412674032</v>
      </c>
      <c r="V48" s="1">
        <f t="shared" si="7"/>
        <v>9.0090090090090112E-6</v>
      </c>
      <c r="W48" s="1">
        <f t="shared" si="8"/>
        <v>5.630630630630632E-7</v>
      </c>
      <c r="X48" s="1">
        <f t="shared" si="9"/>
        <v>4</v>
      </c>
      <c r="Y48" s="1">
        <f t="shared" si="10"/>
        <v>84.820090900999475</v>
      </c>
      <c r="Z48" s="1">
        <f t="shared" si="11"/>
        <v>6.666666666666667</v>
      </c>
      <c r="AA48" s="1">
        <f t="shared" si="12"/>
        <v>6.3672909978021747E-2</v>
      </c>
    </row>
    <row r="49" spans="1:27" x14ac:dyDescent="0.25">
      <c r="A49" s="1">
        <v>25</v>
      </c>
      <c r="B49" s="1">
        <v>0.5</v>
      </c>
      <c r="C49" s="1">
        <v>4</v>
      </c>
      <c r="D49" s="1">
        <f t="shared" si="0"/>
        <v>0.1</v>
      </c>
      <c r="E49" s="1">
        <v>20</v>
      </c>
      <c r="F49" s="1">
        <v>1.5</v>
      </c>
      <c r="G49" s="1">
        <v>75</v>
      </c>
      <c r="H49" s="1">
        <v>17.986056829999999</v>
      </c>
      <c r="J49" s="1">
        <f t="shared" si="1"/>
        <v>2.5000000000000001E-2</v>
      </c>
      <c r="K49" s="1">
        <f t="shared" si="2"/>
        <v>0.1</v>
      </c>
      <c r="L49" s="1">
        <f t="shared" si="3"/>
        <v>5.0000000000000001E-4</v>
      </c>
      <c r="M49" s="1">
        <f t="shared" si="4"/>
        <v>0.24818581963359368</v>
      </c>
      <c r="N49" s="1">
        <f t="shared" si="5"/>
        <v>2.0833333333333332E-2</v>
      </c>
      <c r="O49" s="1">
        <v>370</v>
      </c>
      <c r="P49" s="1">
        <v>3</v>
      </c>
      <c r="Q49" s="1">
        <v>4148</v>
      </c>
      <c r="R49" s="1">
        <f>[1]!HeatTransferArea(J49,D49,0.36,L49)</f>
        <v>0.37699111843077526</v>
      </c>
      <c r="S49" s="1">
        <f>[1]!Convection(J49,N49,1000,9*10^-4,L49,0.6,0.36,7)</f>
        <v>20660.760475301788</v>
      </c>
      <c r="U49" s="1">
        <f t="shared" si="6"/>
        <v>0.31368775608449356</v>
      </c>
      <c r="V49" s="1">
        <f t="shared" si="7"/>
        <v>1.3513513513513517E-5</v>
      </c>
      <c r="W49" s="1">
        <f t="shared" si="8"/>
        <v>8.445945945945948E-7</v>
      </c>
      <c r="X49" s="1">
        <f t="shared" si="9"/>
        <v>4</v>
      </c>
      <c r="Y49" s="1">
        <f t="shared" si="10"/>
        <v>56.54672726733299</v>
      </c>
      <c r="Z49" s="1">
        <f t="shared" si="11"/>
        <v>6.666666666666667</v>
      </c>
      <c r="AA49" s="1">
        <f t="shared" si="12"/>
        <v>4.3525599288801391E-2</v>
      </c>
    </row>
    <row r="50" spans="1:27" x14ac:dyDescent="0.25">
      <c r="A50" s="1">
        <v>25</v>
      </c>
      <c r="B50" s="1">
        <v>0.5</v>
      </c>
      <c r="C50" s="1">
        <v>5</v>
      </c>
      <c r="D50" s="1">
        <f t="shared" si="0"/>
        <v>0.125</v>
      </c>
      <c r="E50" s="1">
        <v>15</v>
      </c>
      <c r="F50" s="1">
        <v>0.5</v>
      </c>
      <c r="G50" s="1">
        <v>75</v>
      </c>
      <c r="H50" s="1">
        <v>27.230346109999999</v>
      </c>
      <c r="J50" s="1">
        <f t="shared" si="1"/>
        <v>2.5000000000000001E-2</v>
      </c>
      <c r="K50" s="1">
        <f t="shared" si="2"/>
        <v>0.125</v>
      </c>
      <c r="L50" s="1">
        <f t="shared" si="3"/>
        <v>5.0000000000000001E-4</v>
      </c>
      <c r="M50" s="1">
        <f t="shared" si="4"/>
        <v>0.31023227454199215</v>
      </c>
      <c r="N50" s="1">
        <f t="shared" si="5"/>
        <v>2.0833333333333332E-2</v>
      </c>
      <c r="O50" s="1">
        <v>370</v>
      </c>
      <c r="P50" s="1">
        <v>3</v>
      </c>
      <c r="Q50" s="1">
        <v>4148</v>
      </c>
      <c r="R50" s="1">
        <f>[1]!HeatTransferArea(J50,D50,0.36,L50)</f>
        <v>0.47123889803846908</v>
      </c>
      <c r="S50" s="1">
        <f>[1]!Convection(J50,N50,1000,9*10^-4,L50,0.6,0.36,7)</f>
        <v>20660.760475301788</v>
      </c>
      <c r="U50" s="1">
        <f t="shared" si="6"/>
        <v>0.75285061460278435</v>
      </c>
      <c r="V50" s="1">
        <f t="shared" si="7"/>
        <v>7.0382882882882884E-6</v>
      </c>
      <c r="W50" s="1">
        <f t="shared" si="8"/>
        <v>2.815315315315316E-7</v>
      </c>
      <c r="X50" s="1">
        <f t="shared" si="9"/>
        <v>5</v>
      </c>
      <c r="Y50" s="1">
        <f t="shared" si="10"/>
        <v>169.64018180199895</v>
      </c>
      <c r="Z50" s="1">
        <f t="shared" si="11"/>
        <v>5</v>
      </c>
      <c r="AA50" s="1">
        <f t="shared" si="12"/>
        <v>0.15815145847452297</v>
      </c>
    </row>
    <row r="51" spans="1:27" x14ac:dyDescent="0.25">
      <c r="A51" s="1">
        <v>25</v>
      </c>
      <c r="B51" s="1">
        <v>0.5</v>
      </c>
      <c r="C51" s="1">
        <v>5</v>
      </c>
      <c r="D51" s="1">
        <f t="shared" si="0"/>
        <v>0.125</v>
      </c>
      <c r="E51" s="1">
        <v>15</v>
      </c>
      <c r="F51" s="1">
        <v>1</v>
      </c>
      <c r="G51" s="1">
        <v>75</v>
      </c>
      <c r="H51" s="1">
        <v>28.104016720000001</v>
      </c>
      <c r="J51" s="1">
        <f t="shared" si="1"/>
        <v>2.5000000000000001E-2</v>
      </c>
      <c r="K51" s="1">
        <f t="shared" si="2"/>
        <v>0.125</v>
      </c>
      <c r="L51" s="1">
        <f t="shared" si="3"/>
        <v>5.0000000000000001E-4</v>
      </c>
      <c r="M51" s="1">
        <f t="shared" si="4"/>
        <v>0.31023227454199215</v>
      </c>
      <c r="N51" s="1">
        <f t="shared" si="5"/>
        <v>2.0833333333333332E-2</v>
      </c>
      <c r="O51" s="1">
        <v>370</v>
      </c>
      <c r="P51" s="1">
        <v>3</v>
      </c>
      <c r="Q51" s="1">
        <v>4148</v>
      </c>
      <c r="R51" s="1">
        <f>[1]!HeatTransferArea(J51,D51,0.36,L51)</f>
        <v>0.47123889803846908</v>
      </c>
      <c r="S51" s="1">
        <f>[1]!Convection(J51,N51,1000,9*10^-4,L51,0.6,0.36,7)</f>
        <v>20660.760475301788</v>
      </c>
      <c r="U51" s="1">
        <f t="shared" si="6"/>
        <v>0.37642530730139218</v>
      </c>
      <c r="V51" s="1">
        <f t="shared" si="7"/>
        <v>1.4076576576576577E-5</v>
      </c>
      <c r="W51" s="1">
        <f t="shared" si="8"/>
        <v>5.630630630630632E-7</v>
      </c>
      <c r="X51" s="1">
        <f t="shared" si="9"/>
        <v>5</v>
      </c>
      <c r="Y51" s="1">
        <f t="shared" si="10"/>
        <v>84.820090900999475</v>
      </c>
      <c r="Z51" s="1">
        <f t="shared" si="11"/>
        <v>5</v>
      </c>
      <c r="AA51" s="1">
        <f t="shared" si="12"/>
        <v>8.1612830319995874E-2</v>
      </c>
    </row>
    <row r="52" spans="1:27" x14ac:dyDescent="0.25">
      <c r="A52" s="1">
        <v>25</v>
      </c>
      <c r="B52" s="1">
        <v>0.5</v>
      </c>
      <c r="C52" s="1">
        <v>5</v>
      </c>
      <c r="D52" s="1">
        <f t="shared" si="0"/>
        <v>0.125</v>
      </c>
      <c r="E52" s="1">
        <v>15</v>
      </c>
      <c r="F52" s="1">
        <v>1.5</v>
      </c>
      <c r="G52" s="1">
        <v>75</v>
      </c>
      <c r="H52" s="1">
        <v>28.06206809</v>
      </c>
      <c r="J52" s="1">
        <f t="shared" si="1"/>
        <v>2.5000000000000001E-2</v>
      </c>
      <c r="K52" s="1">
        <f t="shared" si="2"/>
        <v>0.125</v>
      </c>
      <c r="L52" s="1">
        <f t="shared" si="3"/>
        <v>5.0000000000000001E-4</v>
      </c>
      <c r="M52" s="1">
        <f t="shared" si="4"/>
        <v>0.31023227454199215</v>
      </c>
      <c r="N52" s="1">
        <f t="shared" si="5"/>
        <v>2.0833333333333332E-2</v>
      </c>
      <c r="O52" s="1">
        <v>370</v>
      </c>
      <c r="P52" s="1">
        <v>3</v>
      </c>
      <c r="Q52" s="1">
        <v>4148</v>
      </c>
      <c r="R52" s="1">
        <f>[1]!HeatTransferArea(J52,D52,0.36,L52)</f>
        <v>0.47123889803846908</v>
      </c>
      <c r="S52" s="1">
        <f>[1]!Convection(J52,N52,1000,9*10^-4,L52,0.6,0.36,7)</f>
        <v>20660.760475301788</v>
      </c>
      <c r="U52" s="1">
        <f t="shared" si="6"/>
        <v>0.25095020486759478</v>
      </c>
      <c r="V52" s="1">
        <f t="shared" si="7"/>
        <v>2.1114864864864866E-5</v>
      </c>
      <c r="W52" s="1">
        <f t="shared" si="8"/>
        <v>8.445945945945948E-7</v>
      </c>
      <c r="X52" s="1">
        <f t="shared" si="9"/>
        <v>5</v>
      </c>
      <c r="Y52" s="1">
        <f t="shared" si="10"/>
        <v>56.546727267332983</v>
      </c>
      <c r="Z52" s="1">
        <f t="shared" si="11"/>
        <v>5</v>
      </c>
      <c r="AA52" s="1">
        <f t="shared" si="12"/>
        <v>5.4327342227146733E-2</v>
      </c>
    </row>
    <row r="53" spans="1:27" x14ac:dyDescent="0.25">
      <c r="A53" s="1">
        <v>25</v>
      </c>
      <c r="B53" s="1">
        <v>0.5</v>
      </c>
      <c r="C53" s="1">
        <v>5</v>
      </c>
      <c r="D53" s="1">
        <f t="shared" si="0"/>
        <v>0.125</v>
      </c>
      <c r="E53" s="1">
        <v>20</v>
      </c>
      <c r="F53" s="1">
        <v>0.5</v>
      </c>
      <c r="G53" s="1">
        <v>75</v>
      </c>
      <c r="H53" s="1">
        <v>16.234669029999999</v>
      </c>
      <c r="J53" s="1">
        <f t="shared" si="1"/>
        <v>2.5000000000000001E-2</v>
      </c>
      <c r="K53" s="1">
        <f t="shared" si="2"/>
        <v>0.125</v>
      </c>
      <c r="L53" s="1">
        <f t="shared" si="3"/>
        <v>5.0000000000000001E-4</v>
      </c>
      <c r="M53" s="1">
        <f t="shared" si="4"/>
        <v>0.31023227454199215</v>
      </c>
      <c r="N53" s="1">
        <f t="shared" si="5"/>
        <v>2.0833333333333332E-2</v>
      </c>
      <c r="O53" s="1">
        <v>370</v>
      </c>
      <c r="P53" s="1">
        <v>3</v>
      </c>
      <c r="Q53" s="1">
        <v>4148</v>
      </c>
      <c r="R53" s="1">
        <f>[1]!HeatTransferArea(J53,D53,0.36,L53)</f>
        <v>0.47123889803846908</v>
      </c>
      <c r="S53" s="1">
        <f>[1]!Convection(J53,N53,1000,9*10^-4,L53,0.6,0.36,7)</f>
        <v>20660.760475301788</v>
      </c>
      <c r="U53" s="1">
        <f t="shared" si="6"/>
        <v>0.75285061460278435</v>
      </c>
      <c r="V53" s="1">
        <f t="shared" si="7"/>
        <v>7.0382882882882884E-6</v>
      </c>
      <c r="W53" s="1">
        <f t="shared" si="8"/>
        <v>2.815315315315316E-7</v>
      </c>
      <c r="X53" s="1">
        <f t="shared" si="9"/>
        <v>5</v>
      </c>
      <c r="Y53" s="1">
        <f t="shared" si="10"/>
        <v>169.64018180199895</v>
      </c>
      <c r="Z53" s="1">
        <f t="shared" si="11"/>
        <v>6.666666666666667</v>
      </c>
      <c r="AA53" s="1">
        <f t="shared" si="12"/>
        <v>9.4289531780970409E-2</v>
      </c>
    </row>
    <row r="54" spans="1:27" x14ac:dyDescent="0.25">
      <c r="A54" s="1">
        <v>25</v>
      </c>
      <c r="B54" s="1">
        <v>0.5</v>
      </c>
      <c r="C54" s="1">
        <v>5</v>
      </c>
      <c r="D54" s="1">
        <f t="shared" si="0"/>
        <v>0.125</v>
      </c>
      <c r="E54" s="1">
        <v>20</v>
      </c>
      <c r="F54" s="1">
        <v>1</v>
      </c>
      <c r="G54" s="1">
        <v>75</v>
      </c>
      <c r="H54" s="1">
        <v>17.89559199</v>
      </c>
      <c r="J54" s="1">
        <f t="shared" si="1"/>
        <v>2.5000000000000001E-2</v>
      </c>
      <c r="K54" s="1">
        <f t="shared" si="2"/>
        <v>0.125</v>
      </c>
      <c r="L54" s="1">
        <f t="shared" si="3"/>
        <v>5.0000000000000001E-4</v>
      </c>
      <c r="M54" s="1">
        <f t="shared" si="4"/>
        <v>0.31023227454199215</v>
      </c>
      <c r="N54" s="1">
        <f t="shared" si="5"/>
        <v>2.0833333333333332E-2</v>
      </c>
      <c r="O54" s="1">
        <v>370</v>
      </c>
      <c r="P54" s="1">
        <v>3</v>
      </c>
      <c r="Q54" s="1">
        <v>4148</v>
      </c>
      <c r="R54" s="1">
        <f>[1]!HeatTransferArea(J54,D54,0.36,L54)</f>
        <v>0.47123889803846908</v>
      </c>
      <c r="S54" s="1">
        <f>[1]!Convection(J54,N54,1000,9*10^-4,L54,0.6,0.36,7)</f>
        <v>20660.760475301788</v>
      </c>
      <c r="U54" s="1">
        <f t="shared" si="6"/>
        <v>0.37642530730139218</v>
      </c>
      <c r="V54" s="1">
        <f t="shared" si="7"/>
        <v>1.4076576576576577E-5</v>
      </c>
      <c r="W54" s="1">
        <f t="shared" si="8"/>
        <v>5.630630630630632E-7</v>
      </c>
      <c r="X54" s="1">
        <f t="shared" si="9"/>
        <v>5</v>
      </c>
      <c r="Y54" s="1">
        <f t="shared" si="10"/>
        <v>84.820090900999475</v>
      </c>
      <c r="Z54" s="1">
        <f t="shared" si="11"/>
        <v>6.666666666666667</v>
      </c>
      <c r="AA54" s="1">
        <f t="shared" si="12"/>
        <v>5.1968013224116358E-2</v>
      </c>
    </row>
    <row r="55" spans="1:27" x14ac:dyDescent="0.25">
      <c r="A55" s="1">
        <v>25</v>
      </c>
      <c r="B55" s="1">
        <v>0.5</v>
      </c>
      <c r="C55" s="1">
        <v>5</v>
      </c>
      <c r="D55" s="1">
        <f t="shared" si="0"/>
        <v>0.125</v>
      </c>
      <c r="E55" s="1">
        <v>20</v>
      </c>
      <c r="F55" s="1">
        <v>1.5</v>
      </c>
      <c r="G55" s="1">
        <v>75</v>
      </c>
      <c r="H55" s="1">
        <v>18.08735613</v>
      </c>
      <c r="J55" s="1">
        <f t="shared" si="1"/>
        <v>2.5000000000000001E-2</v>
      </c>
      <c r="K55" s="1">
        <f t="shared" si="2"/>
        <v>0.125</v>
      </c>
      <c r="L55" s="1">
        <f t="shared" si="3"/>
        <v>5.0000000000000001E-4</v>
      </c>
      <c r="M55" s="1">
        <f t="shared" si="4"/>
        <v>0.31023227454199215</v>
      </c>
      <c r="N55" s="1">
        <f t="shared" si="5"/>
        <v>2.0833333333333332E-2</v>
      </c>
      <c r="O55" s="1">
        <v>370</v>
      </c>
      <c r="P55" s="1">
        <v>3</v>
      </c>
      <c r="Q55" s="1">
        <v>4148</v>
      </c>
      <c r="R55" s="1">
        <f>[1]!HeatTransferArea(J55,D55,0.36,L55)</f>
        <v>0.47123889803846908</v>
      </c>
      <c r="S55" s="1">
        <f>[1]!Convection(J55,N55,1000,9*10^-4,L55,0.6,0.36,7)</f>
        <v>20660.760475301788</v>
      </c>
      <c r="U55" s="1">
        <f t="shared" si="6"/>
        <v>0.25095020486759478</v>
      </c>
      <c r="V55" s="1">
        <f t="shared" si="7"/>
        <v>2.1114864864864866E-5</v>
      </c>
      <c r="W55" s="1">
        <f t="shared" si="8"/>
        <v>8.445945945945948E-7</v>
      </c>
      <c r="X55" s="1">
        <f t="shared" si="9"/>
        <v>5</v>
      </c>
      <c r="Y55" s="1">
        <f t="shared" si="10"/>
        <v>56.546727267332983</v>
      </c>
      <c r="Z55" s="1">
        <f t="shared" si="11"/>
        <v>6.666666666666667</v>
      </c>
      <c r="AA55" s="1">
        <f t="shared" si="12"/>
        <v>3.5016591910022349E-2</v>
      </c>
    </row>
    <row r="56" spans="1:27" x14ac:dyDescent="0.25">
      <c r="A56" s="1">
        <v>25</v>
      </c>
      <c r="B56" s="1">
        <v>0.3</v>
      </c>
      <c r="C56" s="1">
        <v>3</v>
      </c>
      <c r="D56" s="1">
        <f t="shared" si="0"/>
        <v>7.4999999999999997E-2</v>
      </c>
      <c r="E56" s="1">
        <v>10</v>
      </c>
      <c r="F56" s="1">
        <v>0.5</v>
      </c>
      <c r="G56" s="1">
        <v>75</v>
      </c>
      <c r="H56" s="1">
        <v>32.425132470000001</v>
      </c>
      <c r="J56" s="1">
        <f t="shared" si="1"/>
        <v>2.5000000000000001E-2</v>
      </c>
      <c r="K56" s="1">
        <f t="shared" si="2"/>
        <v>7.4999999999999997E-2</v>
      </c>
      <c r="L56" s="1">
        <f t="shared" si="3"/>
        <v>2.9999999999999997E-4</v>
      </c>
      <c r="M56" s="1">
        <f t="shared" si="4"/>
        <v>0.18613936472519524</v>
      </c>
      <c r="N56" s="1">
        <f t="shared" si="5"/>
        <v>2.0833333333333332E-2</v>
      </c>
      <c r="O56" s="1">
        <v>370</v>
      </c>
      <c r="P56" s="1">
        <v>3</v>
      </c>
      <c r="Q56" s="1">
        <v>4148</v>
      </c>
      <c r="R56" s="1">
        <f>[1]!HeatTransferArea(J56,D56,0.36,L56)</f>
        <v>0.47123889803846908</v>
      </c>
      <c r="S56" s="1">
        <f>[1]!Convection(J56,N56,1000,9*10^-4,L56,0.6,0.36,7)</f>
        <v>33909.243146205263</v>
      </c>
      <c r="U56" s="1">
        <f t="shared" si="6"/>
        <v>1.2547510243379743</v>
      </c>
      <c r="V56" s="1">
        <f t="shared" si="7"/>
        <v>2.5337837837837837E-6</v>
      </c>
      <c r="W56" s="1">
        <f t="shared" si="8"/>
        <v>2.815315315315316E-7</v>
      </c>
      <c r="X56" s="1">
        <f t="shared" si="9"/>
        <v>3</v>
      </c>
      <c r="Y56" s="1">
        <f t="shared" si="10"/>
        <v>464.03343340684597</v>
      </c>
      <c r="Z56" s="1">
        <f t="shared" si="11"/>
        <v>3.3333333333333335</v>
      </c>
      <c r="AA56" s="1">
        <f t="shared" si="12"/>
        <v>0.31387053562990946</v>
      </c>
    </row>
    <row r="57" spans="1:27" x14ac:dyDescent="0.25">
      <c r="A57" s="1">
        <v>25</v>
      </c>
      <c r="B57" s="1">
        <v>0.3</v>
      </c>
      <c r="C57" s="1">
        <v>3</v>
      </c>
      <c r="D57" s="1">
        <f t="shared" si="0"/>
        <v>7.4999999999999997E-2</v>
      </c>
      <c r="E57" s="1">
        <v>10</v>
      </c>
      <c r="F57" s="1">
        <v>1</v>
      </c>
      <c r="G57" s="1">
        <v>75</v>
      </c>
      <c r="H57" s="1">
        <v>38.215143930000004</v>
      </c>
      <c r="J57" s="1">
        <f t="shared" si="1"/>
        <v>2.5000000000000001E-2</v>
      </c>
      <c r="K57" s="1">
        <f t="shared" si="2"/>
        <v>7.4999999999999997E-2</v>
      </c>
      <c r="L57" s="1">
        <f t="shared" si="3"/>
        <v>2.9999999999999997E-4</v>
      </c>
      <c r="M57" s="1">
        <f t="shared" si="4"/>
        <v>0.18613936472519524</v>
      </c>
      <c r="N57" s="1">
        <f t="shared" si="5"/>
        <v>2.0833333333333332E-2</v>
      </c>
      <c r="O57" s="1">
        <v>370</v>
      </c>
      <c r="P57" s="1">
        <v>3</v>
      </c>
      <c r="Q57" s="1">
        <v>4148</v>
      </c>
      <c r="R57" s="1">
        <f>[1]!HeatTransferArea(J57,D57,0.36,L57)</f>
        <v>0.47123889803846908</v>
      </c>
      <c r="S57" s="1">
        <f>[1]!Convection(J57,N57,1000,9*10^-4,L57,0.6,0.36,7)</f>
        <v>33909.243146205263</v>
      </c>
      <c r="U57" s="1">
        <f t="shared" si="6"/>
        <v>0.62737551216898713</v>
      </c>
      <c r="V57" s="1">
        <f t="shared" si="7"/>
        <v>5.0675675675675673E-6</v>
      </c>
      <c r="W57" s="1">
        <f t="shared" si="8"/>
        <v>5.630630630630632E-7</v>
      </c>
      <c r="X57" s="1">
        <f t="shared" si="9"/>
        <v>3</v>
      </c>
      <c r="Y57" s="1">
        <f t="shared" si="10"/>
        <v>232.01671670342299</v>
      </c>
      <c r="Z57" s="1">
        <f t="shared" si="11"/>
        <v>3.3333333333333335</v>
      </c>
      <c r="AA57" s="1">
        <f t="shared" si="12"/>
        <v>0.18495849948463117</v>
      </c>
    </row>
    <row r="58" spans="1:27" x14ac:dyDescent="0.25">
      <c r="A58" s="1">
        <v>25</v>
      </c>
      <c r="B58" s="1">
        <v>0.3</v>
      </c>
      <c r="C58" s="1">
        <v>3</v>
      </c>
      <c r="D58" s="1">
        <f t="shared" si="0"/>
        <v>7.4999999999999997E-2</v>
      </c>
      <c r="E58" s="1">
        <v>10</v>
      </c>
      <c r="F58" s="1">
        <v>1.5</v>
      </c>
      <c r="G58" s="1">
        <v>75</v>
      </c>
      <c r="H58" s="1">
        <v>38.554271819999997</v>
      </c>
      <c r="J58" s="1">
        <f t="shared" si="1"/>
        <v>2.5000000000000001E-2</v>
      </c>
      <c r="K58" s="1">
        <f t="shared" si="2"/>
        <v>7.4999999999999997E-2</v>
      </c>
      <c r="L58" s="1">
        <f t="shared" si="3"/>
        <v>2.9999999999999997E-4</v>
      </c>
      <c r="M58" s="1">
        <f t="shared" si="4"/>
        <v>0.18613936472519524</v>
      </c>
      <c r="N58" s="1">
        <f t="shared" si="5"/>
        <v>2.0833333333333332E-2</v>
      </c>
      <c r="O58" s="1">
        <v>370</v>
      </c>
      <c r="P58" s="1">
        <v>3</v>
      </c>
      <c r="Q58" s="1">
        <v>4148</v>
      </c>
      <c r="R58" s="1">
        <f>[1]!HeatTransferArea(J58,D58,0.36,L58)</f>
        <v>0.47123889803846908</v>
      </c>
      <c r="S58" s="1">
        <f>[1]!Convection(J58,N58,1000,9*10^-4,L58,0.6,0.36,7)</f>
        <v>33909.243146205263</v>
      </c>
      <c r="U58" s="1">
        <f t="shared" si="6"/>
        <v>0.41825034144599144</v>
      </c>
      <c r="V58" s="1">
        <f t="shared" si="7"/>
        <v>7.6013513513513518E-6</v>
      </c>
      <c r="W58" s="1">
        <f t="shared" si="8"/>
        <v>8.445945945945948E-7</v>
      </c>
      <c r="X58" s="1">
        <f t="shared" si="9"/>
        <v>3</v>
      </c>
      <c r="Y58" s="1">
        <f t="shared" si="10"/>
        <v>154.67781113561531</v>
      </c>
      <c r="Z58" s="1">
        <f t="shared" si="11"/>
        <v>3.3333333333333335</v>
      </c>
      <c r="AA58" s="1">
        <f t="shared" si="12"/>
        <v>0.12439990243330042</v>
      </c>
    </row>
    <row r="59" spans="1:27" x14ac:dyDescent="0.25">
      <c r="A59" s="1">
        <v>25</v>
      </c>
      <c r="B59" s="1">
        <v>0.3</v>
      </c>
      <c r="C59" s="1">
        <v>4</v>
      </c>
      <c r="D59" s="1">
        <f t="shared" si="0"/>
        <v>0.1</v>
      </c>
      <c r="E59" s="1">
        <v>10</v>
      </c>
      <c r="F59" s="1">
        <v>0.5</v>
      </c>
      <c r="G59" s="1">
        <v>75</v>
      </c>
      <c r="H59" s="1">
        <v>36.151036820000002</v>
      </c>
      <c r="J59" s="1">
        <f t="shared" si="1"/>
        <v>2.5000000000000001E-2</v>
      </c>
      <c r="K59" s="1">
        <f t="shared" si="2"/>
        <v>0.1</v>
      </c>
      <c r="L59" s="1">
        <f t="shared" si="3"/>
        <v>2.9999999999999997E-4</v>
      </c>
      <c r="M59" s="1">
        <f t="shared" si="4"/>
        <v>0.24818581963359368</v>
      </c>
      <c r="N59" s="1">
        <f t="shared" si="5"/>
        <v>2.0833333333333332E-2</v>
      </c>
      <c r="O59" s="1">
        <v>370</v>
      </c>
      <c r="P59" s="1">
        <v>3</v>
      </c>
      <c r="Q59" s="1">
        <v>4148</v>
      </c>
      <c r="R59" s="1">
        <f>[1]!HeatTransferArea(J59,D59,0.36,L59)</f>
        <v>0.62831853071795885</v>
      </c>
      <c r="S59" s="1">
        <f>[1]!Convection(J59,N59,1000,9*10^-4,L59,0.6,0.36,7)</f>
        <v>33909.243146205263</v>
      </c>
      <c r="U59" s="1">
        <f t="shared" si="6"/>
        <v>0.94106326825348063</v>
      </c>
      <c r="V59" s="1">
        <f t="shared" si="7"/>
        <v>4.5045045045045056E-6</v>
      </c>
      <c r="W59" s="1">
        <f t="shared" si="8"/>
        <v>2.815315315315316E-7</v>
      </c>
      <c r="X59" s="1">
        <f t="shared" si="9"/>
        <v>4</v>
      </c>
      <c r="Y59" s="1">
        <f t="shared" si="10"/>
        <v>464.03343340684597</v>
      </c>
      <c r="Z59" s="1">
        <f t="shared" si="11"/>
        <v>3.3333333333333335</v>
      </c>
      <c r="AA59" s="1">
        <f t="shared" si="12"/>
        <v>0.26245255823013403</v>
      </c>
    </row>
    <row r="60" spans="1:27" x14ac:dyDescent="0.25">
      <c r="A60" s="1">
        <v>25</v>
      </c>
      <c r="B60" s="1">
        <v>0.3</v>
      </c>
      <c r="C60" s="1">
        <v>4</v>
      </c>
      <c r="D60" s="1">
        <f t="shared" si="0"/>
        <v>0.1</v>
      </c>
      <c r="E60" s="1">
        <v>10</v>
      </c>
      <c r="F60" s="1">
        <v>1</v>
      </c>
      <c r="G60" s="1">
        <v>75</v>
      </c>
      <c r="H60" s="1">
        <v>37.900722989999998</v>
      </c>
      <c r="J60" s="1">
        <f t="shared" si="1"/>
        <v>2.5000000000000001E-2</v>
      </c>
      <c r="K60" s="1">
        <f t="shared" si="2"/>
        <v>0.1</v>
      </c>
      <c r="L60" s="1">
        <f t="shared" si="3"/>
        <v>2.9999999999999997E-4</v>
      </c>
      <c r="M60" s="1">
        <f t="shared" si="4"/>
        <v>0.24818581963359368</v>
      </c>
      <c r="N60" s="1">
        <f t="shared" si="5"/>
        <v>2.0833333333333332E-2</v>
      </c>
      <c r="O60" s="1">
        <v>370</v>
      </c>
      <c r="P60" s="1">
        <v>3</v>
      </c>
      <c r="Q60" s="1">
        <v>4148</v>
      </c>
      <c r="R60" s="1">
        <f>[1]!HeatTransferArea(J60,D60,0.36,L60)</f>
        <v>0.62831853071795885</v>
      </c>
      <c r="S60" s="1">
        <f>[1]!Convection(J60,N60,1000,9*10^-4,L60,0.6,0.36,7)</f>
        <v>33909.243146205263</v>
      </c>
      <c r="U60" s="1">
        <f t="shared" si="6"/>
        <v>0.47053163412674032</v>
      </c>
      <c r="V60" s="1">
        <f t="shared" si="7"/>
        <v>9.0090090090090112E-6</v>
      </c>
      <c r="W60" s="1">
        <f t="shared" si="8"/>
        <v>5.630630630630632E-7</v>
      </c>
      <c r="X60" s="1">
        <f t="shared" si="9"/>
        <v>4</v>
      </c>
      <c r="Y60" s="1">
        <f t="shared" si="10"/>
        <v>232.01671670342299</v>
      </c>
      <c r="Z60" s="1">
        <f t="shared" si="11"/>
        <v>3.3333333333333335</v>
      </c>
      <c r="AA60" s="1">
        <f t="shared" si="12"/>
        <v>0.13757754386167495</v>
      </c>
    </row>
    <row r="61" spans="1:27" x14ac:dyDescent="0.25">
      <c r="A61" s="1">
        <v>25</v>
      </c>
      <c r="B61" s="1">
        <v>0.3</v>
      </c>
      <c r="C61" s="1">
        <v>4</v>
      </c>
      <c r="D61" s="1">
        <f t="shared" si="0"/>
        <v>0.1</v>
      </c>
      <c r="E61" s="1">
        <v>10</v>
      </c>
      <c r="F61" s="1">
        <v>1.5</v>
      </c>
      <c r="G61" s="1">
        <v>75</v>
      </c>
      <c r="H61" s="1">
        <v>37.831675590000003</v>
      </c>
      <c r="J61" s="1">
        <f t="shared" si="1"/>
        <v>2.5000000000000001E-2</v>
      </c>
      <c r="K61" s="1">
        <f t="shared" si="2"/>
        <v>0.1</v>
      </c>
      <c r="L61" s="1">
        <f t="shared" si="3"/>
        <v>2.9999999999999997E-4</v>
      </c>
      <c r="M61" s="1">
        <f t="shared" si="4"/>
        <v>0.24818581963359368</v>
      </c>
      <c r="N61" s="1">
        <f t="shared" si="5"/>
        <v>2.0833333333333332E-2</v>
      </c>
      <c r="O61" s="1">
        <v>370</v>
      </c>
      <c r="P61" s="1">
        <v>3</v>
      </c>
      <c r="Q61" s="1">
        <v>4148</v>
      </c>
      <c r="R61" s="1">
        <f>[1]!HeatTransferArea(J61,D61,0.36,L61)</f>
        <v>0.62831853071795885</v>
      </c>
      <c r="S61" s="1">
        <f>[1]!Convection(J61,N61,1000,9*10^-4,L61,0.6,0.36,7)</f>
        <v>33909.243146205263</v>
      </c>
      <c r="U61" s="1">
        <f t="shared" si="6"/>
        <v>0.31368775608449356</v>
      </c>
      <c r="V61" s="1">
        <f t="shared" si="7"/>
        <v>1.3513513513513517E-5</v>
      </c>
      <c r="W61" s="1">
        <f t="shared" si="8"/>
        <v>8.445945945945948E-7</v>
      </c>
      <c r="X61" s="1">
        <f t="shared" si="9"/>
        <v>4</v>
      </c>
      <c r="Y61" s="1">
        <f t="shared" si="10"/>
        <v>154.67781113561531</v>
      </c>
      <c r="Z61" s="1">
        <f t="shared" si="11"/>
        <v>3.3333333333333335</v>
      </c>
      <c r="AA61" s="1">
        <f t="shared" si="12"/>
        <v>9.1551270393393336E-2</v>
      </c>
    </row>
    <row r="62" spans="1:27" x14ac:dyDescent="0.25">
      <c r="A62" s="1">
        <v>25</v>
      </c>
      <c r="B62" s="1">
        <v>0.3</v>
      </c>
      <c r="C62" s="1">
        <v>5</v>
      </c>
      <c r="D62" s="1">
        <f t="shared" si="0"/>
        <v>0.125</v>
      </c>
      <c r="E62" s="1">
        <v>10</v>
      </c>
      <c r="F62" s="1">
        <v>0.5</v>
      </c>
      <c r="G62" s="1">
        <v>75</v>
      </c>
      <c r="H62" s="1">
        <v>36.82717049</v>
      </c>
      <c r="J62" s="1">
        <f t="shared" si="1"/>
        <v>2.5000000000000001E-2</v>
      </c>
      <c r="K62" s="1">
        <f t="shared" si="2"/>
        <v>0.125</v>
      </c>
      <c r="L62" s="1">
        <f t="shared" si="3"/>
        <v>2.9999999999999997E-4</v>
      </c>
      <c r="M62" s="1">
        <f t="shared" si="4"/>
        <v>0.31023227454199215</v>
      </c>
      <c r="N62" s="1">
        <f t="shared" si="5"/>
        <v>2.0833333333333332E-2</v>
      </c>
      <c r="O62" s="1">
        <v>370</v>
      </c>
      <c r="P62" s="1">
        <v>3</v>
      </c>
      <c r="Q62" s="1">
        <v>4148</v>
      </c>
      <c r="R62" s="1">
        <f>[1]!HeatTransferArea(J62,D62,0.36,L62)</f>
        <v>0.7853981633974485</v>
      </c>
      <c r="S62" s="1">
        <f>[1]!Convection(J62,N62,1000,9*10^-4,L62,0.6,0.36,7)</f>
        <v>33909.243146205263</v>
      </c>
      <c r="U62" s="1">
        <f t="shared" si="6"/>
        <v>0.75285061460278435</v>
      </c>
      <c r="V62" s="1">
        <f t="shared" si="7"/>
        <v>7.0382882882882884E-6</v>
      </c>
      <c r="W62" s="1">
        <f t="shared" si="8"/>
        <v>2.815315315315316E-7</v>
      </c>
      <c r="X62" s="1">
        <f t="shared" si="9"/>
        <v>5</v>
      </c>
      <c r="Y62" s="1">
        <f t="shared" si="10"/>
        <v>464.03343340684586</v>
      </c>
      <c r="Z62" s="1">
        <f t="shared" si="11"/>
        <v>3.3333333333333335</v>
      </c>
      <c r="AA62" s="1">
        <f t="shared" si="12"/>
        <v>0.21388897155238593</v>
      </c>
    </row>
    <row r="63" spans="1:27" x14ac:dyDescent="0.25">
      <c r="A63" s="1">
        <v>25</v>
      </c>
      <c r="B63" s="1">
        <v>0.3</v>
      </c>
      <c r="C63" s="1">
        <v>5</v>
      </c>
      <c r="D63" s="1">
        <f t="shared" si="0"/>
        <v>0.125</v>
      </c>
      <c r="E63" s="1">
        <v>10</v>
      </c>
      <c r="F63" s="1">
        <v>1</v>
      </c>
      <c r="G63" s="1">
        <v>75</v>
      </c>
      <c r="H63" s="1">
        <v>37.310720349999997</v>
      </c>
      <c r="J63" s="1">
        <f t="shared" si="1"/>
        <v>2.5000000000000001E-2</v>
      </c>
      <c r="K63" s="1">
        <f t="shared" si="2"/>
        <v>0.125</v>
      </c>
      <c r="L63" s="1">
        <f t="shared" si="3"/>
        <v>2.9999999999999997E-4</v>
      </c>
      <c r="M63" s="1">
        <f t="shared" si="4"/>
        <v>0.31023227454199215</v>
      </c>
      <c r="N63" s="1">
        <f t="shared" si="5"/>
        <v>2.0833333333333332E-2</v>
      </c>
      <c r="O63" s="1">
        <v>370</v>
      </c>
      <c r="P63" s="1">
        <v>3</v>
      </c>
      <c r="Q63" s="1">
        <v>4148</v>
      </c>
      <c r="R63" s="1">
        <f>[1]!HeatTransferArea(J63,D63,0.36,L63)</f>
        <v>0.7853981633974485</v>
      </c>
      <c r="S63" s="1">
        <f>[1]!Convection(J63,N63,1000,9*10^-4,L63,0.6,0.36,7)</f>
        <v>33909.243146205263</v>
      </c>
      <c r="U63" s="1">
        <f t="shared" si="6"/>
        <v>0.37642530730139218</v>
      </c>
      <c r="V63" s="1">
        <f t="shared" si="7"/>
        <v>1.4076576576576577E-5</v>
      </c>
      <c r="W63" s="1">
        <f t="shared" si="8"/>
        <v>5.630630630630632E-7</v>
      </c>
      <c r="X63" s="1">
        <f t="shared" si="9"/>
        <v>5</v>
      </c>
      <c r="Y63" s="1">
        <f t="shared" si="10"/>
        <v>232.01671670342293</v>
      </c>
      <c r="Z63" s="1">
        <f t="shared" si="11"/>
        <v>3.3333333333333335</v>
      </c>
      <c r="AA63" s="1">
        <f t="shared" si="12"/>
        <v>0.10834869333373236</v>
      </c>
    </row>
    <row r="64" spans="1:27" x14ac:dyDescent="0.25">
      <c r="A64" s="1">
        <v>25</v>
      </c>
      <c r="B64" s="1">
        <v>0.3</v>
      </c>
      <c r="C64" s="1">
        <v>5</v>
      </c>
      <c r="D64" s="1">
        <f t="shared" si="0"/>
        <v>0.125</v>
      </c>
      <c r="E64" s="1">
        <v>10</v>
      </c>
      <c r="F64" s="1">
        <v>1.5</v>
      </c>
      <c r="G64" s="1">
        <v>75</v>
      </c>
      <c r="H64" s="1">
        <v>37.080914440000001</v>
      </c>
      <c r="J64" s="1">
        <f t="shared" si="1"/>
        <v>2.5000000000000001E-2</v>
      </c>
      <c r="K64" s="1">
        <f t="shared" si="2"/>
        <v>0.125</v>
      </c>
      <c r="L64" s="1">
        <f t="shared" si="3"/>
        <v>2.9999999999999997E-4</v>
      </c>
      <c r="M64" s="1">
        <f t="shared" si="4"/>
        <v>0.31023227454199215</v>
      </c>
      <c r="N64" s="1">
        <f t="shared" si="5"/>
        <v>2.0833333333333332E-2</v>
      </c>
      <c r="O64" s="1">
        <v>370</v>
      </c>
      <c r="P64" s="1">
        <v>3</v>
      </c>
      <c r="Q64" s="1">
        <v>4148</v>
      </c>
      <c r="R64" s="1">
        <f>[1]!HeatTransferArea(J64,D64,0.36,L64)</f>
        <v>0.7853981633974485</v>
      </c>
      <c r="S64" s="1">
        <f>[1]!Convection(J64,N64,1000,9*10^-4,L64,0.6,0.36,7)</f>
        <v>33909.243146205263</v>
      </c>
      <c r="U64" s="1">
        <f t="shared" si="6"/>
        <v>0.25095020486759478</v>
      </c>
      <c r="V64" s="1">
        <f t="shared" si="7"/>
        <v>2.1114864864864866E-5</v>
      </c>
      <c r="W64" s="1">
        <f t="shared" si="8"/>
        <v>8.445945945945948E-7</v>
      </c>
      <c r="X64" s="1">
        <f t="shared" si="9"/>
        <v>5</v>
      </c>
      <c r="Y64" s="1">
        <f t="shared" si="10"/>
        <v>154.67781113561529</v>
      </c>
      <c r="Z64" s="1">
        <f t="shared" si="11"/>
        <v>3.3333333333333335</v>
      </c>
      <c r="AA64" s="1">
        <f t="shared" si="12"/>
        <v>7.1787564708935422E-2</v>
      </c>
    </row>
    <row r="65" spans="1:27" x14ac:dyDescent="0.25">
      <c r="A65" s="1">
        <v>25</v>
      </c>
      <c r="B65" s="1">
        <v>0.4</v>
      </c>
      <c r="C65" s="1">
        <v>3</v>
      </c>
      <c r="D65" s="1">
        <f t="shared" si="0"/>
        <v>7.4999999999999997E-2</v>
      </c>
      <c r="E65" s="1">
        <v>10</v>
      </c>
      <c r="F65" s="1">
        <v>0.5</v>
      </c>
      <c r="G65" s="1">
        <v>75</v>
      </c>
      <c r="H65" s="1">
        <v>31.67409348</v>
      </c>
      <c r="J65" s="1">
        <f t="shared" si="1"/>
        <v>2.5000000000000001E-2</v>
      </c>
      <c r="K65" s="1">
        <f t="shared" si="2"/>
        <v>7.4999999999999997E-2</v>
      </c>
      <c r="L65" s="1">
        <f t="shared" si="3"/>
        <v>4.0000000000000002E-4</v>
      </c>
      <c r="M65" s="1">
        <f t="shared" si="4"/>
        <v>0.18613936472519524</v>
      </c>
      <c r="N65" s="1">
        <f t="shared" si="5"/>
        <v>2.0833333333333332E-2</v>
      </c>
      <c r="O65" s="1">
        <v>370</v>
      </c>
      <c r="P65" s="1">
        <v>3</v>
      </c>
      <c r="Q65" s="1">
        <v>4148</v>
      </c>
      <c r="R65" s="1">
        <f>[1]!HeatTransferArea(J65,D65,0.36,L65)</f>
        <v>0.35342917352885178</v>
      </c>
      <c r="S65" s="1">
        <f>[1]!Convection(J65,N65,1000,9*10^-4,L65,0.6,0.36,7)</f>
        <v>25638.910216425455</v>
      </c>
      <c r="U65" s="1">
        <f t="shared" si="6"/>
        <v>1.2547510243379743</v>
      </c>
      <c r="V65" s="1">
        <f t="shared" si="7"/>
        <v>2.5337837837837837E-6</v>
      </c>
      <c r="W65" s="1">
        <f t="shared" si="8"/>
        <v>2.815315315315316E-7</v>
      </c>
      <c r="X65" s="1">
        <f t="shared" si="9"/>
        <v>3</v>
      </c>
      <c r="Y65" s="1">
        <f t="shared" si="10"/>
        <v>263.14310861880386</v>
      </c>
      <c r="Z65" s="1">
        <f t="shared" si="11"/>
        <v>3.3333333333333335</v>
      </c>
      <c r="AA65" s="1">
        <f t="shared" si="12"/>
        <v>0.30660058815048608</v>
      </c>
    </row>
    <row r="66" spans="1:27" x14ac:dyDescent="0.25">
      <c r="A66" s="1">
        <v>25</v>
      </c>
      <c r="B66" s="1">
        <v>0.4</v>
      </c>
      <c r="C66" s="1">
        <v>3</v>
      </c>
      <c r="D66" s="1">
        <f t="shared" si="0"/>
        <v>7.4999999999999997E-2</v>
      </c>
      <c r="E66" s="1">
        <v>10</v>
      </c>
      <c r="F66" s="1">
        <v>1</v>
      </c>
      <c r="G66" s="1">
        <v>75</v>
      </c>
      <c r="H66" s="1">
        <v>38.222778439999999</v>
      </c>
      <c r="J66" s="1">
        <f t="shared" si="1"/>
        <v>2.5000000000000001E-2</v>
      </c>
      <c r="K66" s="1">
        <f t="shared" si="2"/>
        <v>7.4999999999999997E-2</v>
      </c>
      <c r="L66" s="1">
        <f t="shared" si="3"/>
        <v>4.0000000000000002E-4</v>
      </c>
      <c r="M66" s="1">
        <f t="shared" si="4"/>
        <v>0.18613936472519524</v>
      </c>
      <c r="N66" s="1">
        <f t="shared" si="5"/>
        <v>2.0833333333333332E-2</v>
      </c>
      <c r="O66" s="1">
        <v>370</v>
      </c>
      <c r="P66" s="1">
        <v>3</v>
      </c>
      <c r="Q66" s="1">
        <v>4148</v>
      </c>
      <c r="R66" s="1">
        <f>[1]!HeatTransferArea(J66,D66,0.36,L66)</f>
        <v>0.35342917352885178</v>
      </c>
      <c r="S66" s="1">
        <f>[1]!Convection(J66,N66,1000,9*10^-4,L66,0.6,0.36,7)</f>
        <v>25638.910216425455</v>
      </c>
      <c r="U66" s="1">
        <f t="shared" si="6"/>
        <v>0.62737551216898713</v>
      </c>
      <c r="V66" s="1">
        <f t="shared" si="7"/>
        <v>5.0675675675675673E-6</v>
      </c>
      <c r="W66" s="1">
        <f t="shared" si="8"/>
        <v>5.630630630630632E-7</v>
      </c>
      <c r="X66" s="1">
        <f t="shared" si="9"/>
        <v>3</v>
      </c>
      <c r="Y66" s="1">
        <f t="shared" si="10"/>
        <v>131.57155430940193</v>
      </c>
      <c r="Z66" s="1">
        <f t="shared" si="11"/>
        <v>3.3333333333333335</v>
      </c>
      <c r="AA66" s="1">
        <f t="shared" si="12"/>
        <v>0.18499544995422737</v>
      </c>
    </row>
    <row r="67" spans="1:27" x14ac:dyDescent="0.25">
      <c r="A67" s="1">
        <v>25</v>
      </c>
      <c r="B67" s="1">
        <v>0.4</v>
      </c>
      <c r="C67" s="1">
        <v>3</v>
      </c>
      <c r="D67" s="1">
        <f t="shared" ref="D67:D130" si="13">C67*A67/1000</f>
        <v>7.4999999999999997E-2</v>
      </c>
      <c r="E67" s="1">
        <v>10</v>
      </c>
      <c r="F67" s="1">
        <v>1.5</v>
      </c>
      <c r="G67" s="1">
        <v>75</v>
      </c>
      <c r="H67" s="1">
        <v>38.769253710000001</v>
      </c>
      <c r="J67" s="1">
        <f t="shared" ref="J67:J130" si="14">A67/1000</f>
        <v>2.5000000000000001E-2</v>
      </c>
      <c r="K67" s="1">
        <f t="shared" ref="K67:K130" si="15">D67</f>
        <v>7.4999999999999997E-2</v>
      </c>
      <c r="L67" s="1">
        <f t="shared" ref="L67:L130" si="16">B67/1000</f>
        <v>4.0000000000000002E-4</v>
      </c>
      <c r="M67" s="1">
        <f t="shared" ref="M67:M130" si="17">PI()*J67^2*K67/4*(1-0.36)*7900</f>
        <v>0.18613936472519524</v>
      </c>
      <c r="N67" s="1">
        <f t="shared" ref="N67:N130" si="18">G67/3600</f>
        <v>2.0833333333333332E-2</v>
      </c>
      <c r="O67" s="1">
        <v>370</v>
      </c>
      <c r="P67" s="1">
        <v>3</v>
      </c>
      <c r="Q67" s="1">
        <v>4148</v>
      </c>
      <c r="R67" s="1">
        <f>[1]!HeatTransferArea(J67,D67,0.36,L67)</f>
        <v>0.35342917352885178</v>
      </c>
      <c r="S67" s="1">
        <f>[1]!Convection(J67,N67,1000,9*10^-4,L67,0.6,0.36,7)</f>
        <v>25638.910216425455</v>
      </c>
      <c r="U67" s="1">
        <f t="shared" ref="U67:U130" si="19">N67*Q67/(2*F67*M67*O67)</f>
        <v>0.41825034144599144</v>
      </c>
      <c r="V67" s="1">
        <f t="shared" ref="V67:V130" si="20">K67^2*F67/(O67*P67)</f>
        <v>7.6013513513513518E-6</v>
      </c>
      <c r="W67" s="1">
        <f t="shared" ref="W67:W130" si="21">J67^2*F67/(O67*P67)</f>
        <v>8.445945945945948E-7</v>
      </c>
      <c r="X67" s="1">
        <f t="shared" ref="X67:X130" si="22">C67</f>
        <v>3</v>
      </c>
      <c r="Y67" s="1">
        <f t="shared" ref="Y67:Y130" si="23">S67*R67/(F67*M67*O67)</f>
        <v>87.714369539601293</v>
      </c>
      <c r="Z67" s="1">
        <f t="shared" ref="Z67:Z130" si="24">E67/P67</f>
        <v>3.3333333333333335</v>
      </c>
      <c r="AA67" s="1">
        <f t="shared" ref="AA67:AA130" si="25">H67/(M67*F67*O67*P67)</f>
        <v>0.12509356684137915</v>
      </c>
    </row>
    <row r="68" spans="1:27" x14ac:dyDescent="0.25">
      <c r="A68" s="1">
        <v>25</v>
      </c>
      <c r="B68" s="1">
        <v>0.4</v>
      </c>
      <c r="C68" s="1">
        <v>4</v>
      </c>
      <c r="D68" s="1">
        <f t="shared" si="13"/>
        <v>0.1</v>
      </c>
      <c r="E68" s="1">
        <v>10</v>
      </c>
      <c r="F68" s="1">
        <v>0.5</v>
      </c>
      <c r="G68" s="1">
        <v>75</v>
      </c>
      <c r="H68" s="1">
        <v>36.186180290000003</v>
      </c>
      <c r="J68" s="1">
        <f t="shared" si="14"/>
        <v>2.5000000000000001E-2</v>
      </c>
      <c r="K68" s="1">
        <f t="shared" si="15"/>
        <v>0.1</v>
      </c>
      <c r="L68" s="1">
        <f t="shared" si="16"/>
        <v>4.0000000000000002E-4</v>
      </c>
      <c r="M68" s="1">
        <f t="shared" si="17"/>
        <v>0.24818581963359368</v>
      </c>
      <c r="N68" s="1">
        <f t="shared" si="18"/>
        <v>2.0833333333333332E-2</v>
      </c>
      <c r="O68" s="1">
        <v>370</v>
      </c>
      <c r="P68" s="1">
        <v>3</v>
      </c>
      <c r="Q68" s="1">
        <v>4148</v>
      </c>
      <c r="R68" s="1">
        <f>[1]!HeatTransferArea(J68,D68,0.36,L68)</f>
        <v>0.47123889803846908</v>
      </c>
      <c r="S68" s="1">
        <f>[1]!Convection(J68,N68,1000,9*10^-4,L68,0.6,0.36,7)</f>
        <v>25638.910216425455</v>
      </c>
      <c r="U68" s="1">
        <f t="shared" si="19"/>
        <v>0.94106326825348063</v>
      </c>
      <c r="V68" s="1">
        <f t="shared" si="20"/>
        <v>4.5045045045045056E-6</v>
      </c>
      <c r="W68" s="1">
        <f t="shared" si="21"/>
        <v>2.815315315315316E-7</v>
      </c>
      <c r="X68" s="1">
        <f t="shared" si="22"/>
        <v>4</v>
      </c>
      <c r="Y68" s="1">
        <f t="shared" si="23"/>
        <v>263.14310861880386</v>
      </c>
      <c r="Z68" s="1">
        <f t="shared" si="24"/>
        <v>3.3333333333333335</v>
      </c>
      <c r="AA68" s="1">
        <f t="shared" si="25"/>
        <v>0.26270769596387339</v>
      </c>
    </row>
    <row r="69" spans="1:27" x14ac:dyDescent="0.25">
      <c r="A69" s="1">
        <v>25</v>
      </c>
      <c r="B69" s="1">
        <v>0.4</v>
      </c>
      <c r="C69" s="1">
        <v>4</v>
      </c>
      <c r="D69" s="1">
        <f t="shared" si="13"/>
        <v>0.1</v>
      </c>
      <c r="E69" s="1">
        <v>10</v>
      </c>
      <c r="F69" s="1">
        <v>1</v>
      </c>
      <c r="G69" s="1">
        <v>75</v>
      </c>
      <c r="H69" s="1">
        <v>38.366233639999997</v>
      </c>
      <c r="J69" s="1">
        <f t="shared" si="14"/>
        <v>2.5000000000000001E-2</v>
      </c>
      <c r="K69" s="1">
        <f t="shared" si="15"/>
        <v>0.1</v>
      </c>
      <c r="L69" s="1">
        <f t="shared" si="16"/>
        <v>4.0000000000000002E-4</v>
      </c>
      <c r="M69" s="1">
        <f t="shared" si="17"/>
        <v>0.24818581963359368</v>
      </c>
      <c r="N69" s="1">
        <f t="shared" si="18"/>
        <v>2.0833333333333332E-2</v>
      </c>
      <c r="O69" s="1">
        <v>370</v>
      </c>
      <c r="P69" s="1">
        <v>3</v>
      </c>
      <c r="Q69" s="1">
        <v>4148</v>
      </c>
      <c r="R69" s="1">
        <f>[1]!HeatTransferArea(J69,D69,0.36,L69)</f>
        <v>0.47123889803846908</v>
      </c>
      <c r="S69" s="1">
        <f>[1]!Convection(J69,N69,1000,9*10^-4,L69,0.6,0.36,7)</f>
        <v>25638.910216425455</v>
      </c>
      <c r="U69" s="1">
        <f t="shared" si="19"/>
        <v>0.47053163412674032</v>
      </c>
      <c r="V69" s="1">
        <f t="shared" si="20"/>
        <v>9.0090090090090112E-6</v>
      </c>
      <c r="W69" s="1">
        <f t="shared" si="21"/>
        <v>5.630630630630632E-7</v>
      </c>
      <c r="X69" s="1">
        <f t="shared" si="22"/>
        <v>4</v>
      </c>
      <c r="Y69" s="1">
        <f t="shared" si="23"/>
        <v>131.57155430940193</v>
      </c>
      <c r="Z69" s="1">
        <f t="shared" si="24"/>
        <v>3.3333333333333335</v>
      </c>
      <c r="AA69" s="1">
        <f t="shared" si="25"/>
        <v>0.13926732196657679</v>
      </c>
    </row>
    <row r="70" spans="1:27" x14ac:dyDescent="0.25">
      <c r="A70" s="1">
        <v>25</v>
      </c>
      <c r="B70" s="1">
        <v>0.4</v>
      </c>
      <c r="C70" s="1">
        <v>4</v>
      </c>
      <c r="D70" s="1">
        <f t="shared" si="13"/>
        <v>0.1</v>
      </c>
      <c r="E70" s="1">
        <v>10</v>
      </c>
      <c r="F70" s="1">
        <v>1.5</v>
      </c>
      <c r="G70" s="1">
        <v>75</v>
      </c>
      <c r="H70" s="1">
        <v>38.423028459999998</v>
      </c>
      <c r="J70" s="1">
        <f t="shared" si="14"/>
        <v>2.5000000000000001E-2</v>
      </c>
      <c r="K70" s="1">
        <f t="shared" si="15"/>
        <v>0.1</v>
      </c>
      <c r="L70" s="1">
        <f t="shared" si="16"/>
        <v>4.0000000000000002E-4</v>
      </c>
      <c r="M70" s="1">
        <f t="shared" si="17"/>
        <v>0.24818581963359368</v>
      </c>
      <c r="N70" s="1">
        <f t="shared" si="18"/>
        <v>2.0833333333333332E-2</v>
      </c>
      <c r="O70" s="1">
        <v>370</v>
      </c>
      <c r="P70" s="1">
        <v>3</v>
      </c>
      <c r="Q70" s="1">
        <v>4148</v>
      </c>
      <c r="R70" s="1">
        <f>[1]!HeatTransferArea(J70,D70,0.36,L70)</f>
        <v>0.47123889803846908</v>
      </c>
      <c r="S70" s="1">
        <f>[1]!Convection(J70,N70,1000,9*10^-4,L70,0.6,0.36,7)</f>
        <v>25638.910216425455</v>
      </c>
      <c r="U70" s="1">
        <f t="shared" si="19"/>
        <v>0.31368775608449356</v>
      </c>
      <c r="V70" s="1">
        <f t="shared" si="20"/>
        <v>1.3513513513513517E-5</v>
      </c>
      <c r="W70" s="1">
        <f t="shared" si="21"/>
        <v>8.445945945945948E-7</v>
      </c>
      <c r="X70" s="1">
        <f t="shared" si="22"/>
        <v>4</v>
      </c>
      <c r="Y70" s="1">
        <f t="shared" si="23"/>
        <v>87.714369539601293</v>
      </c>
      <c r="Z70" s="1">
        <f t="shared" si="24"/>
        <v>3.3333333333333335</v>
      </c>
      <c r="AA70" s="1">
        <f t="shared" si="25"/>
        <v>9.2982322696918307E-2</v>
      </c>
    </row>
    <row r="71" spans="1:27" x14ac:dyDescent="0.25">
      <c r="A71" s="1">
        <v>25</v>
      </c>
      <c r="B71" s="1">
        <v>0.4</v>
      </c>
      <c r="C71" s="1">
        <v>5</v>
      </c>
      <c r="D71" s="1">
        <f t="shared" si="13"/>
        <v>0.125</v>
      </c>
      <c r="E71" s="1">
        <v>10</v>
      </c>
      <c r="F71" s="1">
        <v>0.5</v>
      </c>
      <c r="G71" s="1">
        <v>75</v>
      </c>
      <c r="H71" s="1">
        <v>37.289246169999998</v>
      </c>
      <c r="J71" s="1">
        <f t="shared" si="14"/>
        <v>2.5000000000000001E-2</v>
      </c>
      <c r="K71" s="1">
        <f t="shared" si="15"/>
        <v>0.125</v>
      </c>
      <c r="L71" s="1">
        <f t="shared" si="16"/>
        <v>4.0000000000000002E-4</v>
      </c>
      <c r="M71" s="1">
        <f t="shared" si="17"/>
        <v>0.31023227454199215</v>
      </c>
      <c r="N71" s="1">
        <f t="shared" si="18"/>
        <v>2.0833333333333332E-2</v>
      </c>
      <c r="O71" s="1">
        <v>370</v>
      </c>
      <c r="P71" s="1">
        <v>3</v>
      </c>
      <c r="Q71" s="1">
        <v>4148</v>
      </c>
      <c r="R71" s="1">
        <f>[1]!HeatTransferArea(J71,D71,0.36,L71)</f>
        <v>0.58904862254808632</v>
      </c>
      <c r="S71" s="1">
        <f>[1]!Convection(J71,N71,1000,9*10^-4,L71,0.6,0.36,7)</f>
        <v>25638.910216425455</v>
      </c>
      <c r="U71" s="1">
        <f t="shared" si="19"/>
        <v>0.75285061460278435</v>
      </c>
      <c r="V71" s="1">
        <f t="shared" si="20"/>
        <v>7.0382882882882884E-6</v>
      </c>
      <c r="W71" s="1">
        <f t="shared" si="21"/>
        <v>2.815315315315316E-7</v>
      </c>
      <c r="X71" s="1">
        <f t="shared" si="22"/>
        <v>5</v>
      </c>
      <c r="Y71" s="1">
        <f t="shared" si="23"/>
        <v>263.14310861880381</v>
      </c>
      <c r="Z71" s="1">
        <f t="shared" si="24"/>
        <v>3.3333333333333335</v>
      </c>
      <c r="AA71" s="1">
        <f t="shared" si="25"/>
        <v>0.21657266651617377</v>
      </c>
    </row>
    <row r="72" spans="1:27" x14ac:dyDescent="0.25">
      <c r="A72" s="1">
        <v>25</v>
      </c>
      <c r="B72" s="1">
        <v>0.4</v>
      </c>
      <c r="C72" s="1">
        <v>5</v>
      </c>
      <c r="D72" s="1">
        <f t="shared" si="13"/>
        <v>0.125</v>
      </c>
      <c r="E72" s="1">
        <v>10</v>
      </c>
      <c r="F72" s="1">
        <v>1</v>
      </c>
      <c r="G72" s="1">
        <v>75</v>
      </c>
      <c r="H72" s="1">
        <v>38.083088629999999</v>
      </c>
      <c r="J72" s="1">
        <f t="shared" si="14"/>
        <v>2.5000000000000001E-2</v>
      </c>
      <c r="K72" s="1">
        <f t="shared" si="15"/>
        <v>0.125</v>
      </c>
      <c r="L72" s="1">
        <f t="shared" si="16"/>
        <v>4.0000000000000002E-4</v>
      </c>
      <c r="M72" s="1">
        <f t="shared" si="17"/>
        <v>0.31023227454199215</v>
      </c>
      <c r="N72" s="1">
        <f t="shared" si="18"/>
        <v>2.0833333333333332E-2</v>
      </c>
      <c r="O72" s="1">
        <v>370</v>
      </c>
      <c r="P72" s="1">
        <v>3</v>
      </c>
      <c r="Q72" s="1">
        <v>4148</v>
      </c>
      <c r="R72" s="1">
        <f>[1]!HeatTransferArea(J72,D72,0.36,L72)</f>
        <v>0.58904862254808632</v>
      </c>
      <c r="S72" s="1">
        <f>[1]!Convection(J72,N72,1000,9*10^-4,L72,0.6,0.36,7)</f>
        <v>25638.910216425455</v>
      </c>
      <c r="U72" s="1">
        <f t="shared" si="19"/>
        <v>0.37642530730139218</v>
      </c>
      <c r="V72" s="1">
        <f t="shared" si="20"/>
        <v>1.4076576576576577E-5</v>
      </c>
      <c r="W72" s="1">
        <f t="shared" si="21"/>
        <v>5.630630630630632E-7</v>
      </c>
      <c r="X72" s="1">
        <f t="shared" si="22"/>
        <v>5</v>
      </c>
      <c r="Y72" s="1">
        <f t="shared" si="23"/>
        <v>131.5715543094019</v>
      </c>
      <c r="Z72" s="1">
        <f t="shared" si="24"/>
        <v>3.3333333333333335</v>
      </c>
      <c r="AA72" s="1">
        <f t="shared" si="25"/>
        <v>0.11059161689900796</v>
      </c>
    </row>
    <row r="73" spans="1:27" x14ac:dyDescent="0.25">
      <c r="A73" s="1">
        <v>25</v>
      </c>
      <c r="B73" s="1">
        <v>0.4</v>
      </c>
      <c r="C73" s="1">
        <v>5</v>
      </c>
      <c r="D73" s="1">
        <f t="shared" si="13"/>
        <v>0.125</v>
      </c>
      <c r="E73" s="1">
        <v>10</v>
      </c>
      <c r="F73" s="1">
        <v>1.5</v>
      </c>
      <c r="G73" s="1">
        <v>75</v>
      </c>
      <c r="H73" s="1">
        <v>37.941428119999998</v>
      </c>
      <c r="J73" s="1">
        <f t="shared" si="14"/>
        <v>2.5000000000000001E-2</v>
      </c>
      <c r="K73" s="1">
        <f t="shared" si="15"/>
        <v>0.125</v>
      </c>
      <c r="L73" s="1">
        <f t="shared" si="16"/>
        <v>4.0000000000000002E-4</v>
      </c>
      <c r="M73" s="1">
        <f t="shared" si="17"/>
        <v>0.31023227454199215</v>
      </c>
      <c r="N73" s="1">
        <f t="shared" si="18"/>
        <v>2.0833333333333332E-2</v>
      </c>
      <c r="O73" s="1">
        <v>370</v>
      </c>
      <c r="P73" s="1">
        <v>3</v>
      </c>
      <c r="Q73" s="1">
        <v>4148</v>
      </c>
      <c r="R73" s="1">
        <f>[1]!HeatTransferArea(J73,D73,0.36,L73)</f>
        <v>0.58904862254808632</v>
      </c>
      <c r="S73" s="1">
        <f>[1]!Convection(J73,N73,1000,9*10^-4,L73,0.6,0.36,7)</f>
        <v>25638.910216425455</v>
      </c>
      <c r="U73" s="1">
        <f t="shared" si="19"/>
        <v>0.25095020486759478</v>
      </c>
      <c r="V73" s="1">
        <f t="shared" si="20"/>
        <v>2.1114864864864866E-5</v>
      </c>
      <c r="W73" s="1">
        <f t="shared" si="21"/>
        <v>8.445945945945948E-7</v>
      </c>
      <c r="X73" s="1">
        <f t="shared" si="22"/>
        <v>5</v>
      </c>
      <c r="Y73" s="1">
        <f t="shared" si="23"/>
        <v>87.714369539601265</v>
      </c>
      <c r="Z73" s="1">
        <f t="shared" si="24"/>
        <v>3.3333333333333335</v>
      </c>
      <c r="AA73" s="1">
        <f t="shared" si="25"/>
        <v>7.345349399948406E-2</v>
      </c>
    </row>
    <row r="74" spans="1:27" x14ac:dyDescent="0.25">
      <c r="A74" s="1">
        <v>25</v>
      </c>
      <c r="B74" s="1">
        <v>0.5</v>
      </c>
      <c r="C74" s="1">
        <v>3</v>
      </c>
      <c r="D74" s="1">
        <f t="shared" si="13"/>
        <v>7.4999999999999997E-2</v>
      </c>
      <c r="E74" s="1">
        <v>10</v>
      </c>
      <c r="F74" s="1">
        <v>0.5</v>
      </c>
      <c r="G74" s="1">
        <v>75</v>
      </c>
      <c r="H74" s="1">
        <v>30.4429613</v>
      </c>
      <c r="J74" s="1">
        <f t="shared" si="14"/>
        <v>2.5000000000000001E-2</v>
      </c>
      <c r="K74" s="1">
        <f t="shared" si="15"/>
        <v>7.4999999999999997E-2</v>
      </c>
      <c r="L74" s="1">
        <f t="shared" si="16"/>
        <v>5.0000000000000001E-4</v>
      </c>
      <c r="M74" s="1">
        <f t="shared" si="17"/>
        <v>0.18613936472519524</v>
      </c>
      <c r="N74" s="1">
        <f t="shared" si="18"/>
        <v>2.0833333333333332E-2</v>
      </c>
      <c r="O74" s="1">
        <v>370</v>
      </c>
      <c r="P74" s="1">
        <v>3</v>
      </c>
      <c r="Q74" s="1">
        <v>4148</v>
      </c>
      <c r="R74" s="1">
        <f>[1]!HeatTransferArea(J74,D74,0.36,L74)</f>
        <v>0.28274333882308145</v>
      </c>
      <c r="S74" s="1">
        <f>[1]!Convection(J74,N74,1000,9*10^-4,L74,0.6,0.36,7)</f>
        <v>20660.760475301788</v>
      </c>
      <c r="U74" s="1">
        <f t="shared" si="19"/>
        <v>1.2547510243379743</v>
      </c>
      <c r="V74" s="1">
        <f t="shared" si="20"/>
        <v>2.5337837837837837E-6</v>
      </c>
      <c r="W74" s="1">
        <f t="shared" si="21"/>
        <v>2.815315315315316E-7</v>
      </c>
      <c r="X74" s="1">
        <f t="shared" si="22"/>
        <v>3</v>
      </c>
      <c r="Y74" s="1">
        <f t="shared" si="23"/>
        <v>169.64018180199898</v>
      </c>
      <c r="Z74" s="1">
        <f t="shared" si="24"/>
        <v>3.3333333333333335</v>
      </c>
      <c r="AA74" s="1">
        <f t="shared" si="25"/>
        <v>0.29468340887217986</v>
      </c>
    </row>
    <row r="75" spans="1:27" x14ac:dyDescent="0.25">
      <c r="A75" s="1">
        <v>25</v>
      </c>
      <c r="B75" s="1">
        <v>0.5</v>
      </c>
      <c r="C75" s="1">
        <v>3</v>
      </c>
      <c r="D75" s="1">
        <f t="shared" si="13"/>
        <v>7.4999999999999997E-2</v>
      </c>
      <c r="E75" s="1">
        <v>10</v>
      </c>
      <c r="F75" s="1">
        <v>1</v>
      </c>
      <c r="G75" s="1">
        <v>75</v>
      </c>
      <c r="H75" s="1">
        <v>37.727538869999997</v>
      </c>
      <c r="J75" s="1">
        <f t="shared" si="14"/>
        <v>2.5000000000000001E-2</v>
      </c>
      <c r="K75" s="1">
        <f t="shared" si="15"/>
        <v>7.4999999999999997E-2</v>
      </c>
      <c r="L75" s="1">
        <f t="shared" si="16"/>
        <v>5.0000000000000001E-4</v>
      </c>
      <c r="M75" s="1">
        <f t="shared" si="17"/>
        <v>0.18613936472519524</v>
      </c>
      <c r="N75" s="1">
        <f t="shared" si="18"/>
        <v>2.0833333333333332E-2</v>
      </c>
      <c r="O75" s="1">
        <v>370</v>
      </c>
      <c r="P75" s="1">
        <v>3</v>
      </c>
      <c r="Q75" s="1">
        <v>4148</v>
      </c>
      <c r="R75" s="1">
        <f>[1]!HeatTransferArea(J75,D75,0.36,L75)</f>
        <v>0.28274333882308145</v>
      </c>
      <c r="S75" s="1">
        <f>[1]!Convection(J75,N75,1000,9*10^-4,L75,0.6,0.36,7)</f>
        <v>20660.760475301788</v>
      </c>
      <c r="U75" s="1">
        <f t="shared" si="19"/>
        <v>0.62737551216898713</v>
      </c>
      <c r="V75" s="1">
        <f t="shared" si="20"/>
        <v>5.0675675675675673E-6</v>
      </c>
      <c r="W75" s="1">
        <f t="shared" si="21"/>
        <v>5.630630630630632E-7</v>
      </c>
      <c r="X75" s="1">
        <f t="shared" si="22"/>
        <v>3</v>
      </c>
      <c r="Y75" s="1">
        <f t="shared" si="23"/>
        <v>84.820090900999489</v>
      </c>
      <c r="Z75" s="1">
        <f t="shared" si="24"/>
        <v>3.3333333333333335</v>
      </c>
      <c r="AA75" s="1">
        <f t="shared" si="25"/>
        <v>0.18259852668421694</v>
      </c>
    </row>
    <row r="76" spans="1:27" x14ac:dyDescent="0.25">
      <c r="A76" s="1">
        <v>25</v>
      </c>
      <c r="B76" s="1">
        <v>0.5</v>
      </c>
      <c r="C76" s="1">
        <v>3</v>
      </c>
      <c r="D76" s="1">
        <f t="shared" si="13"/>
        <v>7.4999999999999997E-2</v>
      </c>
      <c r="E76" s="1">
        <v>10</v>
      </c>
      <c r="F76" s="1">
        <v>1.5</v>
      </c>
      <c r="G76" s="1">
        <v>75</v>
      </c>
      <c r="H76" s="1">
        <v>38.442586069999997</v>
      </c>
      <c r="J76" s="1">
        <f t="shared" si="14"/>
        <v>2.5000000000000001E-2</v>
      </c>
      <c r="K76" s="1">
        <f t="shared" si="15"/>
        <v>7.4999999999999997E-2</v>
      </c>
      <c r="L76" s="1">
        <f t="shared" si="16"/>
        <v>5.0000000000000001E-4</v>
      </c>
      <c r="M76" s="1">
        <f t="shared" si="17"/>
        <v>0.18613936472519524</v>
      </c>
      <c r="N76" s="1">
        <f t="shared" si="18"/>
        <v>2.0833333333333332E-2</v>
      </c>
      <c r="O76" s="1">
        <v>370</v>
      </c>
      <c r="P76" s="1">
        <v>3</v>
      </c>
      <c r="Q76" s="1">
        <v>4148</v>
      </c>
      <c r="R76" s="1">
        <f>[1]!HeatTransferArea(J76,D76,0.36,L76)</f>
        <v>0.28274333882308145</v>
      </c>
      <c r="S76" s="1">
        <f>[1]!Convection(J76,N76,1000,9*10^-4,L76,0.6,0.36,7)</f>
        <v>20660.760475301788</v>
      </c>
      <c r="U76" s="1">
        <f t="shared" si="19"/>
        <v>0.41825034144599144</v>
      </c>
      <c r="V76" s="1">
        <f t="shared" si="20"/>
        <v>7.6013513513513518E-6</v>
      </c>
      <c r="W76" s="1">
        <f t="shared" si="21"/>
        <v>8.445945945945948E-7</v>
      </c>
      <c r="X76" s="1">
        <f t="shared" si="22"/>
        <v>3</v>
      </c>
      <c r="Y76" s="1">
        <f t="shared" si="23"/>
        <v>56.546727267332997</v>
      </c>
      <c r="Z76" s="1">
        <f t="shared" si="24"/>
        <v>3.3333333333333335</v>
      </c>
      <c r="AA76" s="1">
        <f t="shared" si="25"/>
        <v>0.12403953519648536</v>
      </c>
    </row>
    <row r="77" spans="1:27" x14ac:dyDescent="0.25">
      <c r="A77" s="1">
        <v>25</v>
      </c>
      <c r="B77" s="1">
        <v>0.5</v>
      </c>
      <c r="C77" s="1">
        <v>4</v>
      </c>
      <c r="D77" s="1">
        <f t="shared" si="13"/>
        <v>0.1</v>
      </c>
      <c r="E77" s="1">
        <v>10</v>
      </c>
      <c r="F77" s="1">
        <v>0.5</v>
      </c>
      <c r="G77" s="1">
        <v>75</v>
      </c>
      <c r="H77" s="1">
        <v>35.750204189999998</v>
      </c>
      <c r="J77" s="1">
        <f t="shared" si="14"/>
        <v>2.5000000000000001E-2</v>
      </c>
      <c r="K77" s="1">
        <f t="shared" si="15"/>
        <v>0.1</v>
      </c>
      <c r="L77" s="1">
        <f t="shared" si="16"/>
        <v>5.0000000000000001E-4</v>
      </c>
      <c r="M77" s="1">
        <f t="shared" si="17"/>
        <v>0.24818581963359368</v>
      </c>
      <c r="N77" s="1">
        <f t="shared" si="18"/>
        <v>2.0833333333333332E-2</v>
      </c>
      <c r="O77" s="1">
        <v>370</v>
      </c>
      <c r="P77" s="1">
        <v>3</v>
      </c>
      <c r="Q77" s="1">
        <v>4148</v>
      </c>
      <c r="R77" s="1">
        <f>[1]!HeatTransferArea(J77,D77,0.36,L77)</f>
        <v>0.37699111843077526</v>
      </c>
      <c r="S77" s="1">
        <f>[1]!Convection(J77,N77,1000,9*10^-4,L77,0.6,0.36,7)</f>
        <v>20660.760475301788</v>
      </c>
      <c r="U77" s="1">
        <f t="shared" si="19"/>
        <v>0.94106326825348063</v>
      </c>
      <c r="V77" s="1">
        <f t="shared" si="20"/>
        <v>4.5045045045045056E-6</v>
      </c>
      <c r="W77" s="1">
        <f t="shared" si="21"/>
        <v>2.815315315315316E-7</v>
      </c>
      <c r="X77" s="1">
        <f t="shared" si="22"/>
        <v>4</v>
      </c>
      <c r="Y77" s="1">
        <f t="shared" si="23"/>
        <v>169.64018180199895</v>
      </c>
      <c r="Z77" s="1">
        <f t="shared" si="24"/>
        <v>3.3333333333333335</v>
      </c>
      <c r="AA77" s="1">
        <f t="shared" si="25"/>
        <v>0.25954255734442183</v>
      </c>
    </row>
    <row r="78" spans="1:27" x14ac:dyDescent="0.25">
      <c r="A78" s="1">
        <v>25</v>
      </c>
      <c r="B78" s="1">
        <v>0.5</v>
      </c>
      <c r="C78" s="1">
        <v>4</v>
      </c>
      <c r="D78" s="1">
        <f t="shared" si="13"/>
        <v>0.1</v>
      </c>
      <c r="E78" s="1">
        <v>10</v>
      </c>
      <c r="F78" s="1">
        <v>1</v>
      </c>
      <c r="G78" s="1">
        <v>75</v>
      </c>
      <c r="H78" s="1">
        <v>38.305748540000003</v>
      </c>
      <c r="J78" s="1">
        <f t="shared" si="14"/>
        <v>2.5000000000000001E-2</v>
      </c>
      <c r="K78" s="1">
        <f t="shared" si="15"/>
        <v>0.1</v>
      </c>
      <c r="L78" s="1">
        <f t="shared" si="16"/>
        <v>5.0000000000000001E-4</v>
      </c>
      <c r="M78" s="1">
        <f t="shared" si="17"/>
        <v>0.24818581963359368</v>
      </c>
      <c r="N78" s="1">
        <f t="shared" si="18"/>
        <v>2.0833333333333332E-2</v>
      </c>
      <c r="O78" s="1">
        <v>370</v>
      </c>
      <c r="P78" s="1">
        <v>3</v>
      </c>
      <c r="Q78" s="1">
        <v>4148</v>
      </c>
      <c r="R78" s="1">
        <f>[1]!HeatTransferArea(J78,D78,0.36,L78)</f>
        <v>0.37699111843077526</v>
      </c>
      <c r="S78" s="1">
        <f>[1]!Convection(J78,N78,1000,9*10^-4,L78,0.6,0.36,7)</f>
        <v>20660.760475301788</v>
      </c>
      <c r="U78" s="1">
        <f t="shared" si="19"/>
        <v>0.47053163412674032</v>
      </c>
      <c r="V78" s="1">
        <f t="shared" si="20"/>
        <v>9.0090090090090112E-6</v>
      </c>
      <c r="W78" s="1">
        <f t="shared" si="21"/>
        <v>5.630630630630632E-7</v>
      </c>
      <c r="X78" s="1">
        <f t="shared" si="22"/>
        <v>4</v>
      </c>
      <c r="Y78" s="1">
        <f t="shared" si="23"/>
        <v>84.820090900999475</v>
      </c>
      <c r="Z78" s="1">
        <f t="shared" si="24"/>
        <v>3.3333333333333335</v>
      </c>
      <c r="AA78" s="1">
        <f t="shared" si="25"/>
        <v>0.13904776437395719</v>
      </c>
    </row>
    <row r="79" spans="1:27" x14ac:dyDescent="0.25">
      <c r="A79" s="1">
        <v>25</v>
      </c>
      <c r="B79" s="1">
        <v>0.5</v>
      </c>
      <c r="C79" s="1">
        <v>4</v>
      </c>
      <c r="D79" s="1">
        <f t="shared" si="13"/>
        <v>0.1</v>
      </c>
      <c r="E79" s="1">
        <v>10</v>
      </c>
      <c r="F79" s="1">
        <v>1.5</v>
      </c>
      <c r="G79" s="1">
        <v>75</v>
      </c>
      <c r="H79" s="1">
        <v>38.452116490000002</v>
      </c>
      <c r="J79" s="1">
        <f t="shared" si="14"/>
        <v>2.5000000000000001E-2</v>
      </c>
      <c r="K79" s="1">
        <f t="shared" si="15"/>
        <v>0.1</v>
      </c>
      <c r="L79" s="1">
        <f t="shared" si="16"/>
        <v>5.0000000000000001E-4</v>
      </c>
      <c r="M79" s="1">
        <f t="shared" si="17"/>
        <v>0.24818581963359368</v>
      </c>
      <c r="N79" s="1">
        <f t="shared" si="18"/>
        <v>2.0833333333333332E-2</v>
      </c>
      <c r="O79" s="1">
        <v>370</v>
      </c>
      <c r="P79" s="1">
        <v>3</v>
      </c>
      <c r="Q79" s="1">
        <v>4148</v>
      </c>
      <c r="R79" s="1">
        <f>[1]!HeatTransferArea(J79,D79,0.36,L79)</f>
        <v>0.37699111843077526</v>
      </c>
      <c r="S79" s="1">
        <f>[1]!Convection(J79,N79,1000,9*10^-4,L79,0.6,0.36,7)</f>
        <v>20660.760475301788</v>
      </c>
      <c r="U79" s="1">
        <f t="shared" si="19"/>
        <v>0.31368775608449356</v>
      </c>
      <c r="V79" s="1">
        <f t="shared" si="20"/>
        <v>1.3513513513513517E-5</v>
      </c>
      <c r="W79" s="1">
        <f t="shared" si="21"/>
        <v>8.445945945945948E-7</v>
      </c>
      <c r="X79" s="1">
        <f t="shared" si="22"/>
        <v>4</v>
      </c>
      <c r="Y79" s="1">
        <f t="shared" si="23"/>
        <v>56.54672726733299</v>
      </c>
      <c r="Z79" s="1">
        <f t="shared" si="24"/>
        <v>3.3333333333333335</v>
      </c>
      <c r="AA79" s="1">
        <f t="shared" si="25"/>
        <v>9.3052714664977082E-2</v>
      </c>
    </row>
    <row r="80" spans="1:27" x14ac:dyDescent="0.25">
      <c r="A80" s="1">
        <v>25</v>
      </c>
      <c r="B80" s="1">
        <v>0.5</v>
      </c>
      <c r="C80" s="1">
        <v>5</v>
      </c>
      <c r="D80" s="1">
        <f t="shared" si="13"/>
        <v>0.125</v>
      </c>
      <c r="E80" s="1">
        <v>10</v>
      </c>
      <c r="F80" s="1">
        <v>0.5</v>
      </c>
      <c r="G80" s="1">
        <v>75</v>
      </c>
      <c r="H80" s="1">
        <v>37.234552440000002</v>
      </c>
      <c r="J80" s="1">
        <f t="shared" si="14"/>
        <v>2.5000000000000001E-2</v>
      </c>
      <c r="K80" s="1">
        <f t="shared" si="15"/>
        <v>0.125</v>
      </c>
      <c r="L80" s="1">
        <f t="shared" si="16"/>
        <v>5.0000000000000001E-4</v>
      </c>
      <c r="M80" s="1">
        <f t="shared" si="17"/>
        <v>0.31023227454199215</v>
      </c>
      <c r="N80" s="1">
        <f t="shared" si="18"/>
        <v>2.0833333333333332E-2</v>
      </c>
      <c r="O80" s="1">
        <v>370</v>
      </c>
      <c r="P80" s="1">
        <v>3</v>
      </c>
      <c r="Q80" s="1">
        <v>4148</v>
      </c>
      <c r="R80" s="1">
        <f>[1]!HeatTransferArea(J80,D80,0.36,L80)</f>
        <v>0.47123889803846908</v>
      </c>
      <c r="S80" s="1">
        <f>[1]!Convection(J80,N80,1000,9*10^-4,L80,0.6,0.36,7)</f>
        <v>20660.760475301788</v>
      </c>
      <c r="U80" s="1">
        <f t="shared" si="19"/>
        <v>0.75285061460278435</v>
      </c>
      <c r="V80" s="1">
        <f t="shared" si="20"/>
        <v>7.0382882882882884E-6</v>
      </c>
      <c r="W80" s="1">
        <f t="shared" si="21"/>
        <v>2.815315315315316E-7</v>
      </c>
      <c r="X80" s="1">
        <f t="shared" si="22"/>
        <v>5</v>
      </c>
      <c r="Y80" s="1">
        <f t="shared" si="23"/>
        <v>169.64018180199895</v>
      </c>
      <c r="Z80" s="1">
        <f t="shared" si="24"/>
        <v>3.3333333333333335</v>
      </c>
      <c r="AA80" s="1">
        <f t="shared" si="25"/>
        <v>0.216255010136267</v>
      </c>
    </row>
    <row r="81" spans="1:27" x14ac:dyDescent="0.25">
      <c r="A81" s="1">
        <v>25</v>
      </c>
      <c r="B81" s="1">
        <v>0.5</v>
      </c>
      <c r="C81" s="1">
        <v>5</v>
      </c>
      <c r="D81" s="1">
        <f t="shared" si="13"/>
        <v>0.125</v>
      </c>
      <c r="E81" s="1">
        <v>10</v>
      </c>
      <c r="F81" s="1">
        <v>1</v>
      </c>
      <c r="G81" s="1">
        <v>75</v>
      </c>
      <c r="H81" s="1">
        <v>38.273383639999999</v>
      </c>
      <c r="J81" s="1">
        <f t="shared" si="14"/>
        <v>2.5000000000000001E-2</v>
      </c>
      <c r="K81" s="1">
        <f t="shared" si="15"/>
        <v>0.125</v>
      </c>
      <c r="L81" s="1">
        <f t="shared" si="16"/>
        <v>5.0000000000000001E-4</v>
      </c>
      <c r="M81" s="1">
        <f t="shared" si="17"/>
        <v>0.31023227454199215</v>
      </c>
      <c r="N81" s="1">
        <f t="shared" si="18"/>
        <v>2.0833333333333332E-2</v>
      </c>
      <c r="O81" s="1">
        <v>370</v>
      </c>
      <c r="P81" s="1">
        <v>3</v>
      </c>
      <c r="Q81" s="1">
        <v>4148</v>
      </c>
      <c r="R81" s="1">
        <f>[1]!HeatTransferArea(J81,D81,0.36,L81)</f>
        <v>0.47123889803846908</v>
      </c>
      <c r="S81" s="1">
        <f>[1]!Convection(J81,N81,1000,9*10^-4,L81,0.6,0.36,7)</f>
        <v>20660.760475301788</v>
      </c>
      <c r="U81" s="1">
        <f t="shared" si="19"/>
        <v>0.37642530730139218</v>
      </c>
      <c r="V81" s="1">
        <f t="shared" si="20"/>
        <v>1.4076576576576577E-5</v>
      </c>
      <c r="W81" s="1">
        <f t="shared" si="21"/>
        <v>5.630630630630632E-7</v>
      </c>
      <c r="X81" s="1">
        <f t="shared" si="22"/>
        <v>5</v>
      </c>
      <c r="Y81" s="1">
        <f t="shared" si="23"/>
        <v>84.820090900999475</v>
      </c>
      <c r="Z81" s="1">
        <f t="shared" si="24"/>
        <v>3.3333333333333335</v>
      </c>
      <c r="AA81" s="1">
        <f t="shared" si="25"/>
        <v>0.11114422525092442</v>
      </c>
    </row>
    <row r="82" spans="1:27" x14ac:dyDescent="0.25">
      <c r="A82" s="1">
        <v>25</v>
      </c>
      <c r="B82" s="1">
        <v>0.5</v>
      </c>
      <c r="C82" s="1">
        <v>5</v>
      </c>
      <c r="D82" s="1">
        <f t="shared" si="13"/>
        <v>0.125</v>
      </c>
      <c r="E82" s="1">
        <v>10</v>
      </c>
      <c r="F82" s="1">
        <v>1.5</v>
      </c>
      <c r="G82" s="1">
        <v>75</v>
      </c>
      <c r="H82" s="1">
        <v>38.178975800000003</v>
      </c>
      <c r="J82" s="1">
        <f t="shared" si="14"/>
        <v>2.5000000000000001E-2</v>
      </c>
      <c r="K82" s="1">
        <f t="shared" si="15"/>
        <v>0.125</v>
      </c>
      <c r="L82" s="1">
        <f t="shared" si="16"/>
        <v>5.0000000000000001E-4</v>
      </c>
      <c r="M82" s="1">
        <f t="shared" si="17"/>
        <v>0.31023227454199215</v>
      </c>
      <c r="N82" s="1">
        <f t="shared" si="18"/>
        <v>2.0833333333333332E-2</v>
      </c>
      <c r="O82" s="1">
        <v>370</v>
      </c>
      <c r="P82" s="1">
        <v>3</v>
      </c>
      <c r="Q82" s="1">
        <v>4148</v>
      </c>
      <c r="R82" s="1">
        <f>[1]!HeatTransferArea(J82,D82,0.36,L82)</f>
        <v>0.47123889803846908</v>
      </c>
      <c r="S82" s="1">
        <f>[1]!Convection(J82,N82,1000,9*10^-4,L82,0.6,0.36,7)</f>
        <v>20660.760475301788</v>
      </c>
      <c r="U82" s="1">
        <f t="shared" si="19"/>
        <v>0.25095020486759478</v>
      </c>
      <c r="V82" s="1">
        <f t="shared" si="20"/>
        <v>2.1114864864864866E-5</v>
      </c>
      <c r="W82" s="1">
        <f t="shared" si="21"/>
        <v>8.445945945945948E-7</v>
      </c>
      <c r="X82" s="1">
        <f t="shared" si="22"/>
        <v>5</v>
      </c>
      <c r="Y82" s="1">
        <f t="shared" si="23"/>
        <v>56.546727267332983</v>
      </c>
      <c r="Z82" s="1">
        <f t="shared" si="24"/>
        <v>3.3333333333333335</v>
      </c>
      <c r="AA82" s="1">
        <f t="shared" si="25"/>
        <v>7.3913379353095041E-2</v>
      </c>
    </row>
    <row r="83" spans="1:27" x14ac:dyDescent="0.25">
      <c r="A83" s="1">
        <v>25</v>
      </c>
      <c r="B83" s="1">
        <v>0.3</v>
      </c>
      <c r="C83" s="1">
        <v>3</v>
      </c>
      <c r="D83" s="1">
        <f t="shared" si="13"/>
        <v>7.4999999999999997E-2</v>
      </c>
      <c r="E83" s="1">
        <v>15</v>
      </c>
      <c r="F83" s="1">
        <v>0.5</v>
      </c>
      <c r="G83" s="1">
        <v>100</v>
      </c>
      <c r="H83" s="1">
        <v>-7.7374923500000001</v>
      </c>
      <c r="J83" s="1">
        <f t="shared" si="14"/>
        <v>2.5000000000000001E-2</v>
      </c>
      <c r="K83" s="1">
        <f t="shared" si="15"/>
        <v>7.4999999999999997E-2</v>
      </c>
      <c r="L83" s="1">
        <f t="shared" si="16"/>
        <v>2.9999999999999997E-4</v>
      </c>
      <c r="M83" s="1">
        <f t="shared" si="17"/>
        <v>0.18613936472519524</v>
      </c>
      <c r="N83" s="1">
        <f t="shared" si="18"/>
        <v>2.7777777777777776E-2</v>
      </c>
      <c r="O83" s="1">
        <v>370</v>
      </c>
      <c r="P83" s="1">
        <v>3</v>
      </c>
      <c r="Q83" s="1">
        <v>4148</v>
      </c>
      <c r="R83" s="1">
        <f>[1]!HeatTransferArea(J83,D83,0.36,L83)</f>
        <v>0.47123889803846908</v>
      </c>
      <c r="S83" s="1">
        <f>[1]!Convection(J83,N83,1000,9*10^-4,L83,0.6,0.36,7)</f>
        <v>34185.213621900613</v>
      </c>
      <c r="U83" s="1">
        <f t="shared" si="19"/>
        <v>1.6730013657839657</v>
      </c>
      <c r="V83" s="1">
        <f t="shared" si="20"/>
        <v>2.5337837837837837E-6</v>
      </c>
      <c r="W83" s="1">
        <f t="shared" si="21"/>
        <v>2.815315315315316E-7</v>
      </c>
      <c r="X83" s="1">
        <f t="shared" si="22"/>
        <v>3</v>
      </c>
      <c r="Y83" s="1">
        <f t="shared" si="23"/>
        <v>467.8099708778737</v>
      </c>
      <c r="Z83" s="1">
        <f t="shared" si="24"/>
        <v>5</v>
      </c>
      <c r="AA83" s="1">
        <f t="shared" si="25"/>
        <v>-7.4897793264954604E-2</v>
      </c>
    </row>
    <row r="84" spans="1:27" x14ac:dyDescent="0.25">
      <c r="A84" s="1">
        <v>25</v>
      </c>
      <c r="B84" s="1">
        <v>0.3</v>
      </c>
      <c r="C84" s="1">
        <v>3</v>
      </c>
      <c r="D84" s="1">
        <f t="shared" si="13"/>
        <v>7.4999999999999997E-2</v>
      </c>
      <c r="E84" s="1">
        <v>15</v>
      </c>
      <c r="F84" s="1">
        <v>1</v>
      </c>
      <c r="G84" s="1">
        <v>100</v>
      </c>
      <c r="H84" s="1">
        <v>36.42861894</v>
      </c>
      <c r="J84" s="1">
        <f t="shared" si="14"/>
        <v>2.5000000000000001E-2</v>
      </c>
      <c r="K84" s="1">
        <f t="shared" si="15"/>
        <v>7.4999999999999997E-2</v>
      </c>
      <c r="L84" s="1">
        <f t="shared" si="16"/>
        <v>2.9999999999999997E-4</v>
      </c>
      <c r="M84" s="1">
        <f t="shared" si="17"/>
        <v>0.18613936472519524</v>
      </c>
      <c r="N84" s="1">
        <f t="shared" si="18"/>
        <v>2.7777777777777776E-2</v>
      </c>
      <c r="O84" s="1">
        <v>370</v>
      </c>
      <c r="P84" s="1">
        <v>3</v>
      </c>
      <c r="Q84" s="1">
        <v>4148</v>
      </c>
      <c r="R84" s="1">
        <f>[1]!HeatTransferArea(J84,D84,0.36,L84)</f>
        <v>0.47123889803846908</v>
      </c>
      <c r="S84" s="1">
        <f>[1]!Convection(J84,N84,1000,9*10^-4,L84,0.6,0.36,7)</f>
        <v>34185.213621900613</v>
      </c>
      <c r="U84" s="1">
        <f t="shared" si="19"/>
        <v>0.83650068289198287</v>
      </c>
      <c r="V84" s="1">
        <f t="shared" si="20"/>
        <v>5.0675675675675673E-6</v>
      </c>
      <c r="W84" s="1">
        <f t="shared" si="21"/>
        <v>5.630630630630632E-7</v>
      </c>
      <c r="X84" s="1">
        <f t="shared" si="22"/>
        <v>3</v>
      </c>
      <c r="Y84" s="1">
        <f t="shared" si="23"/>
        <v>233.90498543893685</v>
      </c>
      <c r="Z84" s="1">
        <f t="shared" si="24"/>
        <v>5</v>
      </c>
      <c r="AA84" s="1">
        <f t="shared" si="25"/>
        <v>0.17631184929675114</v>
      </c>
    </row>
    <row r="85" spans="1:27" x14ac:dyDescent="0.25">
      <c r="A85" s="1">
        <v>25</v>
      </c>
      <c r="B85" s="1">
        <v>0.3</v>
      </c>
      <c r="C85" s="1">
        <v>3</v>
      </c>
      <c r="D85" s="1">
        <f t="shared" si="13"/>
        <v>7.4999999999999997E-2</v>
      </c>
      <c r="E85" s="1">
        <v>15</v>
      </c>
      <c r="F85" s="1">
        <v>1.5</v>
      </c>
      <c r="G85" s="1">
        <v>100</v>
      </c>
      <c r="H85" s="1">
        <v>37.89330065</v>
      </c>
      <c r="J85" s="1">
        <f t="shared" si="14"/>
        <v>2.5000000000000001E-2</v>
      </c>
      <c r="K85" s="1">
        <f t="shared" si="15"/>
        <v>7.4999999999999997E-2</v>
      </c>
      <c r="L85" s="1">
        <f t="shared" si="16"/>
        <v>2.9999999999999997E-4</v>
      </c>
      <c r="M85" s="1">
        <f t="shared" si="17"/>
        <v>0.18613936472519524</v>
      </c>
      <c r="N85" s="1">
        <f t="shared" si="18"/>
        <v>2.7777777777777776E-2</v>
      </c>
      <c r="O85" s="1">
        <v>370</v>
      </c>
      <c r="P85" s="1">
        <v>3</v>
      </c>
      <c r="Q85" s="1">
        <v>4148</v>
      </c>
      <c r="R85" s="1">
        <f>[1]!HeatTransferArea(J85,D85,0.36,L85)</f>
        <v>0.47123889803846908</v>
      </c>
      <c r="S85" s="1">
        <f>[1]!Convection(J85,N85,1000,9*10^-4,L85,0.6,0.36,7)</f>
        <v>34185.213621900613</v>
      </c>
      <c r="U85" s="1">
        <f t="shared" si="19"/>
        <v>0.55766712192798862</v>
      </c>
      <c r="V85" s="1">
        <f t="shared" si="20"/>
        <v>7.6013513513513518E-6</v>
      </c>
      <c r="W85" s="1">
        <f t="shared" si="21"/>
        <v>8.445945945945948E-7</v>
      </c>
      <c r="X85" s="1">
        <f t="shared" si="22"/>
        <v>3</v>
      </c>
      <c r="Y85" s="1">
        <f t="shared" si="23"/>
        <v>155.93665695929124</v>
      </c>
      <c r="Z85" s="1">
        <f t="shared" si="24"/>
        <v>5</v>
      </c>
      <c r="AA85" s="1">
        <f t="shared" si="25"/>
        <v>0.12226720104438273</v>
      </c>
    </row>
    <row r="86" spans="1:27" x14ac:dyDescent="0.25">
      <c r="A86" s="1">
        <v>25</v>
      </c>
      <c r="B86" s="1">
        <v>0.3</v>
      </c>
      <c r="C86" s="1">
        <v>3</v>
      </c>
      <c r="D86" s="1">
        <f t="shared" si="13"/>
        <v>7.4999999999999997E-2</v>
      </c>
      <c r="E86" s="1">
        <v>20</v>
      </c>
      <c r="F86" s="1">
        <v>0.5</v>
      </c>
      <c r="G86" s="1">
        <v>100</v>
      </c>
      <c r="H86" s="1">
        <v>-28.5406637</v>
      </c>
      <c r="J86" s="1">
        <f t="shared" si="14"/>
        <v>2.5000000000000001E-2</v>
      </c>
      <c r="K86" s="1">
        <f t="shared" si="15"/>
        <v>7.4999999999999997E-2</v>
      </c>
      <c r="L86" s="1">
        <f t="shared" si="16"/>
        <v>2.9999999999999997E-4</v>
      </c>
      <c r="M86" s="1">
        <f t="shared" si="17"/>
        <v>0.18613936472519524</v>
      </c>
      <c r="N86" s="1">
        <f t="shared" si="18"/>
        <v>2.7777777777777776E-2</v>
      </c>
      <c r="O86" s="1">
        <v>370</v>
      </c>
      <c r="P86" s="1">
        <v>3</v>
      </c>
      <c r="Q86" s="1">
        <v>4148</v>
      </c>
      <c r="R86" s="1">
        <f>[1]!HeatTransferArea(J86,D86,0.36,L86)</f>
        <v>0.47123889803846908</v>
      </c>
      <c r="S86" s="1">
        <f>[1]!Convection(J86,N86,1000,9*10^-4,L86,0.6,0.36,7)</f>
        <v>34185.213621900613</v>
      </c>
      <c r="U86" s="1">
        <f t="shared" si="19"/>
        <v>1.6730013657839657</v>
      </c>
      <c r="V86" s="1">
        <f t="shared" si="20"/>
        <v>2.5337837837837837E-6</v>
      </c>
      <c r="W86" s="1">
        <f t="shared" si="21"/>
        <v>2.815315315315316E-7</v>
      </c>
      <c r="X86" s="1">
        <f t="shared" si="22"/>
        <v>3</v>
      </c>
      <c r="Y86" s="1">
        <f t="shared" si="23"/>
        <v>467.8099708778737</v>
      </c>
      <c r="Z86" s="1">
        <f t="shared" si="24"/>
        <v>6.666666666666667</v>
      </c>
      <c r="AA86" s="1">
        <f t="shared" si="25"/>
        <v>-0.27626944657944563</v>
      </c>
    </row>
    <row r="87" spans="1:27" x14ac:dyDescent="0.25">
      <c r="A87" s="1">
        <v>25</v>
      </c>
      <c r="B87" s="1">
        <v>0.3</v>
      </c>
      <c r="C87" s="1">
        <v>3</v>
      </c>
      <c r="D87" s="1">
        <f t="shared" si="13"/>
        <v>7.4999999999999997E-2</v>
      </c>
      <c r="E87" s="1">
        <v>20</v>
      </c>
      <c r="F87" s="1">
        <v>1</v>
      </c>
      <c r="G87" s="1">
        <v>100</v>
      </c>
      <c r="H87" s="1">
        <v>21.57988521</v>
      </c>
      <c r="J87" s="1">
        <f t="shared" si="14"/>
        <v>2.5000000000000001E-2</v>
      </c>
      <c r="K87" s="1">
        <f t="shared" si="15"/>
        <v>7.4999999999999997E-2</v>
      </c>
      <c r="L87" s="1">
        <f t="shared" si="16"/>
        <v>2.9999999999999997E-4</v>
      </c>
      <c r="M87" s="1">
        <f t="shared" si="17"/>
        <v>0.18613936472519524</v>
      </c>
      <c r="N87" s="1">
        <f t="shared" si="18"/>
        <v>2.7777777777777776E-2</v>
      </c>
      <c r="O87" s="1">
        <v>370</v>
      </c>
      <c r="P87" s="1">
        <v>3</v>
      </c>
      <c r="Q87" s="1">
        <v>4148</v>
      </c>
      <c r="R87" s="1">
        <f>[1]!HeatTransferArea(J87,D87,0.36,L87)</f>
        <v>0.47123889803846908</v>
      </c>
      <c r="S87" s="1">
        <f>[1]!Convection(J87,N87,1000,9*10^-4,L87,0.6,0.36,7)</f>
        <v>34185.213621900613</v>
      </c>
      <c r="U87" s="1">
        <f t="shared" si="19"/>
        <v>0.83650068289198287</v>
      </c>
      <c r="V87" s="1">
        <f t="shared" si="20"/>
        <v>5.0675675675675673E-6</v>
      </c>
      <c r="W87" s="1">
        <f t="shared" si="21"/>
        <v>5.630630630630632E-7</v>
      </c>
      <c r="X87" s="1">
        <f t="shared" si="22"/>
        <v>3</v>
      </c>
      <c r="Y87" s="1">
        <f t="shared" si="23"/>
        <v>233.90498543893685</v>
      </c>
      <c r="Z87" s="1">
        <f t="shared" si="24"/>
        <v>6.666666666666667</v>
      </c>
      <c r="AA87" s="1">
        <f t="shared" si="25"/>
        <v>0.10444506488849915</v>
      </c>
    </row>
    <row r="88" spans="1:27" x14ac:dyDescent="0.25">
      <c r="A88" s="1">
        <v>25</v>
      </c>
      <c r="B88" s="1">
        <v>0.3</v>
      </c>
      <c r="C88" s="1">
        <v>3</v>
      </c>
      <c r="D88" s="1">
        <f t="shared" si="13"/>
        <v>7.4999999999999997E-2</v>
      </c>
      <c r="E88" s="1">
        <v>20</v>
      </c>
      <c r="F88" s="1">
        <v>1.5</v>
      </c>
      <c r="G88" s="1">
        <v>100</v>
      </c>
      <c r="H88" s="1">
        <v>23.83832559</v>
      </c>
      <c r="J88" s="1">
        <f t="shared" si="14"/>
        <v>2.5000000000000001E-2</v>
      </c>
      <c r="K88" s="1">
        <f t="shared" si="15"/>
        <v>7.4999999999999997E-2</v>
      </c>
      <c r="L88" s="1">
        <f t="shared" si="16"/>
        <v>2.9999999999999997E-4</v>
      </c>
      <c r="M88" s="1">
        <f t="shared" si="17"/>
        <v>0.18613936472519524</v>
      </c>
      <c r="N88" s="1">
        <f t="shared" si="18"/>
        <v>2.7777777777777776E-2</v>
      </c>
      <c r="O88" s="1">
        <v>370</v>
      </c>
      <c r="P88" s="1">
        <v>3</v>
      </c>
      <c r="Q88" s="1">
        <v>4148</v>
      </c>
      <c r="R88" s="1">
        <f>[1]!HeatTransferArea(J88,D88,0.36,L88)</f>
        <v>0.47123889803846908</v>
      </c>
      <c r="S88" s="1">
        <f>[1]!Convection(J88,N88,1000,9*10^-4,L88,0.6,0.36,7)</f>
        <v>34185.213621900613</v>
      </c>
      <c r="U88" s="1">
        <f t="shared" si="19"/>
        <v>0.55766712192798862</v>
      </c>
      <c r="V88" s="1">
        <f t="shared" si="20"/>
        <v>7.6013513513513518E-6</v>
      </c>
      <c r="W88" s="1">
        <f t="shared" si="21"/>
        <v>8.445945945945948E-7</v>
      </c>
      <c r="X88" s="1">
        <f t="shared" si="22"/>
        <v>3</v>
      </c>
      <c r="Y88" s="1">
        <f t="shared" si="23"/>
        <v>155.93665695929124</v>
      </c>
      <c r="Z88" s="1">
        <f t="shared" si="24"/>
        <v>6.666666666666667</v>
      </c>
      <c r="AA88" s="1">
        <f t="shared" si="25"/>
        <v>7.691716734826011E-2</v>
      </c>
    </row>
    <row r="89" spans="1:27" x14ac:dyDescent="0.25">
      <c r="A89" s="1">
        <v>25</v>
      </c>
      <c r="B89" s="1">
        <v>0.3</v>
      </c>
      <c r="C89" s="1">
        <v>4</v>
      </c>
      <c r="D89" s="1">
        <f t="shared" si="13"/>
        <v>0.1</v>
      </c>
      <c r="E89" s="1">
        <v>15</v>
      </c>
      <c r="F89" s="1">
        <v>0.5</v>
      </c>
      <c r="G89" s="1">
        <v>100</v>
      </c>
      <c r="H89" s="1">
        <v>28.503915559999999</v>
      </c>
      <c r="J89" s="1">
        <f t="shared" si="14"/>
        <v>2.5000000000000001E-2</v>
      </c>
      <c r="K89" s="1">
        <f t="shared" si="15"/>
        <v>0.1</v>
      </c>
      <c r="L89" s="1">
        <f t="shared" si="16"/>
        <v>2.9999999999999997E-4</v>
      </c>
      <c r="M89" s="1">
        <f t="shared" si="17"/>
        <v>0.24818581963359368</v>
      </c>
      <c r="N89" s="1">
        <f t="shared" si="18"/>
        <v>2.7777777777777776E-2</v>
      </c>
      <c r="O89" s="1">
        <v>370</v>
      </c>
      <c r="P89" s="1">
        <v>3</v>
      </c>
      <c r="Q89" s="1">
        <v>4148</v>
      </c>
      <c r="R89" s="1">
        <f>[1]!HeatTransferArea(J89,D89,0.36,L89)</f>
        <v>0.62831853071795885</v>
      </c>
      <c r="S89" s="1">
        <f>[1]!Convection(J89,N89,1000,9*10^-4,L89,0.6,0.36,7)</f>
        <v>34185.213621900613</v>
      </c>
      <c r="U89" s="1">
        <f t="shared" si="19"/>
        <v>1.2547510243379743</v>
      </c>
      <c r="V89" s="1">
        <f t="shared" si="20"/>
        <v>4.5045045045045056E-6</v>
      </c>
      <c r="W89" s="1">
        <f t="shared" si="21"/>
        <v>2.815315315315316E-7</v>
      </c>
      <c r="X89" s="1">
        <f t="shared" si="22"/>
        <v>4</v>
      </c>
      <c r="Y89" s="1">
        <f t="shared" si="23"/>
        <v>467.8099708778737</v>
      </c>
      <c r="Z89" s="1">
        <f t="shared" si="24"/>
        <v>5</v>
      </c>
      <c r="AA89" s="1">
        <f t="shared" si="25"/>
        <v>0.20693529747282424</v>
      </c>
    </row>
    <row r="90" spans="1:27" x14ac:dyDescent="0.25">
      <c r="A90" s="1">
        <v>25</v>
      </c>
      <c r="B90" s="1">
        <v>0.3</v>
      </c>
      <c r="C90" s="1">
        <v>4</v>
      </c>
      <c r="D90" s="1">
        <f t="shared" si="13"/>
        <v>0.1</v>
      </c>
      <c r="E90" s="1">
        <v>15</v>
      </c>
      <c r="F90" s="1">
        <v>1</v>
      </c>
      <c r="G90" s="1">
        <v>100</v>
      </c>
      <c r="H90" s="1">
        <v>37.094334089999997</v>
      </c>
      <c r="J90" s="1">
        <f t="shared" si="14"/>
        <v>2.5000000000000001E-2</v>
      </c>
      <c r="K90" s="1">
        <f t="shared" si="15"/>
        <v>0.1</v>
      </c>
      <c r="L90" s="1">
        <f t="shared" si="16"/>
        <v>2.9999999999999997E-4</v>
      </c>
      <c r="M90" s="1">
        <f t="shared" si="17"/>
        <v>0.24818581963359368</v>
      </c>
      <c r="N90" s="1">
        <f t="shared" si="18"/>
        <v>2.7777777777777776E-2</v>
      </c>
      <c r="O90" s="1">
        <v>370</v>
      </c>
      <c r="P90" s="1">
        <v>3</v>
      </c>
      <c r="Q90" s="1">
        <v>4148</v>
      </c>
      <c r="R90" s="1">
        <f>[1]!HeatTransferArea(J90,D90,0.36,L90)</f>
        <v>0.62831853071795885</v>
      </c>
      <c r="S90" s="1">
        <f>[1]!Convection(J90,N90,1000,9*10^-4,L90,0.6,0.36,7)</f>
        <v>34185.213621900613</v>
      </c>
      <c r="U90" s="1">
        <f t="shared" si="19"/>
        <v>0.62737551216898713</v>
      </c>
      <c r="V90" s="1">
        <f t="shared" si="20"/>
        <v>9.0090090090090112E-6</v>
      </c>
      <c r="W90" s="1">
        <f t="shared" si="21"/>
        <v>5.630630630630632E-7</v>
      </c>
      <c r="X90" s="1">
        <f t="shared" si="22"/>
        <v>4</v>
      </c>
      <c r="Y90" s="1">
        <f t="shared" si="23"/>
        <v>233.90498543893685</v>
      </c>
      <c r="Z90" s="1">
        <f t="shared" si="24"/>
        <v>5</v>
      </c>
      <c r="AA90" s="1">
        <f t="shared" si="25"/>
        <v>0.13465039642207099</v>
      </c>
    </row>
    <row r="91" spans="1:27" x14ac:dyDescent="0.25">
      <c r="A91" s="1">
        <v>25</v>
      </c>
      <c r="B91" s="1">
        <v>0.3</v>
      </c>
      <c r="C91" s="1">
        <v>4</v>
      </c>
      <c r="D91" s="1">
        <f t="shared" si="13"/>
        <v>0.1</v>
      </c>
      <c r="E91" s="1">
        <v>15</v>
      </c>
      <c r="F91" s="1">
        <v>1.5</v>
      </c>
      <c r="G91" s="1">
        <v>100</v>
      </c>
      <c r="H91" s="1">
        <v>37.593140839999997</v>
      </c>
      <c r="J91" s="1">
        <f t="shared" si="14"/>
        <v>2.5000000000000001E-2</v>
      </c>
      <c r="K91" s="1">
        <f t="shared" si="15"/>
        <v>0.1</v>
      </c>
      <c r="L91" s="1">
        <f t="shared" si="16"/>
        <v>2.9999999999999997E-4</v>
      </c>
      <c r="M91" s="1">
        <f t="shared" si="17"/>
        <v>0.24818581963359368</v>
      </c>
      <c r="N91" s="1">
        <f t="shared" si="18"/>
        <v>2.7777777777777776E-2</v>
      </c>
      <c r="O91" s="1">
        <v>370</v>
      </c>
      <c r="P91" s="1">
        <v>3</v>
      </c>
      <c r="Q91" s="1">
        <v>4148</v>
      </c>
      <c r="R91" s="1">
        <f>[1]!HeatTransferArea(J91,D91,0.36,L91)</f>
        <v>0.62831853071795885</v>
      </c>
      <c r="S91" s="1">
        <f>[1]!Convection(J91,N91,1000,9*10^-4,L91,0.6,0.36,7)</f>
        <v>34185.213621900613</v>
      </c>
      <c r="U91" s="1">
        <f t="shared" si="19"/>
        <v>0.41825034144599144</v>
      </c>
      <c r="V91" s="1">
        <f t="shared" si="20"/>
        <v>1.3513513513513517E-5</v>
      </c>
      <c r="W91" s="1">
        <f t="shared" si="21"/>
        <v>8.445945945945948E-7</v>
      </c>
      <c r="X91" s="1">
        <f t="shared" si="22"/>
        <v>4</v>
      </c>
      <c r="Y91" s="1">
        <f t="shared" si="23"/>
        <v>155.93665695929124</v>
      </c>
      <c r="Z91" s="1">
        <f t="shared" si="24"/>
        <v>5</v>
      </c>
      <c r="AA91" s="1">
        <f t="shared" si="25"/>
        <v>9.0974025028103644E-2</v>
      </c>
    </row>
    <row r="92" spans="1:27" x14ac:dyDescent="0.25">
      <c r="A92" s="1">
        <v>25</v>
      </c>
      <c r="B92" s="1">
        <v>0.3</v>
      </c>
      <c r="C92" s="1">
        <v>4</v>
      </c>
      <c r="D92" s="1">
        <f t="shared" si="13"/>
        <v>0.1</v>
      </c>
      <c r="E92" s="1">
        <v>20</v>
      </c>
      <c r="F92" s="1">
        <v>0.5</v>
      </c>
      <c r="G92" s="1">
        <v>100</v>
      </c>
      <c r="H92" s="1">
        <v>12.082306839999999</v>
      </c>
      <c r="J92" s="1">
        <f t="shared" si="14"/>
        <v>2.5000000000000001E-2</v>
      </c>
      <c r="K92" s="1">
        <f t="shared" si="15"/>
        <v>0.1</v>
      </c>
      <c r="L92" s="1">
        <f t="shared" si="16"/>
        <v>2.9999999999999997E-4</v>
      </c>
      <c r="M92" s="1">
        <f t="shared" si="17"/>
        <v>0.24818581963359368</v>
      </c>
      <c r="N92" s="1">
        <f t="shared" si="18"/>
        <v>2.7777777777777776E-2</v>
      </c>
      <c r="O92" s="1">
        <v>370</v>
      </c>
      <c r="P92" s="1">
        <v>3</v>
      </c>
      <c r="Q92" s="1">
        <v>4148</v>
      </c>
      <c r="R92" s="1">
        <f>[1]!HeatTransferArea(J92,D92,0.36,L92)</f>
        <v>0.62831853071795885</v>
      </c>
      <c r="S92" s="1">
        <f>[1]!Convection(J92,N92,1000,9*10^-4,L92,0.6,0.36,7)</f>
        <v>34185.213621900613</v>
      </c>
      <c r="U92" s="1">
        <f t="shared" si="19"/>
        <v>1.2547510243379743</v>
      </c>
      <c r="V92" s="1">
        <f t="shared" si="20"/>
        <v>4.5045045045045056E-6</v>
      </c>
      <c r="W92" s="1">
        <f t="shared" si="21"/>
        <v>2.815315315315316E-7</v>
      </c>
      <c r="X92" s="1">
        <f t="shared" si="22"/>
        <v>4</v>
      </c>
      <c r="Y92" s="1">
        <f t="shared" si="23"/>
        <v>467.8099708778737</v>
      </c>
      <c r="Z92" s="1">
        <f t="shared" si="24"/>
        <v>6.666666666666667</v>
      </c>
      <c r="AA92" s="1">
        <f t="shared" si="25"/>
        <v>8.7716221121633825E-2</v>
      </c>
    </row>
    <row r="93" spans="1:27" x14ac:dyDescent="0.25">
      <c r="A93" s="1">
        <v>25</v>
      </c>
      <c r="B93" s="1">
        <v>0.3</v>
      </c>
      <c r="C93" s="1">
        <v>4</v>
      </c>
      <c r="D93" s="1">
        <f t="shared" si="13"/>
        <v>0.1</v>
      </c>
      <c r="E93" s="1">
        <v>20</v>
      </c>
      <c r="F93" s="1">
        <v>1</v>
      </c>
      <c r="G93" s="1">
        <v>100</v>
      </c>
      <c r="H93" s="1">
        <v>23.022157870000001</v>
      </c>
      <c r="J93" s="1">
        <f t="shared" si="14"/>
        <v>2.5000000000000001E-2</v>
      </c>
      <c r="K93" s="1">
        <f t="shared" si="15"/>
        <v>0.1</v>
      </c>
      <c r="L93" s="1">
        <f t="shared" si="16"/>
        <v>2.9999999999999997E-4</v>
      </c>
      <c r="M93" s="1">
        <f t="shared" si="17"/>
        <v>0.24818581963359368</v>
      </c>
      <c r="N93" s="1">
        <f t="shared" si="18"/>
        <v>2.7777777777777776E-2</v>
      </c>
      <c r="O93" s="1">
        <v>370</v>
      </c>
      <c r="P93" s="1">
        <v>3</v>
      </c>
      <c r="Q93" s="1">
        <v>4148</v>
      </c>
      <c r="R93" s="1">
        <f>[1]!HeatTransferArea(J93,D93,0.36,L93)</f>
        <v>0.62831853071795885</v>
      </c>
      <c r="S93" s="1">
        <f>[1]!Convection(J93,N93,1000,9*10^-4,L93,0.6,0.36,7)</f>
        <v>34185.213621900613</v>
      </c>
      <c r="U93" s="1">
        <f t="shared" si="19"/>
        <v>0.62737551216898713</v>
      </c>
      <c r="V93" s="1">
        <f t="shared" si="20"/>
        <v>9.0090090090090112E-6</v>
      </c>
      <c r="W93" s="1">
        <f t="shared" si="21"/>
        <v>5.630630630630632E-7</v>
      </c>
      <c r="X93" s="1">
        <f t="shared" si="22"/>
        <v>4</v>
      </c>
      <c r="Y93" s="1">
        <f t="shared" si="23"/>
        <v>233.90498543893685</v>
      </c>
      <c r="Z93" s="1">
        <f t="shared" si="24"/>
        <v>6.666666666666667</v>
      </c>
      <c r="AA93" s="1">
        <f t="shared" si="25"/>
        <v>8.3569169247405178E-2</v>
      </c>
    </row>
    <row r="94" spans="1:27" x14ac:dyDescent="0.25">
      <c r="A94" s="1">
        <v>25</v>
      </c>
      <c r="B94" s="1">
        <v>0.3</v>
      </c>
      <c r="C94" s="1">
        <v>4</v>
      </c>
      <c r="D94" s="1">
        <f t="shared" si="13"/>
        <v>0.1</v>
      </c>
      <c r="E94" s="1">
        <v>20</v>
      </c>
      <c r="F94" s="1">
        <v>1.5</v>
      </c>
      <c r="G94" s="1">
        <v>100</v>
      </c>
      <c r="H94" s="1">
        <v>23.97104169</v>
      </c>
      <c r="J94" s="1">
        <f t="shared" si="14"/>
        <v>2.5000000000000001E-2</v>
      </c>
      <c r="K94" s="1">
        <f t="shared" si="15"/>
        <v>0.1</v>
      </c>
      <c r="L94" s="1">
        <f t="shared" si="16"/>
        <v>2.9999999999999997E-4</v>
      </c>
      <c r="M94" s="1">
        <f t="shared" si="17"/>
        <v>0.24818581963359368</v>
      </c>
      <c r="N94" s="1">
        <f t="shared" si="18"/>
        <v>2.7777777777777776E-2</v>
      </c>
      <c r="O94" s="1">
        <v>370</v>
      </c>
      <c r="P94" s="1">
        <v>3</v>
      </c>
      <c r="Q94" s="1">
        <v>4148</v>
      </c>
      <c r="R94" s="1">
        <f>[1]!HeatTransferArea(J94,D94,0.36,L94)</f>
        <v>0.62831853071795885</v>
      </c>
      <c r="S94" s="1">
        <f>[1]!Convection(J94,N94,1000,9*10^-4,L94,0.6,0.36,7)</f>
        <v>34185.213621900613</v>
      </c>
      <c r="U94" s="1">
        <f t="shared" si="19"/>
        <v>0.41825034144599144</v>
      </c>
      <c r="V94" s="1">
        <f t="shared" si="20"/>
        <v>1.3513513513513517E-5</v>
      </c>
      <c r="W94" s="1">
        <f t="shared" si="21"/>
        <v>8.445945945945948E-7</v>
      </c>
      <c r="X94" s="1">
        <f t="shared" si="22"/>
        <v>4</v>
      </c>
      <c r="Y94" s="1">
        <f t="shared" si="23"/>
        <v>155.93665695929124</v>
      </c>
      <c r="Z94" s="1">
        <f t="shared" si="24"/>
        <v>6.666666666666667</v>
      </c>
      <c r="AA94" s="1">
        <f t="shared" si="25"/>
        <v>5.8009043616153888E-2</v>
      </c>
    </row>
    <row r="95" spans="1:27" x14ac:dyDescent="0.25">
      <c r="A95" s="1">
        <v>25</v>
      </c>
      <c r="B95" s="1">
        <v>0.3</v>
      </c>
      <c r="C95" s="1">
        <v>5</v>
      </c>
      <c r="D95" s="1">
        <f t="shared" si="13"/>
        <v>0.125</v>
      </c>
      <c r="E95" s="1">
        <v>15</v>
      </c>
      <c r="F95" s="1">
        <v>0.5</v>
      </c>
      <c r="G95" s="1">
        <v>100</v>
      </c>
      <c r="H95" s="1">
        <v>33.9831377</v>
      </c>
      <c r="J95" s="1">
        <f t="shared" si="14"/>
        <v>2.5000000000000001E-2</v>
      </c>
      <c r="K95" s="1">
        <f t="shared" si="15"/>
        <v>0.125</v>
      </c>
      <c r="L95" s="1">
        <f t="shared" si="16"/>
        <v>2.9999999999999997E-4</v>
      </c>
      <c r="M95" s="1">
        <f t="shared" si="17"/>
        <v>0.31023227454199215</v>
      </c>
      <c r="N95" s="1">
        <f t="shared" si="18"/>
        <v>2.7777777777777776E-2</v>
      </c>
      <c r="O95" s="1">
        <v>370</v>
      </c>
      <c r="P95" s="1">
        <v>3</v>
      </c>
      <c r="Q95" s="1">
        <v>4148</v>
      </c>
      <c r="R95" s="1">
        <f>[1]!HeatTransferArea(J95,D95,0.36,L95)</f>
        <v>0.7853981633974485</v>
      </c>
      <c r="S95" s="1">
        <f>[1]!Convection(J95,N95,1000,9*10^-4,L95,0.6,0.36,7)</f>
        <v>34185.213621900613</v>
      </c>
      <c r="U95" s="1">
        <f t="shared" si="19"/>
        <v>1.0038008194703791</v>
      </c>
      <c r="V95" s="1">
        <f t="shared" si="20"/>
        <v>7.0382882882882884E-6</v>
      </c>
      <c r="W95" s="1">
        <f t="shared" si="21"/>
        <v>2.815315315315316E-7</v>
      </c>
      <c r="X95" s="1">
        <f t="shared" si="22"/>
        <v>5</v>
      </c>
      <c r="Y95" s="1">
        <f t="shared" si="23"/>
        <v>467.80997087787358</v>
      </c>
      <c r="Z95" s="1">
        <f t="shared" si="24"/>
        <v>5</v>
      </c>
      <c r="AA95" s="1">
        <f t="shared" si="25"/>
        <v>0.19737107890897632</v>
      </c>
    </row>
    <row r="96" spans="1:27" x14ac:dyDescent="0.25">
      <c r="A96" s="1">
        <v>25</v>
      </c>
      <c r="B96" s="1">
        <v>0.3</v>
      </c>
      <c r="C96" s="1">
        <v>5</v>
      </c>
      <c r="D96" s="1">
        <f t="shared" si="13"/>
        <v>0.125</v>
      </c>
      <c r="E96" s="1">
        <v>15</v>
      </c>
      <c r="F96" s="1">
        <v>1</v>
      </c>
      <c r="G96" s="1">
        <v>100</v>
      </c>
      <c r="H96" s="1">
        <v>36.921265759999997</v>
      </c>
      <c r="J96" s="1">
        <f t="shared" si="14"/>
        <v>2.5000000000000001E-2</v>
      </c>
      <c r="K96" s="1">
        <f t="shared" si="15"/>
        <v>0.125</v>
      </c>
      <c r="L96" s="1">
        <f t="shared" si="16"/>
        <v>2.9999999999999997E-4</v>
      </c>
      <c r="M96" s="1">
        <f t="shared" si="17"/>
        <v>0.31023227454199215</v>
      </c>
      <c r="N96" s="1">
        <f t="shared" si="18"/>
        <v>2.7777777777777776E-2</v>
      </c>
      <c r="O96" s="1">
        <v>370</v>
      </c>
      <c r="P96" s="1">
        <v>3</v>
      </c>
      <c r="Q96" s="1">
        <v>4148</v>
      </c>
      <c r="R96" s="1">
        <f>[1]!HeatTransferArea(J96,D96,0.36,L96)</f>
        <v>0.7853981633974485</v>
      </c>
      <c r="S96" s="1">
        <f>[1]!Convection(J96,N96,1000,9*10^-4,L96,0.6,0.36,7)</f>
        <v>34185.213621900613</v>
      </c>
      <c r="U96" s="1">
        <f t="shared" si="19"/>
        <v>0.50190040973518957</v>
      </c>
      <c r="V96" s="1">
        <f t="shared" si="20"/>
        <v>1.4076576576576577E-5</v>
      </c>
      <c r="W96" s="1">
        <f t="shared" si="21"/>
        <v>5.630630630630632E-7</v>
      </c>
      <c r="X96" s="1">
        <f t="shared" si="22"/>
        <v>5</v>
      </c>
      <c r="Y96" s="1">
        <f t="shared" si="23"/>
        <v>233.90498543893679</v>
      </c>
      <c r="Z96" s="1">
        <f t="shared" si="24"/>
        <v>5</v>
      </c>
      <c r="AA96" s="1">
        <f t="shared" si="25"/>
        <v>0.10721773430792185</v>
      </c>
    </row>
    <row r="97" spans="1:27" x14ac:dyDescent="0.25">
      <c r="A97" s="1">
        <v>25</v>
      </c>
      <c r="B97" s="1">
        <v>0.3</v>
      </c>
      <c r="C97" s="1">
        <v>5</v>
      </c>
      <c r="D97" s="1">
        <f t="shared" si="13"/>
        <v>0.125</v>
      </c>
      <c r="E97" s="1">
        <v>15</v>
      </c>
      <c r="F97" s="1">
        <v>1.5</v>
      </c>
      <c r="G97" s="1">
        <v>100</v>
      </c>
      <c r="H97" s="1">
        <v>37.217051439999999</v>
      </c>
      <c r="J97" s="1">
        <f t="shared" si="14"/>
        <v>2.5000000000000001E-2</v>
      </c>
      <c r="K97" s="1">
        <f t="shared" si="15"/>
        <v>0.125</v>
      </c>
      <c r="L97" s="1">
        <f t="shared" si="16"/>
        <v>2.9999999999999997E-4</v>
      </c>
      <c r="M97" s="1">
        <f t="shared" si="17"/>
        <v>0.31023227454199215</v>
      </c>
      <c r="N97" s="1">
        <f t="shared" si="18"/>
        <v>2.7777777777777776E-2</v>
      </c>
      <c r="O97" s="1">
        <v>370</v>
      </c>
      <c r="P97" s="1">
        <v>3</v>
      </c>
      <c r="Q97" s="1">
        <v>4148</v>
      </c>
      <c r="R97" s="1">
        <f>[1]!HeatTransferArea(J97,D97,0.36,L97)</f>
        <v>0.7853981633974485</v>
      </c>
      <c r="S97" s="1">
        <f>[1]!Convection(J97,N97,1000,9*10^-4,L97,0.6,0.36,7)</f>
        <v>34185.213621900613</v>
      </c>
      <c r="U97" s="1">
        <f t="shared" si="19"/>
        <v>0.33460027315679308</v>
      </c>
      <c r="V97" s="1">
        <f t="shared" si="20"/>
        <v>2.1114864864864866E-5</v>
      </c>
      <c r="W97" s="1">
        <f t="shared" si="21"/>
        <v>8.445945945945948E-7</v>
      </c>
      <c r="X97" s="1">
        <f t="shared" si="22"/>
        <v>5</v>
      </c>
      <c r="Y97" s="1">
        <f t="shared" si="23"/>
        <v>155.93665695929118</v>
      </c>
      <c r="Z97" s="1">
        <f t="shared" si="24"/>
        <v>5</v>
      </c>
      <c r="AA97" s="1">
        <f t="shared" si="25"/>
        <v>7.2051121955146111E-2</v>
      </c>
    </row>
    <row r="98" spans="1:27" x14ac:dyDescent="0.25">
      <c r="A98" s="1">
        <v>25</v>
      </c>
      <c r="B98" s="1">
        <v>0.3</v>
      </c>
      <c r="C98" s="1">
        <v>5</v>
      </c>
      <c r="D98" s="1">
        <f t="shared" si="13"/>
        <v>0.125</v>
      </c>
      <c r="E98" s="1">
        <v>20</v>
      </c>
      <c r="F98" s="1">
        <v>0.5</v>
      </c>
      <c r="G98" s="1">
        <v>100</v>
      </c>
      <c r="H98" s="1">
        <v>18.944279009999999</v>
      </c>
      <c r="J98" s="1">
        <f t="shared" si="14"/>
        <v>2.5000000000000001E-2</v>
      </c>
      <c r="K98" s="1">
        <f t="shared" si="15"/>
        <v>0.125</v>
      </c>
      <c r="L98" s="1">
        <f t="shared" si="16"/>
        <v>2.9999999999999997E-4</v>
      </c>
      <c r="M98" s="1">
        <f t="shared" si="17"/>
        <v>0.31023227454199215</v>
      </c>
      <c r="N98" s="1">
        <f t="shared" si="18"/>
        <v>2.7777777777777776E-2</v>
      </c>
      <c r="O98" s="1">
        <v>370</v>
      </c>
      <c r="P98" s="1">
        <v>3</v>
      </c>
      <c r="Q98" s="1">
        <v>4148</v>
      </c>
      <c r="R98" s="1">
        <f>[1]!HeatTransferArea(J98,D98,0.36,L98)</f>
        <v>0.7853981633974485</v>
      </c>
      <c r="S98" s="1">
        <f>[1]!Convection(J98,N98,1000,9*10^-4,L98,0.6,0.36,7)</f>
        <v>34185.213621900613</v>
      </c>
      <c r="U98" s="1">
        <f t="shared" si="19"/>
        <v>1.0038008194703791</v>
      </c>
      <c r="V98" s="1">
        <f t="shared" si="20"/>
        <v>7.0382882882882884E-6</v>
      </c>
      <c r="W98" s="1">
        <f t="shared" si="21"/>
        <v>2.815315315315316E-7</v>
      </c>
      <c r="X98" s="1">
        <f t="shared" si="22"/>
        <v>5</v>
      </c>
      <c r="Y98" s="1">
        <f t="shared" si="23"/>
        <v>467.80997087787358</v>
      </c>
      <c r="Z98" s="1">
        <f t="shared" si="24"/>
        <v>6.666666666666667</v>
      </c>
      <c r="AA98" s="1">
        <f t="shared" si="25"/>
        <v>0.11002670855070494</v>
      </c>
    </row>
    <row r="99" spans="1:27" x14ac:dyDescent="0.25">
      <c r="A99" s="1">
        <v>25</v>
      </c>
      <c r="B99" s="1">
        <v>0.3</v>
      </c>
      <c r="C99" s="1">
        <v>5</v>
      </c>
      <c r="D99" s="1">
        <f t="shared" si="13"/>
        <v>0.125</v>
      </c>
      <c r="E99" s="1">
        <v>20</v>
      </c>
      <c r="F99" s="1">
        <v>1</v>
      </c>
      <c r="G99" s="1">
        <v>100</v>
      </c>
      <c r="H99" s="1">
        <v>23.188704479999998</v>
      </c>
      <c r="J99" s="1">
        <f t="shared" si="14"/>
        <v>2.5000000000000001E-2</v>
      </c>
      <c r="K99" s="1">
        <f t="shared" si="15"/>
        <v>0.125</v>
      </c>
      <c r="L99" s="1">
        <f t="shared" si="16"/>
        <v>2.9999999999999997E-4</v>
      </c>
      <c r="M99" s="1">
        <f t="shared" si="17"/>
        <v>0.31023227454199215</v>
      </c>
      <c r="N99" s="1">
        <f t="shared" si="18"/>
        <v>2.7777777777777776E-2</v>
      </c>
      <c r="O99" s="1">
        <v>370</v>
      </c>
      <c r="P99" s="1">
        <v>3</v>
      </c>
      <c r="Q99" s="1">
        <v>4148</v>
      </c>
      <c r="R99" s="1">
        <f>[1]!HeatTransferArea(J99,D99,0.36,L99)</f>
        <v>0.7853981633974485</v>
      </c>
      <c r="S99" s="1">
        <f>[1]!Convection(J99,N99,1000,9*10^-4,L99,0.6,0.36,7)</f>
        <v>34185.213621900613</v>
      </c>
      <c r="U99" s="1">
        <f t="shared" si="19"/>
        <v>0.50190040973518957</v>
      </c>
      <c r="V99" s="1">
        <f t="shared" si="20"/>
        <v>1.4076576576576577E-5</v>
      </c>
      <c r="W99" s="1">
        <f t="shared" si="21"/>
        <v>5.630630630630632E-7</v>
      </c>
      <c r="X99" s="1">
        <f t="shared" si="22"/>
        <v>5</v>
      </c>
      <c r="Y99" s="1">
        <f t="shared" si="23"/>
        <v>233.90498543893679</v>
      </c>
      <c r="Z99" s="1">
        <f t="shared" si="24"/>
        <v>6.666666666666667</v>
      </c>
      <c r="AA99" s="1">
        <f t="shared" si="25"/>
        <v>6.7338979439191288E-2</v>
      </c>
    </row>
    <row r="100" spans="1:27" x14ac:dyDescent="0.25">
      <c r="A100" s="1">
        <v>25</v>
      </c>
      <c r="B100" s="1">
        <v>0.3</v>
      </c>
      <c r="C100" s="1">
        <v>5</v>
      </c>
      <c r="D100" s="1">
        <f t="shared" si="13"/>
        <v>0.125</v>
      </c>
      <c r="E100" s="1">
        <v>20</v>
      </c>
      <c r="F100" s="1">
        <v>1.5</v>
      </c>
      <c r="G100" s="1">
        <v>100</v>
      </c>
      <c r="H100" s="1">
        <v>23.763803410000001</v>
      </c>
      <c r="J100" s="1">
        <f t="shared" si="14"/>
        <v>2.5000000000000001E-2</v>
      </c>
      <c r="K100" s="1">
        <f t="shared" si="15"/>
        <v>0.125</v>
      </c>
      <c r="L100" s="1">
        <f t="shared" si="16"/>
        <v>2.9999999999999997E-4</v>
      </c>
      <c r="M100" s="1">
        <f t="shared" si="17"/>
        <v>0.31023227454199215</v>
      </c>
      <c r="N100" s="1">
        <f t="shared" si="18"/>
        <v>2.7777777777777776E-2</v>
      </c>
      <c r="O100" s="1">
        <v>370</v>
      </c>
      <c r="P100" s="1">
        <v>3</v>
      </c>
      <c r="Q100" s="1">
        <v>4148</v>
      </c>
      <c r="R100" s="1">
        <f>[1]!HeatTransferArea(J100,D100,0.36,L100)</f>
        <v>0.7853981633974485</v>
      </c>
      <c r="S100" s="1">
        <f>[1]!Convection(J100,N100,1000,9*10^-4,L100,0.6,0.36,7)</f>
        <v>34185.213621900613</v>
      </c>
      <c r="U100" s="1">
        <f t="shared" si="19"/>
        <v>0.33460027315679308</v>
      </c>
      <c r="V100" s="1">
        <f t="shared" si="20"/>
        <v>2.1114864864864866E-5</v>
      </c>
      <c r="W100" s="1">
        <f t="shared" si="21"/>
        <v>8.445945945945948E-7</v>
      </c>
      <c r="X100" s="1">
        <f t="shared" si="22"/>
        <v>5</v>
      </c>
      <c r="Y100" s="1">
        <f t="shared" si="23"/>
        <v>155.93665695929118</v>
      </c>
      <c r="Z100" s="1">
        <f t="shared" si="24"/>
        <v>6.666666666666667</v>
      </c>
      <c r="AA100" s="1">
        <f t="shared" si="25"/>
        <v>4.6006027650320143E-2</v>
      </c>
    </row>
    <row r="101" spans="1:27" x14ac:dyDescent="0.25">
      <c r="A101" s="1">
        <v>25</v>
      </c>
      <c r="B101" s="1">
        <v>0.4</v>
      </c>
      <c r="C101" s="1">
        <v>3</v>
      </c>
      <c r="D101" s="1">
        <f t="shared" si="13"/>
        <v>7.4999999999999997E-2</v>
      </c>
      <c r="E101" s="1">
        <v>15</v>
      </c>
      <c r="F101" s="1">
        <v>0.5</v>
      </c>
      <c r="G101" s="1">
        <v>100</v>
      </c>
      <c r="H101" s="1">
        <v>-10.94862768</v>
      </c>
      <c r="J101" s="1">
        <f t="shared" si="14"/>
        <v>2.5000000000000001E-2</v>
      </c>
      <c r="K101" s="1">
        <f t="shared" si="15"/>
        <v>7.4999999999999997E-2</v>
      </c>
      <c r="L101" s="1">
        <f t="shared" si="16"/>
        <v>4.0000000000000002E-4</v>
      </c>
      <c r="M101" s="1">
        <f t="shared" si="17"/>
        <v>0.18613936472519524</v>
      </c>
      <c r="N101" s="1">
        <f t="shared" si="18"/>
        <v>2.7777777777777776E-2</v>
      </c>
      <c r="O101" s="1">
        <v>370</v>
      </c>
      <c r="P101" s="1">
        <v>3</v>
      </c>
      <c r="Q101" s="1">
        <v>4148</v>
      </c>
      <c r="R101" s="1">
        <f>[1]!HeatTransferArea(J101,D101,0.36,L101)</f>
        <v>0.35342917352885178</v>
      </c>
      <c r="S101" s="1">
        <f>[1]!Convection(J101,N101,1000,9*10^-4,L101,0.6,0.36,7)</f>
        <v>25884.883040575744</v>
      </c>
      <c r="U101" s="1">
        <f t="shared" si="19"/>
        <v>1.6730013657839657</v>
      </c>
      <c r="V101" s="1">
        <f t="shared" si="20"/>
        <v>2.5337837837837837E-6</v>
      </c>
      <c r="W101" s="1">
        <f t="shared" si="21"/>
        <v>2.815315315315316E-7</v>
      </c>
      <c r="X101" s="1">
        <f t="shared" si="22"/>
        <v>3</v>
      </c>
      <c r="Y101" s="1">
        <f t="shared" si="23"/>
        <v>265.66763298572437</v>
      </c>
      <c r="Z101" s="1">
        <f t="shared" si="24"/>
        <v>5</v>
      </c>
      <c r="AA101" s="1">
        <f t="shared" si="25"/>
        <v>-0.10598111318476451</v>
      </c>
    </row>
    <row r="102" spans="1:27" x14ac:dyDescent="0.25">
      <c r="A102" s="1">
        <v>25</v>
      </c>
      <c r="B102" s="1">
        <v>0.4</v>
      </c>
      <c r="C102" s="1">
        <v>3</v>
      </c>
      <c r="D102" s="1">
        <f t="shared" si="13"/>
        <v>7.4999999999999997E-2</v>
      </c>
      <c r="E102" s="1">
        <v>15</v>
      </c>
      <c r="F102" s="1">
        <v>1</v>
      </c>
      <c r="G102" s="1">
        <v>100</v>
      </c>
      <c r="H102" s="1">
        <v>35.241626959999998</v>
      </c>
      <c r="J102" s="1">
        <f t="shared" si="14"/>
        <v>2.5000000000000001E-2</v>
      </c>
      <c r="K102" s="1">
        <f t="shared" si="15"/>
        <v>7.4999999999999997E-2</v>
      </c>
      <c r="L102" s="1">
        <f t="shared" si="16"/>
        <v>4.0000000000000002E-4</v>
      </c>
      <c r="M102" s="1">
        <f t="shared" si="17"/>
        <v>0.18613936472519524</v>
      </c>
      <c r="N102" s="1">
        <f t="shared" si="18"/>
        <v>2.7777777777777776E-2</v>
      </c>
      <c r="O102" s="1">
        <v>370</v>
      </c>
      <c r="P102" s="1">
        <v>3</v>
      </c>
      <c r="Q102" s="1">
        <v>4148</v>
      </c>
      <c r="R102" s="1">
        <f>[1]!HeatTransferArea(J102,D102,0.36,L102)</f>
        <v>0.35342917352885178</v>
      </c>
      <c r="S102" s="1">
        <f>[1]!Convection(J102,N102,1000,9*10^-4,L102,0.6,0.36,7)</f>
        <v>25884.883040575744</v>
      </c>
      <c r="U102" s="1">
        <f t="shared" si="19"/>
        <v>0.83650068289198287</v>
      </c>
      <c r="V102" s="1">
        <f t="shared" si="20"/>
        <v>5.0675675675675673E-6</v>
      </c>
      <c r="W102" s="1">
        <f t="shared" si="21"/>
        <v>5.630630630630632E-7</v>
      </c>
      <c r="X102" s="1">
        <f t="shared" si="22"/>
        <v>3</v>
      </c>
      <c r="Y102" s="1">
        <f t="shared" si="23"/>
        <v>132.83381649286218</v>
      </c>
      <c r="Z102" s="1">
        <f t="shared" si="24"/>
        <v>5</v>
      </c>
      <c r="AA102" s="1">
        <f t="shared" si="25"/>
        <v>0.17056689499478023</v>
      </c>
    </row>
    <row r="103" spans="1:27" x14ac:dyDescent="0.25">
      <c r="A103" s="1">
        <v>25</v>
      </c>
      <c r="B103" s="1">
        <v>0.4</v>
      </c>
      <c r="C103" s="1">
        <v>3</v>
      </c>
      <c r="D103" s="1">
        <f t="shared" si="13"/>
        <v>7.4999999999999997E-2</v>
      </c>
      <c r="E103" s="1">
        <v>15</v>
      </c>
      <c r="F103" s="1">
        <v>1.5</v>
      </c>
      <c r="G103" s="1">
        <v>100</v>
      </c>
      <c r="H103" s="1">
        <v>37.283999880000003</v>
      </c>
      <c r="J103" s="1">
        <f t="shared" si="14"/>
        <v>2.5000000000000001E-2</v>
      </c>
      <c r="K103" s="1">
        <f t="shared" si="15"/>
        <v>7.4999999999999997E-2</v>
      </c>
      <c r="L103" s="1">
        <f t="shared" si="16"/>
        <v>4.0000000000000002E-4</v>
      </c>
      <c r="M103" s="1">
        <f t="shared" si="17"/>
        <v>0.18613936472519524</v>
      </c>
      <c r="N103" s="1">
        <f t="shared" si="18"/>
        <v>2.7777777777777776E-2</v>
      </c>
      <c r="O103" s="1">
        <v>370</v>
      </c>
      <c r="P103" s="1">
        <v>3</v>
      </c>
      <c r="Q103" s="1">
        <v>4148</v>
      </c>
      <c r="R103" s="1">
        <f>[1]!HeatTransferArea(J103,D103,0.36,L103)</f>
        <v>0.35342917352885178</v>
      </c>
      <c r="S103" s="1">
        <f>[1]!Convection(J103,N103,1000,9*10^-4,L103,0.6,0.36,7)</f>
        <v>25884.883040575744</v>
      </c>
      <c r="U103" s="1">
        <f t="shared" si="19"/>
        <v>0.55766712192798862</v>
      </c>
      <c r="V103" s="1">
        <f t="shared" si="20"/>
        <v>7.6013513513513518E-6</v>
      </c>
      <c r="W103" s="1">
        <f t="shared" si="21"/>
        <v>8.445945945945948E-7</v>
      </c>
      <c r="X103" s="1">
        <f t="shared" si="22"/>
        <v>3</v>
      </c>
      <c r="Y103" s="1">
        <f t="shared" si="23"/>
        <v>88.555877661908127</v>
      </c>
      <c r="Z103" s="1">
        <f t="shared" si="24"/>
        <v>5</v>
      </c>
      <c r="AA103" s="1">
        <f t="shared" si="25"/>
        <v>0.12030122029147391</v>
      </c>
    </row>
    <row r="104" spans="1:27" x14ac:dyDescent="0.25">
      <c r="A104" s="1">
        <v>25</v>
      </c>
      <c r="B104" s="1">
        <v>0.4</v>
      </c>
      <c r="C104" s="1">
        <v>3</v>
      </c>
      <c r="D104" s="1">
        <f t="shared" si="13"/>
        <v>7.4999999999999997E-2</v>
      </c>
      <c r="E104" s="1">
        <v>20</v>
      </c>
      <c r="F104" s="1">
        <v>0.5</v>
      </c>
      <c r="G104" s="1">
        <v>100</v>
      </c>
      <c r="H104" s="1">
        <v>-33.311079890000002</v>
      </c>
      <c r="J104" s="1">
        <f t="shared" si="14"/>
        <v>2.5000000000000001E-2</v>
      </c>
      <c r="K104" s="1">
        <f t="shared" si="15"/>
        <v>7.4999999999999997E-2</v>
      </c>
      <c r="L104" s="1">
        <f t="shared" si="16"/>
        <v>4.0000000000000002E-4</v>
      </c>
      <c r="M104" s="1">
        <f t="shared" si="17"/>
        <v>0.18613936472519524</v>
      </c>
      <c r="N104" s="1">
        <f t="shared" si="18"/>
        <v>2.7777777777777776E-2</v>
      </c>
      <c r="O104" s="1">
        <v>370</v>
      </c>
      <c r="P104" s="1">
        <v>3</v>
      </c>
      <c r="Q104" s="1">
        <v>4148</v>
      </c>
      <c r="R104" s="1">
        <f>[1]!HeatTransferArea(J104,D104,0.36,L104)</f>
        <v>0.35342917352885178</v>
      </c>
      <c r="S104" s="1">
        <f>[1]!Convection(J104,N104,1000,9*10^-4,L104,0.6,0.36,7)</f>
        <v>25884.883040575744</v>
      </c>
      <c r="U104" s="1">
        <f t="shared" si="19"/>
        <v>1.6730013657839657</v>
      </c>
      <c r="V104" s="1">
        <f t="shared" si="20"/>
        <v>2.5337837837837837E-6</v>
      </c>
      <c r="W104" s="1">
        <f t="shared" si="21"/>
        <v>2.815315315315316E-7</v>
      </c>
      <c r="X104" s="1">
        <f t="shared" si="22"/>
        <v>3</v>
      </c>
      <c r="Y104" s="1">
        <f t="shared" si="23"/>
        <v>265.66763298572437</v>
      </c>
      <c r="Z104" s="1">
        <f t="shared" si="24"/>
        <v>6.666666666666667</v>
      </c>
      <c r="AA104" s="1">
        <f t="shared" si="25"/>
        <v>-0.32244637696263534</v>
      </c>
    </row>
    <row r="105" spans="1:27" x14ac:dyDescent="0.25">
      <c r="A105" s="1">
        <v>25</v>
      </c>
      <c r="B105" s="1">
        <v>0.4</v>
      </c>
      <c r="C105" s="1">
        <v>3</v>
      </c>
      <c r="D105" s="1">
        <f t="shared" si="13"/>
        <v>7.4999999999999997E-2</v>
      </c>
      <c r="E105" s="1">
        <v>20</v>
      </c>
      <c r="F105" s="1">
        <v>1</v>
      </c>
      <c r="G105" s="1">
        <v>100</v>
      </c>
      <c r="H105" s="1">
        <v>19.854414160000001</v>
      </c>
      <c r="J105" s="1">
        <f t="shared" si="14"/>
        <v>2.5000000000000001E-2</v>
      </c>
      <c r="K105" s="1">
        <f t="shared" si="15"/>
        <v>7.4999999999999997E-2</v>
      </c>
      <c r="L105" s="1">
        <f t="shared" si="16"/>
        <v>4.0000000000000002E-4</v>
      </c>
      <c r="M105" s="1">
        <f t="shared" si="17"/>
        <v>0.18613936472519524</v>
      </c>
      <c r="N105" s="1">
        <f t="shared" si="18"/>
        <v>2.7777777777777776E-2</v>
      </c>
      <c r="O105" s="1">
        <v>370</v>
      </c>
      <c r="P105" s="1">
        <v>3</v>
      </c>
      <c r="Q105" s="1">
        <v>4148</v>
      </c>
      <c r="R105" s="1">
        <f>[1]!HeatTransferArea(J105,D105,0.36,L105)</f>
        <v>0.35342917352885178</v>
      </c>
      <c r="S105" s="1">
        <f>[1]!Convection(J105,N105,1000,9*10^-4,L105,0.6,0.36,7)</f>
        <v>25884.883040575744</v>
      </c>
      <c r="U105" s="1">
        <f t="shared" si="19"/>
        <v>0.83650068289198287</v>
      </c>
      <c r="V105" s="1">
        <f t="shared" si="20"/>
        <v>5.0675675675675673E-6</v>
      </c>
      <c r="W105" s="1">
        <f t="shared" si="21"/>
        <v>5.630630630630632E-7</v>
      </c>
      <c r="X105" s="1">
        <f t="shared" si="22"/>
        <v>3</v>
      </c>
      <c r="Y105" s="1">
        <f t="shared" si="23"/>
        <v>132.83381649286218</v>
      </c>
      <c r="Z105" s="1">
        <f t="shared" si="24"/>
        <v>6.666666666666667</v>
      </c>
      <c r="AA105" s="1">
        <f t="shared" si="25"/>
        <v>9.6093911301409402E-2</v>
      </c>
    </row>
    <row r="106" spans="1:27" x14ac:dyDescent="0.25">
      <c r="A106" s="1">
        <v>25</v>
      </c>
      <c r="B106" s="1">
        <v>0.4</v>
      </c>
      <c r="C106" s="1">
        <v>3</v>
      </c>
      <c r="D106" s="1">
        <f t="shared" si="13"/>
        <v>7.4999999999999997E-2</v>
      </c>
      <c r="E106" s="1">
        <v>20</v>
      </c>
      <c r="F106" s="1">
        <v>1.5</v>
      </c>
      <c r="G106" s="1">
        <v>100</v>
      </c>
      <c r="H106" s="1">
        <v>22.806636109999999</v>
      </c>
      <c r="J106" s="1">
        <f t="shared" si="14"/>
        <v>2.5000000000000001E-2</v>
      </c>
      <c r="K106" s="1">
        <f t="shared" si="15"/>
        <v>7.4999999999999997E-2</v>
      </c>
      <c r="L106" s="1">
        <f t="shared" si="16"/>
        <v>4.0000000000000002E-4</v>
      </c>
      <c r="M106" s="1">
        <f t="shared" si="17"/>
        <v>0.18613936472519524</v>
      </c>
      <c r="N106" s="1">
        <f t="shared" si="18"/>
        <v>2.7777777777777776E-2</v>
      </c>
      <c r="O106" s="1">
        <v>370</v>
      </c>
      <c r="P106" s="1">
        <v>3</v>
      </c>
      <c r="Q106" s="1">
        <v>4148</v>
      </c>
      <c r="R106" s="1">
        <f>[1]!HeatTransferArea(J106,D106,0.36,L106)</f>
        <v>0.35342917352885178</v>
      </c>
      <c r="S106" s="1">
        <f>[1]!Convection(J106,N106,1000,9*10^-4,L106,0.6,0.36,7)</f>
        <v>25884.883040575744</v>
      </c>
      <c r="U106" s="1">
        <f t="shared" si="19"/>
        <v>0.55766712192798862</v>
      </c>
      <c r="V106" s="1">
        <f t="shared" si="20"/>
        <v>7.6013513513513518E-6</v>
      </c>
      <c r="W106" s="1">
        <f t="shared" si="21"/>
        <v>8.445945945945948E-7</v>
      </c>
      <c r="X106" s="1">
        <f t="shared" si="22"/>
        <v>3</v>
      </c>
      <c r="Y106" s="1">
        <f t="shared" si="23"/>
        <v>88.555877661908127</v>
      </c>
      <c r="Z106" s="1">
        <f t="shared" si="24"/>
        <v>6.666666666666667</v>
      </c>
      <c r="AA106" s="1">
        <f t="shared" si="25"/>
        <v>7.3588299635425097E-2</v>
      </c>
    </row>
    <row r="107" spans="1:27" x14ac:dyDescent="0.25">
      <c r="A107" s="1">
        <v>25</v>
      </c>
      <c r="B107" s="1">
        <v>0.4</v>
      </c>
      <c r="C107" s="1">
        <v>4</v>
      </c>
      <c r="D107" s="1">
        <f t="shared" si="13"/>
        <v>0.1</v>
      </c>
      <c r="E107" s="1">
        <v>15</v>
      </c>
      <c r="F107" s="1">
        <v>0.5</v>
      </c>
      <c r="G107" s="1">
        <v>100</v>
      </c>
      <c r="H107" s="1">
        <v>27.07644801</v>
      </c>
      <c r="J107" s="1">
        <f t="shared" si="14"/>
        <v>2.5000000000000001E-2</v>
      </c>
      <c r="K107" s="1">
        <f t="shared" si="15"/>
        <v>0.1</v>
      </c>
      <c r="L107" s="1">
        <f t="shared" si="16"/>
        <v>4.0000000000000002E-4</v>
      </c>
      <c r="M107" s="1">
        <f t="shared" si="17"/>
        <v>0.24818581963359368</v>
      </c>
      <c r="N107" s="1">
        <f t="shared" si="18"/>
        <v>2.7777777777777776E-2</v>
      </c>
      <c r="O107" s="1">
        <v>370</v>
      </c>
      <c r="P107" s="1">
        <v>3</v>
      </c>
      <c r="Q107" s="1">
        <v>4148</v>
      </c>
      <c r="R107" s="1">
        <f>[1]!HeatTransferArea(J107,D107,0.36,L107)</f>
        <v>0.47123889803846908</v>
      </c>
      <c r="S107" s="1">
        <f>[1]!Convection(J107,N107,1000,9*10^-4,L107,0.6,0.36,7)</f>
        <v>25884.883040575744</v>
      </c>
      <c r="U107" s="1">
        <f t="shared" si="19"/>
        <v>1.2547510243379743</v>
      </c>
      <c r="V107" s="1">
        <f t="shared" si="20"/>
        <v>4.5045045045045056E-6</v>
      </c>
      <c r="W107" s="1">
        <f t="shared" si="21"/>
        <v>2.815315315315316E-7</v>
      </c>
      <c r="X107" s="1">
        <f t="shared" si="22"/>
        <v>4</v>
      </c>
      <c r="Y107" s="1">
        <f t="shared" si="23"/>
        <v>265.66763298572437</v>
      </c>
      <c r="Z107" s="1">
        <f t="shared" si="24"/>
        <v>5</v>
      </c>
      <c r="AA107" s="1">
        <f t="shared" si="25"/>
        <v>0.19657203978388471</v>
      </c>
    </row>
    <row r="108" spans="1:27" x14ac:dyDescent="0.25">
      <c r="A108" s="1">
        <v>25</v>
      </c>
      <c r="B108" s="1">
        <v>0.4</v>
      </c>
      <c r="C108" s="1">
        <v>4</v>
      </c>
      <c r="D108" s="1">
        <f t="shared" si="13"/>
        <v>0.1</v>
      </c>
      <c r="E108" s="1">
        <v>15</v>
      </c>
      <c r="F108" s="1">
        <v>1</v>
      </c>
      <c r="G108" s="1">
        <v>100</v>
      </c>
      <c r="H108" s="1">
        <v>36.897140559999997</v>
      </c>
      <c r="J108" s="1">
        <f t="shared" si="14"/>
        <v>2.5000000000000001E-2</v>
      </c>
      <c r="K108" s="1">
        <f t="shared" si="15"/>
        <v>0.1</v>
      </c>
      <c r="L108" s="1">
        <f t="shared" si="16"/>
        <v>4.0000000000000002E-4</v>
      </c>
      <c r="M108" s="1">
        <f t="shared" si="17"/>
        <v>0.24818581963359368</v>
      </c>
      <c r="N108" s="1">
        <f t="shared" si="18"/>
        <v>2.7777777777777776E-2</v>
      </c>
      <c r="O108" s="1">
        <v>370</v>
      </c>
      <c r="P108" s="1">
        <v>3</v>
      </c>
      <c r="Q108" s="1">
        <v>4148</v>
      </c>
      <c r="R108" s="1">
        <f>[1]!HeatTransferArea(J108,D108,0.36,L108)</f>
        <v>0.47123889803846908</v>
      </c>
      <c r="S108" s="1">
        <f>[1]!Convection(J108,N108,1000,9*10^-4,L108,0.6,0.36,7)</f>
        <v>25884.883040575744</v>
      </c>
      <c r="U108" s="1">
        <f t="shared" si="19"/>
        <v>0.62737551216898713</v>
      </c>
      <c r="V108" s="1">
        <f t="shared" si="20"/>
        <v>9.0090090090090112E-6</v>
      </c>
      <c r="W108" s="1">
        <f t="shared" si="21"/>
        <v>5.630630630630632E-7</v>
      </c>
      <c r="X108" s="1">
        <f t="shared" si="22"/>
        <v>4</v>
      </c>
      <c r="Y108" s="1">
        <f t="shared" si="23"/>
        <v>132.83381649286218</v>
      </c>
      <c r="Z108" s="1">
        <f t="shared" si="24"/>
        <v>5</v>
      </c>
      <c r="AA108" s="1">
        <f t="shared" si="25"/>
        <v>0.13393459473327546</v>
      </c>
    </row>
    <row r="109" spans="1:27" x14ac:dyDescent="0.25">
      <c r="A109" s="1">
        <v>25</v>
      </c>
      <c r="B109" s="1">
        <v>0.4</v>
      </c>
      <c r="C109" s="1">
        <v>4</v>
      </c>
      <c r="D109" s="1">
        <f t="shared" si="13"/>
        <v>0.1</v>
      </c>
      <c r="E109" s="1">
        <v>15</v>
      </c>
      <c r="F109" s="1">
        <v>1.5</v>
      </c>
      <c r="G109" s="1">
        <v>100</v>
      </c>
      <c r="H109" s="1">
        <v>37.503170840000003</v>
      </c>
      <c r="J109" s="1">
        <f t="shared" si="14"/>
        <v>2.5000000000000001E-2</v>
      </c>
      <c r="K109" s="1">
        <f t="shared" si="15"/>
        <v>0.1</v>
      </c>
      <c r="L109" s="1">
        <f t="shared" si="16"/>
        <v>4.0000000000000002E-4</v>
      </c>
      <c r="M109" s="1">
        <f t="shared" si="17"/>
        <v>0.24818581963359368</v>
      </c>
      <c r="N109" s="1">
        <f t="shared" si="18"/>
        <v>2.7777777777777776E-2</v>
      </c>
      <c r="O109" s="1">
        <v>370</v>
      </c>
      <c r="P109" s="1">
        <v>3</v>
      </c>
      <c r="Q109" s="1">
        <v>4148</v>
      </c>
      <c r="R109" s="1">
        <f>[1]!HeatTransferArea(J109,D109,0.36,L109)</f>
        <v>0.47123889803846908</v>
      </c>
      <c r="S109" s="1">
        <f>[1]!Convection(J109,N109,1000,9*10^-4,L109,0.6,0.36,7)</f>
        <v>25884.883040575744</v>
      </c>
      <c r="U109" s="1">
        <f t="shared" si="19"/>
        <v>0.41825034144599144</v>
      </c>
      <c r="V109" s="1">
        <f t="shared" si="20"/>
        <v>1.3513513513513517E-5</v>
      </c>
      <c r="W109" s="1">
        <f t="shared" si="21"/>
        <v>8.445945945945948E-7</v>
      </c>
      <c r="X109" s="1">
        <f t="shared" si="22"/>
        <v>4</v>
      </c>
      <c r="Y109" s="1">
        <f t="shared" si="23"/>
        <v>88.555877661908141</v>
      </c>
      <c r="Z109" s="1">
        <f t="shared" si="24"/>
        <v>5</v>
      </c>
      <c r="AA109" s="1">
        <f t="shared" si="25"/>
        <v>9.0756300920756136E-2</v>
      </c>
    </row>
    <row r="110" spans="1:27" x14ac:dyDescent="0.25">
      <c r="A110" s="1">
        <v>25</v>
      </c>
      <c r="B110" s="1">
        <v>0.4</v>
      </c>
      <c r="C110" s="1">
        <v>4</v>
      </c>
      <c r="D110" s="1">
        <f t="shared" si="13"/>
        <v>0.1</v>
      </c>
      <c r="E110" s="1">
        <v>20</v>
      </c>
      <c r="F110" s="1">
        <v>0.5</v>
      </c>
      <c r="G110" s="1">
        <v>100</v>
      </c>
      <c r="H110" s="1">
        <v>9.9523315700000001</v>
      </c>
      <c r="J110" s="1">
        <f t="shared" si="14"/>
        <v>2.5000000000000001E-2</v>
      </c>
      <c r="K110" s="1">
        <f t="shared" si="15"/>
        <v>0.1</v>
      </c>
      <c r="L110" s="1">
        <f t="shared" si="16"/>
        <v>4.0000000000000002E-4</v>
      </c>
      <c r="M110" s="1">
        <f t="shared" si="17"/>
        <v>0.24818581963359368</v>
      </c>
      <c r="N110" s="1">
        <f t="shared" si="18"/>
        <v>2.7777777777777776E-2</v>
      </c>
      <c r="O110" s="1">
        <v>370</v>
      </c>
      <c r="P110" s="1">
        <v>3</v>
      </c>
      <c r="Q110" s="1">
        <v>4148</v>
      </c>
      <c r="R110" s="1">
        <f>[1]!HeatTransferArea(J110,D110,0.36,L110)</f>
        <v>0.47123889803846908</v>
      </c>
      <c r="S110" s="1">
        <f>[1]!Convection(J110,N110,1000,9*10^-4,L110,0.6,0.36,7)</f>
        <v>25884.883040575744</v>
      </c>
      <c r="U110" s="1">
        <f t="shared" si="19"/>
        <v>1.2547510243379743</v>
      </c>
      <c r="V110" s="1">
        <f t="shared" si="20"/>
        <v>4.5045045045045056E-6</v>
      </c>
      <c r="W110" s="1">
        <f t="shared" si="21"/>
        <v>2.815315315315316E-7</v>
      </c>
      <c r="X110" s="1">
        <f t="shared" si="22"/>
        <v>4</v>
      </c>
      <c r="Y110" s="1">
        <f t="shared" si="23"/>
        <v>265.66763298572437</v>
      </c>
      <c r="Z110" s="1">
        <f t="shared" si="24"/>
        <v>6.666666666666667</v>
      </c>
      <c r="AA110" s="1">
        <f t="shared" si="25"/>
        <v>7.2252834514997075E-2</v>
      </c>
    </row>
    <row r="111" spans="1:27" x14ac:dyDescent="0.25">
      <c r="A111" s="1">
        <v>25</v>
      </c>
      <c r="B111" s="1">
        <v>0.4</v>
      </c>
      <c r="C111" s="1">
        <v>4</v>
      </c>
      <c r="D111" s="1">
        <f t="shared" si="13"/>
        <v>0.1</v>
      </c>
      <c r="E111" s="1">
        <v>20</v>
      </c>
      <c r="F111" s="1">
        <v>1</v>
      </c>
      <c r="G111" s="1">
        <v>100</v>
      </c>
      <c r="H111" s="1">
        <v>22.52406053</v>
      </c>
      <c r="J111" s="1">
        <f t="shared" si="14"/>
        <v>2.5000000000000001E-2</v>
      </c>
      <c r="K111" s="1">
        <f t="shared" si="15"/>
        <v>0.1</v>
      </c>
      <c r="L111" s="1">
        <f t="shared" si="16"/>
        <v>4.0000000000000002E-4</v>
      </c>
      <c r="M111" s="1">
        <f t="shared" si="17"/>
        <v>0.24818581963359368</v>
      </c>
      <c r="N111" s="1">
        <f t="shared" si="18"/>
        <v>2.7777777777777776E-2</v>
      </c>
      <c r="O111" s="1">
        <v>370</v>
      </c>
      <c r="P111" s="1">
        <v>3</v>
      </c>
      <c r="Q111" s="1">
        <v>4148</v>
      </c>
      <c r="R111" s="1">
        <f>[1]!HeatTransferArea(J111,D111,0.36,L111)</f>
        <v>0.47123889803846908</v>
      </c>
      <c r="S111" s="1">
        <f>[1]!Convection(J111,N111,1000,9*10^-4,L111,0.6,0.36,7)</f>
        <v>25884.883040575744</v>
      </c>
      <c r="U111" s="1">
        <f t="shared" si="19"/>
        <v>0.62737551216898713</v>
      </c>
      <c r="V111" s="1">
        <f t="shared" si="20"/>
        <v>9.0090090090090112E-6</v>
      </c>
      <c r="W111" s="1">
        <f t="shared" si="21"/>
        <v>5.630630630630632E-7</v>
      </c>
      <c r="X111" s="1">
        <f t="shared" si="22"/>
        <v>4</v>
      </c>
      <c r="Y111" s="1">
        <f t="shared" si="23"/>
        <v>132.83381649286218</v>
      </c>
      <c r="Z111" s="1">
        <f t="shared" si="24"/>
        <v>6.666666666666667</v>
      </c>
      <c r="AA111" s="1">
        <f t="shared" si="25"/>
        <v>8.1761103246677055E-2</v>
      </c>
    </row>
    <row r="112" spans="1:27" x14ac:dyDescent="0.25">
      <c r="A112" s="1">
        <v>25</v>
      </c>
      <c r="B112" s="1">
        <v>0.4</v>
      </c>
      <c r="C112" s="1">
        <v>4</v>
      </c>
      <c r="D112" s="1">
        <f t="shared" si="13"/>
        <v>0.1</v>
      </c>
      <c r="E112" s="1">
        <v>20</v>
      </c>
      <c r="F112" s="1">
        <v>1.5</v>
      </c>
      <c r="G112" s="1">
        <v>100</v>
      </c>
      <c r="H112" s="1">
        <v>23.680161999999999</v>
      </c>
      <c r="J112" s="1">
        <f t="shared" si="14"/>
        <v>2.5000000000000001E-2</v>
      </c>
      <c r="K112" s="1">
        <f t="shared" si="15"/>
        <v>0.1</v>
      </c>
      <c r="L112" s="1">
        <f t="shared" si="16"/>
        <v>4.0000000000000002E-4</v>
      </c>
      <c r="M112" s="1">
        <f t="shared" si="17"/>
        <v>0.24818581963359368</v>
      </c>
      <c r="N112" s="1">
        <f t="shared" si="18"/>
        <v>2.7777777777777776E-2</v>
      </c>
      <c r="O112" s="1">
        <v>370</v>
      </c>
      <c r="P112" s="1">
        <v>3</v>
      </c>
      <c r="Q112" s="1">
        <v>4148</v>
      </c>
      <c r="R112" s="1">
        <f>[1]!HeatTransferArea(J112,D112,0.36,L112)</f>
        <v>0.47123889803846908</v>
      </c>
      <c r="S112" s="1">
        <f>[1]!Convection(J112,N112,1000,9*10^-4,L112,0.6,0.36,7)</f>
        <v>25884.883040575744</v>
      </c>
      <c r="U112" s="1">
        <f t="shared" si="19"/>
        <v>0.41825034144599144</v>
      </c>
      <c r="V112" s="1">
        <f t="shared" si="20"/>
        <v>1.3513513513513517E-5</v>
      </c>
      <c r="W112" s="1">
        <f t="shared" si="21"/>
        <v>8.445945945945948E-7</v>
      </c>
      <c r="X112" s="1">
        <f t="shared" si="22"/>
        <v>4</v>
      </c>
      <c r="Y112" s="1">
        <f t="shared" si="23"/>
        <v>88.555877661908141</v>
      </c>
      <c r="Z112" s="1">
        <f t="shared" si="24"/>
        <v>6.666666666666667</v>
      </c>
      <c r="AA112" s="1">
        <f t="shared" si="25"/>
        <v>5.7305125411743832E-2</v>
      </c>
    </row>
    <row r="113" spans="1:27" x14ac:dyDescent="0.25">
      <c r="A113" s="1">
        <v>25</v>
      </c>
      <c r="B113" s="1">
        <v>0.4</v>
      </c>
      <c r="C113" s="1">
        <v>5</v>
      </c>
      <c r="D113" s="1">
        <f t="shared" si="13"/>
        <v>0.125</v>
      </c>
      <c r="E113" s="1">
        <v>15</v>
      </c>
      <c r="F113" s="1">
        <v>0.5</v>
      </c>
      <c r="G113" s="1">
        <v>100</v>
      </c>
      <c r="H113" s="1">
        <v>33.63646018</v>
      </c>
      <c r="J113" s="1">
        <f t="shared" si="14"/>
        <v>2.5000000000000001E-2</v>
      </c>
      <c r="K113" s="1">
        <f t="shared" si="15"/>
        <v>0.125</v>
      </c>
      <c r="L113" s="1">
        <f t="shared" si="16"/>
        <v>4.0000000000000002E-4</v>
      </c>
      <c r="M113" s="1">
        <f t="shared" si="17"/>
        <v>0.31023227454199215</v>
      </c>
      <c r="N113" s="1">
        <f t="shared" si="18"/>
        <v>2.7777777777777776E-2</v>
      </c>
      <c r="O113" s="1">
        <v>370</v>
      </c>
      <c r="P113" s="1">
        <v>3</v>
      </c>
      <c r="Q113" s="1">
        <v>4148</v>
      </c>
      <c r="R113" s="1">
        <f>[1]!HeatTransferArea(J113,D113,0.36,L113)</f>
        <v>0.58904862254808632</v>
      </c>
      <c r="S113" s="1">
        <f>[1]!Convection(J113,N113,1000,9*10^-4,L113,0.6,0.36,7)</f>
        <v>25884.883040575744</v>
      </c>
      <c r="U113" s="1">
        <f t="shared" si="19"/>
        <v>1.0038008194703791</v>
      </c>
      <c r="V113" s="1">
        <f t="shared" si="20"/>
        <v>7.0382882882882884E-6</v>
      </c>
      <c r="W113" s="1">
        <f t="shared" si="21"/>
        <v>2.815315315315316E-7</v>
      </c>
      <c r="X113" s="1">
        <f t="shared" si="22"/>
        <v>5</v>
      </c>
      <c r="Y113" s="1">
        <f t="shared" si="23"/>
        <v>265.66763298572431</v>
      </c>
      <c r="Z113" s="1">
        <f t="shared" si="24"/>
        <v>5</v>
      </c>
      <c r="AA113" s="1">
        <f t="shared" si="25"/>
        <v>0.19535760632266219</v>
      </c>
    </row>
    <row r="114" spans="1:27" x14ac:dyDescent="0.25">
      <c r="A114" s="1">
        <v>25</v>
      </c>
      <c r="B114" s="1">
        <v>0.4</v>
      </c>
      <c r="C114" s="1">
        <v>5</v>
      </c>
      <c r="D114" s="1">
        <f t="shared" si="13"/>
        <v>0.125</v>
      </c>
      <c r="E114" s="1">
        <v>15</v>
      </c>
      <c r="F114" s="1">
        <v>1</v>
      </c>
      <c r="G114" s="1">
        <v>100</v>
      </c>
      <c r="H114" s="1">
        <v>37.077374239999997</v>
      </c>
      <c r="J114" s="1">
        <f t="shared" si="14"/>
        <v>2.5000000000000001E-2</v>
      </c>
      <c r="K114" s="1">
        <f t="shared" si="15"/>
        <v>0.125</v>
      </c>
      <c r="L114" s="1">
        <f t="shared" si="16"/>
        <v>4.0000000000000002E-4</v>
      </c>
      <c r="M114" s="1">
        <f t="shared" si="17"/>
        <v>0.31023227454199215</v>
      </c>
      <c r="N114" s="1">
        <f t="shared" si="18"/>
        <v>2.7777777777777776E-2</v>
      </c>
      <c r="O114" s="1">
        <v>370</v>
      </c>
      <c r="P114" s="1">
        <v>3</v>
      </c>
      <c r="Q114" s="1">
        <v>4148</v>
      </c>
      <c r="R114" s="1">
        <f>[1]!HeatTransferArea(J114,D114,0.36,L114)</f>
        <v>0.58904862254808632</v>
      </c>
      <c r="S114" s="1">
        <f>[1]!Convection(J114,N114,1000,9*10^-4,L114,0.6,0.36,7)</f>
        <v>25884.883040575744</v>
      </c>
      <c r="U114" s="1">
        <f t="shared" si="19"/>
        <v>0.50190040973518957</v>
      </c>
      <c r="V114" s="1">
        <f t="shared" si="20"/>
        <v>1.4076576576576577E-5</v>
      </c>
      <c r="W114" s="1">
        <f t="shared" si="21"/>
        <v>5.630630630630632E-7</v>
      </c>
      <c r="X114" s="1">
        <f t="shared" si="22"/>
        <v>5</v>
      </c>
      <c r="Y114" s="1">
        <f t="shared" si="23"/>
        <v>132.83381649286216</v>
      </c>
      <c r="Z114" s="1">
        <f t="shared" si="24"/>
        <v>5</v>
      </c>
      <c r="AA114" s="1">
        <f t="shared" si="25"/>
        <v>0.10767106647807693</v>
      </c>
    </row>
    <row r="115" spans="1:27" x14ac:dyDescent="0.25">
      <c r="A115" s="1">
        <v>25</v>
      </c>
      <c r="B115" s="1">
        <v>0.4</v>
      </c>
      <c r="C115" s="1">
        <v>5</v>
      </c>
      <c r="D115" s="1">
        <f t="shared" si="13"/>
        <v>0.125</v>
      </c>
      <c r="E115" s="1">
        <v>15</v>
      </c>
      <c r="F115" s="1">
        <v>1.5</v>
      </c>
      <c r="G115" s="1">
        <v>100</v>
      </c>
      <c r="H115" s="1">
        <v>37.314712550000003</v>
      </c>
      <c r="J115" s="1">
        <f t="shared" si="14"/>
        <v>2.5000000000000001E-2</v>
      </c>
      <c r="K115" s="1">
        <f t="shared" si="15"/>
        <v>0.125</v>
      </c>
      <c r="L115" s="1">
        <f t="shared" si="16"/>
        <v>4.0000000000000002E-4</v>
      </c>
      <c r="M115" s="1">
        <f t="shared" si="17"/>
        <v>0.31023227454199215</v>
      </c>
      <c r="N115" s="1">
        <f t="shared" si="18"/>
        <v>2.7777777777777776E-2</v>
      </c>
      <c r="O115" s="1">
        <v>370</v>
      </c>
      <c r="P115" s="1">
        <v>3</v>
      </c>
      <c r="Q115" s="1">
        <v>4148</v>
      </c>
      <c r="R115" s="1">
        <f>[1]!HeatTransferArea(J115,D115,0.36,L115)</f>
        <v>0.58904862254808632</v>
      </c>
      <c r="S115" s="1">
        <f>[1]!Convection(J115,N115,1000,9*10^-4,L115,0.6,0.36,7)</f>
        <v>25884.883040575744</v>
      </c>
      <c r="U115" s="1">
        <f t="shared" si="19"/>
        <v>0.33460027315679308</v>
      </c>
      <c r="V115" s="1">
        <f t="shared" si="20"/>
        <v>2.1114864864864866E-5</v>
      </c>
      <c r="W115" s="1">
        <f t="shared" si="21"/>
        <v>8.445945945945948E-7</v>
      </c>
      <c r="X115" s="1">
        <f t="shared" si="22"/>
        <v>5</v>
      </c>
      <c r="Y115" s="1">
        <f t="shared" si="23"/>
        <v>88.555877661908113</v>
      </c>
      <c r="Z115" s="1">
        <f t="shared" si="24"/>
        <v>5</v>
      </c>
      <c r="AA115" s="1">
        <f t="shared" si="25"/>
        <v>7.2240191004805485E-2</v>
      </c>
    </row>
    <row r="116" spans="1:27" x14ac:dyDescent="0.25">
      <c r="A116" s="1">
        <v>25</v>
      </c>
      <c r="B116" s="1">
        <v>0.4</v>
      </c>
      <c r="C116" s="1">
        <v>5</v>
      </c>
      <c r="D116" s="1">
        <f t="shared" si="13"/>
        <v>0.125</v>
      </c>
      <c r="E116" s="1">
        <v>20</v>
      </c>
      <c r="F116" s="1">
        <v>0.5</v>
      </c>
      <c r="G116" s="1">
        <v>100</v>
      </c>
      <c r="H116" s="1">
        <v>18.244858199999999</v>
      </c>
      <c r="J116" s="1">
        <f t="shared" si="14"/>
        <v>2.5000000000000001E-2</v>
      </c>
      <c r="K116" s="1">
        <f t="shared" si="15"/>
        <v>0.125</v>
      </c>
      <c r="L116" s="1">
        <f t="shared" si="16"/>
        <v>4.0000000000000002E-4</v>
      </c>
      <c r="M116" s="1">
        <f t="shared" si="17"/>
        <v>0.31023227454199215</v>
      </c>
      <c r="N116" s="1">
        <f t="shared" si="18"/>
        <v>2.7777777777777776E-2</v>
      </c>
      <c r="O116" s="1">
        <v>370</v>
      </c>
      <c r="P116" s="1">
        <v>3</v>
      </c>
      <c r="Q116" s="1">
        <v>4148</v>
      </c>
      <c r="R116" s="1">
        <f>[1]!HeatTransferArea(J116,D116,0.36,L116)</f>
        <v>0.58904862254808632</v>
      </c>
      <c r="S116" s="1">
        <f>[1]!Convection(J116,N116,1000,9*10^-4,L116,0.6,0.36,7)</f>
        <v>25884.883040575744</v>
      </c>
      <c r="U116" s="1">
        <f t="shared" si="19"/>
        <v>1.0038008194703791</v>
      </c>
      <c r="V116" s="1">
        <f t="shared" si="20"/>
        <v>7.0382882882882884E-6</v>
      </c>
      <c r="W116" s="1">
        <f t="shared" si="21"/>
        <v>2.815315315315316E-7</v>
      </c>
      <c r="X116" s="1">
        <f t="shared" si="22"/>
        <v>5</v>
      </c>
      <c r="Y116" s="1">
        <f t="shared" si="23"/>
        <v>265.66763298572431</v>
      </c>
      <c r="Z116" s="1">
        <f t="shared" si="24"/>
        <v>6.666666666666667</v>
      </c>
      <c r="AA116" s="1">
        <f t="shared" si="25"/>
        <v>0.10596453391869355</v>
      </c>
    </row>
    <row r="117" spans="1:27" x14ac:dyDescent="0.25">
      <c r="A117" s="1">
        <v>25</v>
      </c>
      <c r="B117" s="1">
        <v>0.4</v>
      </c>
      <c r="C117" s="1">
        <v>5</v>
      </c>
      <c r="D117" s="1">
        <f t="shared" si="13"/>
        <v>0.125</v>
      </c>
      <c r="E117" s="1">
        <v>20</v>
      </c>
      <c r="F117" s="1">
        <v>1</v>
      </c>
      <c r="G117" s="1">
        <v>100</v>
      </c>
      <c r="H117" s="1">
        <v>23.20346932</v>
      </c>
      <c r="J117" s="1">
        <f t="shared" si="14"/>
        <v>2.5000000000000001E-2</v>
      </c>
      <c r="K117" s="1">
        <f t="shared" si="15"/>
        <v>0.125</v>
      </c>
      <c r="L117" s="1">
        <f t="shared" si="16"/>
        <v>4.0000000000000002E-4</v>
      </c>
      <c r="M117" s="1">
        <f t="shared" si="17"/>
        <v>0.31023227454199215</v>
      </c>
      <c r="N117" s="1">
        <f t="shared" si="18"/>
        <v>2.7777777777777776E-2</v>
      </c>
      <c r="O117" s="1">
        <v>370</v>
      </c>
      <c r="P117" s="1">
        <v>3</v>
      </c>
      <c r="Q117" s="1">
        <v>4148</v>
      </c>
      <c r="R117" s="1">
        <f>[1]!HeatTransferArea(J117,D117,0.36,L117)</f>
        <v>0.58904862254808632</v>
      </c>
      <c r="S117" s="1">
        <f>[1]!Convection(J117,N117,1000,9*10^-4,L117,0.6,0.36,7)</f>
        <v>25884.883040575744</v>
      </c>
      <c r="U117" s="1">
        <f t="shared" si="19"/>
        <v>0.50190040973518957</v>
      </c>
      <c r="V117" s="1">
        <f t="shared" si="20"/>
        <v>1.4076576576576577E-5</v>
      </c>
      <c r="W117" s="1">
        <f t="shared" si="21"/>
        <v>5.630630630630632E-7</v>
      </c>
      <c r="X117" s="1">
        <f t="shared" si="22"/>
        <v>5</v>
      </c>
      <c r="Y117" s="1">
        <f t="shared" si="23"/>
        <v>132.83381649286216</v>
      </c>
      <c r="Z117" s="1">
        <f t="shared" si="24"/>
        <v>6.666666666666667</v>
      </c>
      <c r="AA117" s="1">
        <f t="shared" si="25"/>
        <v>6.7381855886128647E-2</v>
      </c>
    </row>
    <row r="118" spans="1:27" x14ac:dyDescent="0.25">
      <c r="A118" s="1">
        <v>25</v>
      </c>
      <c r="B118" s="1">
        <v>0.4</v>
      </c>
      <c r="C118" s="1">
        <v>5</v>
      </c>
      <c r="D118" s="1">
        <f t="shared" si="13"/>
        <v>0.125</v>
      </c>
      <c r="E118" s="1">
        <v>20</v>
      </c>
      <c r="F118" s="1">
        <v>1.5</v>
      </c>
      <c r="G118" s="1">
        <v>100</v>
      </c>
      <c r="H118" s="1">
        <v>23.806382500000002</v>
      </c>
      <c r="J118" s="1">
        <f t="shared" si="14"/>
        <v>2.5000000000000001E-2</v>
      </c>
      <c r="K118" s="1">
        <f t="shared" si="15"/>
        <v>0.125</v>
      </c>
      <c r="L118" s="1">
        <f t="shared" si="16"/>
        <v>4.0000000000000002E-4</v>
      </c>
      <c r="M118" s="1">
        <f t="shared" si="17"/>
        <v>0.31023227454199215</v>
      </c>
      <c r="N118" s="1">
        <f t="shared" si="18"/>
        <v>2.7777777777777776E-2</v>
      </c>
      <c r="O118" s="1">
        <v>370</v>
      </c>
      <c r="P118" s="1">
        <v>3</v>
      </c>
      <c r="Q118" s="1">
        <v>4148</v>
      </c>
      <c r="R118" s="1">
        <f>[1]!HeatTransferArea(J118,D118,0.36,L118)</f>
        <v>0.58904862254808632</v>
      </c>
      <c r="S118" s="1">
        <f>[1]!Convection(J118,N118,1000,9*10^-4,L118,0.6,0.36,7)</f>
        <v>25884.883040575744</v>
      </c>
      <c r="U118" s="1">
        <f t="shared" si="19"/>
        <v>0.33460027315679308</v>
      </c>
      <c r="V118" s="1">
        <f t="shared" si="20"/>
        <v>2.1114864864864866E-5</v>
      </c>
      <c r="W118" s="1">
        <f t="shared" si="21"/>
        <v>8.445945945945948E-7</v>
      </c>
      <c r="X118" s="1">
        <f t="shared" si="22"/>
        <v>5</v>
      </c>
      <c r="Y118" s="1">
        <f t="shared" si="23"/>
        <v>88.555877661908113</v>
      </c>
      <c r="Z118" s="1">
        <f t="shared" si="24"/>
        <v>6.666666666666667</v>
      </c>
      <c r="AA118" s="1">
        <f t="shared" si="25"/>
        <v>4.6088459521938858E-2</v>
      </c>
    </row>
    <row r="119" spans="1:27" x14ac:dyDescent="0.25">
      <c r="A119" s="1">
        <v>25</v>
      </c>
      <c r="B119" s="1">
        <v>0.5</v>
      </c>
      <c r="C119" s="1">
        <v>3</v>
      </c>
      <c r="D119" s="1">
        <f t="shared" si="13"/>
        <v>7.4999999999999997E-2</v>
      </c>
      <c r="E119" s="1">
        <v>15</v>
      </c>
      <c r="F119" s="1">
        <v>0.5</v>
      </c>
      <c r="G119" s="1">
        <v>100</v>
      </c>
      <c r="H119" s="1">
        <v>-15.13942724</v>
      </c>
      <c r="J119" s="1">
        <f t="shared" si="14"/>
        <v>2.5000000000000001E-2</v>
      </c>
      <c r="K119" s="1">
        <f t="shared" si="15"/>
        <v>7.4999999999999997E-2</v>
      </c>
      <c r="L119" s="1">
        <f t="shared" si="16"/>
        <v>5.0000000000000001E-4</v>
      </c>
      <c r="M119" s="1">
        <f t="shared" si="17"/>
        <v>0.18613936472519524</v>
      </c>
      <c r="N119" s="1">
        <f t="shared" si="18"/>
        <v>2.7777777777777776E-2</v>
      </c>
      <c r="O119" s="1">
        <v>370</v>
      </c>
      <c r="P119" s="1">
        <v>3</v>
      </c>
      <c r="Q119" s="1">
        <v>4148</v>
      </c>
      <c r="R119" s="1">
        <f>[1]!HeatTransferArea(J119,D119,0.36,L119)</f>
        <v>0.28274333882308145</v>
      </c>
      <c r="S119" s="1">
        <f>[1]!Convection(J119,N119,1000,9*10^-4,L119,0.6,0.36,7)</f>
        <v>20885.729705543305</v>
      </c>
      <c r="U119" s="1">
        <f t="shared" si="19"/>
        <v>1.6730013657839657</v>
      </c>
      <c r="V119" s="1">
        <f t="shared" si="20"/>
        <v>2.5337837837837837E-6</v>
      </c>
      <c r="W119" s="1">
        <f t="shared" si="21"/>
        <v>2.815315315315316E-7</v>
      </c>
      <c r="X119" s="1">
        <f t="shared" si="22"/>
        <v>3</v>
      </c>
      <c r="Y119" s="1">
        <f t="shared" si="23"/>
        <v>171.48734619672919</v>
      </c>
      <c r="Z119" s="1">
        <f t="shared" si="24"/>
        <v>5</v>
      </c>
      <c r="AA119" s="1">
        <f t="shared" si="25"/>
        <v>-0.14654743943899889</v>
      </c>
    </row>
    <row r="120" spans="1:27" x14ac:dyDescent="0.25">
      <c r="A120" s="1">
        <v>25</v>
      </c>
      <c r="B120" s="1">
        <v>0.5</v>
      </c>
      <c r="C120" s="1">
        <v>3</v>
      </c>
      <c r="D120" s="1">
        <f t="shared" si="13"/>
        <v>7.4999999999999997E-2</v>
      </c>
      <c r="E120" s="1">
        <v>15</v>
      </c>
      <c r="F120" s="1">
        <v>1</v>
      </c>
      <c r="G120" s="1">
        <v>100</v>
      </c>
      <c r="H120" s="1">
        <v>33.232518220000003</v>
      </c>
      <c r="J120" s="1">
        <f t="shared" si="14"/>
        <v>2.5000000000000001E-2</v>
      </c>
      <c r="K120" s="1">
        <f t="shared" si="15"/>
        <v>7.4999999999999997E-2</v>
      </c>
      <c r="L120" s="1">
        <f t="shared" si="16"/>
        <v>5.0000000000000001E-4</v>
      </c>
      <c r="M120" s="1">
        <f t="shared" si="17"/>
        <v>0.18613936472519524</v>
      </c>
      <c r="N120" s="1">
        <f t="shared" si="18"/>
        <v>2.7777777777777776E-2</v>
      </c>
      <c r="O120" s="1">
        <v>370</v>
      </c>
      <c r="P120" s="1">
        <v>3</v>
      </c>
      <c r="Q120" s="1">
        <v>4148</v>
      </c>
      <c r="R120" s="1">
        <f>[1]!HeatTransferArea(J120,D120,0.36,L120)</f>
        <v>0.28274333882308145</v>
      </c>
      <c r="S120" s="1">
        <f>[1]!Convection(J120,N120,1000,9*10^-4,L120,0.6,0.36,7)</f>
        <v>20885.729705543305</v>
      </c>
      <c r="U120" s="1">
        <f t="shared" si="19"/>
        <v>0.83650068289198287</v>
      </c>
      <c r="V120" s="1">
        <f t="shared" si="20"/>
        <v>5.0675675675675673E-6</v>
      </c>
      <c r="W120" s="1">
        <f t="shared" si="21"/>
        <v>5.630630630630632E-7</v>
      </c>
      <c r="X120" s="1">
        <f t="shared" si="22"/>
        <v>3</v>
      </c>
      <c r="Y120" s="1">
        <f t="shared" si="23"/>
        <v>85.743673098364596</v>
      </c>
      <c r="Z120" s="1">
        <f t="shared" si="24"/>
        <v>5</v>
      </c>
      <c r="AA120" s="1">
        <f t="shared" si="25"/>
        <v>0.16084295574879615</v>
      </c>
    </row>
    <row r="121" spans="1:27" x14ac:dyDescent="0.25">
      <c r="A121" s="1">
        <v>25</v>
      </c>
      <c r="B121" s="1">
        <v>0.5</v>
      </c>
      <c r="C121" s="1">
        <v>3</v>
      </c>
      <c r="D121" s="1">
        <f t="shared" si="13"/>
        <v>7.4999999999999997E-2</v>
      </c>
      <c r="E121" s="1">
        <v>15</v>
      </c>
      <c r="F121" s="1">
        <v>1.5</v>
      </c>
      <c r="G121" s="1">
        <v>100</v>
      </c>
      <c r="H121" s="1">
        <v>35.951470180000001</v>
      </c>
      <c r="J121" s="1">
        <f t="shared" si="14"/>
        <v>2.5000000000000001E-2</v>
      </c>
      <c r="K121" s="1">
        <f t="shared" si="15"/>
        <v>7.4999999999999997E-2</v>
      </c>
      <c r="L121" s="1">
        <f t="shared" si="16"/>
        <v>5.0000000000000001E-4</v>
      </c>
      <c r="M121" s="1">
        <f t="shared" si="17"/>
        <v>0.18613936472519524</v>
      </c>
      <c r="N121" s="1">
        <f t="shared" si="18"/>
        <v>2.7777777777777776E-2</v>
      </c>
      <c r="O121" s="1">
        <v>370</v>
      </c>
      <c r="P121" s="1">
        <v>3</v>
      </c>
      <c r="Q121" s="1">
        <v>4148</v>
      </c>
      <c r="R121" s="1">
        <f>[1]!HeatTransferArea(J121,D121,0.36,L121)</f>
        <v>0.28274333882308145</v>
      </c>
      <c r="S121" s="1">
        <f>[1]!Convection(J121,N121,1000,9*10^-4,L121,0.6,0.36,7)</f>
        <v>20885.729705543305</v>
      </c>
      <c r="U121" s="1">
        <f t="shared" si="19"/>
        <v>0.55766712192798862</v>
      </c>
      <c r="V121" s="1">
        <f t="shared" si="20"/>
        <v>7.6013513513513518E-6</v>
      </c>
      <c r="W121" s="1">
        <f t="shared" si="21"/>
        <v>8.445945945945948E-7</v>
      </c>
      <c r="X121" s="1">
        <f t="shared" si="22"/>
        <v>3</v>
      </c>
      <c r="Y121" s="1">
        <f t="shared" si="23"/>
        <v>57.162448732243064</v>
      </c>
      <c r="Z121" s="1">
        <f t="shared" si="24"/>
        <v>5</v>
      </c>
      <c r="AA121" s="1">
        <f t="shared" si="25"/>
        <v>0.11600165614866254</v>
      </c>
    </row>
    <row r="122" spans="1:27" x14ac:dyDescent="0.25">
      <c r="A122" s="1">
        <v>25</v>
      </c>
      <c r="B122" s="1">
        <v>0.5</v>
      </c>
      <c r="C122" s="1">
        <v>3</v>
      </c>
      <c r="D122" s="1">
        <f t="shared" si="13"/>
        <v>7.4999999999999997E-2</v>
      </c>
      <c r="E122" s="1">
        <v>20</v>
      </c>
      <c r="F122" s="1">
        <v>0.5</v>
      </c>
      <c r="G122" s="1">
        <v>100</v>
      </c>
      <c r="H122" s="1">
        <v>-39.268587920000002</v>
      </c>
      <c r="J122" s="1">
        <f t="shared" si="14"/>
        <v>2.5000000000000001E-2</v>
      </c>
      <c r="K122" s="1">
        <f t="shared" si="15"/>
        <v>7.4999999999999997E-2</v>
      </c>
      <c r="L122" s="1">
        <f t="shared" si="16"/>
        <v>5.0000000000000001E-4</v>
      </c>
      <c r="M122" s="1">
        <f t="shared" si="17"/>
        <v>0.18613936472519524</v>
      </c>
      <c r="N122" s="1">
        <f t="shared" si="18"/>
        <v>2.7777777777777776E-2</v>
      </c>
      <c r="O122" s="1">
        <v>370</v>
      </c>
      <c r="P122" s="1">
        <v>3</v>
      </c>
      <c r="Q122" s="1">
        <v>4148</v>
      </c>
      <c r="R122" s="1">
        <f>[1]!HeatTransferArea(J122,D122,0.36,L122)</f>
        <v>0.28274333882308145</v>
      </c>
      <c r="S122" s="1">
        <f>[1]!Convection(J122,N122,1000,9*10^-4,L122,0.6,0.36,7)</f>
        <v>20885.729705543305</v>
      </c>
      <c r="U122" s="1">
        <f t="shared" si="19"/>
        <v>1.6730013657839657</v>
      </c>
      <c r="V122" s="1">
        <f t="shared" si="20"/>
        <v>2.5337837837837837E-6</v>
      </c>
      <c r="W122" s="1">
        <f t="shared" si="21"/>
        <v>2.815315315315316E-7</v>
      </c>
      <c r="X122" s="1">
        <f t="shared" si="22"/>
        <v>3</v>
      </c>
      <c r="Y122" s="1">
        <f t="shared" si="23"/>
        <v>171.48734619672919</v>
      </c>
      <c r="Z122" s="1">
        <f t="shared" si="24"/>
        <v>6.666666666666667</v>
      </c>
      <c r="AA122" s="1">
        <f t="shared" si="25"/>
        <v>-0.38011418257994839</v>
      </c>
    </row>
    <row r="123" spans="1:27" x14ac:dyDescent="0.25">
      <c r="A123" s="1">
        <v>25</v>
      </c>
      <c r="B123" s="1">
        <v>0.5</v>
      </c>
      <c r="C123" s="1">
        <v>3</v>
      </c>
      <c r="D123" s="1">
        <f t="shared" si="13"/>
        <v>7.4999999999999997E-2</v>
      </c>
      <c r="E123" s="1">
        <v>20</v>
      </c>
      <c r="F123" s="1">
        <v>1</v>
      </c>
      <c r="G123" s="1">
        <v>100</v>
      </c>
      <c r="H123" s="1">
        <v>17.14546601</v>
      </c>
      <c r="J123" s="1">
        <f t="shared" si="14"/>
        <v>2.5000000000000001E-2</v>
      </c>
      <c r="K123" s="1">
        <f t="shared" si="15"/>
        <v>7.4999999999999997E-2</v>
      </c>
      <c r="L123" s="1">
        <f t="shared" si="16"/>
        <v>5.0000000000000001E-4</v>
      </c>
      <c r="M123" s="1">
        <f t="shared" si="17"/>
        <v>0.18613936472519524</v>
      </c>
      <c r="N123" s="1">
        <f t="shared" si="18"/>
        <v>2.7777777777777776E-2</v>
      </c>
      <c r="O123" s="1">
        <v>370</v>
      </c>
      <c r="P123" s="1">
        <v>3</v>
      </c>
      <c r="Q123" s="1">
        <v>4148</v>
      </c>
      <c r="R123" s="1">
        <f>[1]!HeatTransferArea(J123,D123,0.36,L123)</f>
        <v>0.28274333882308145</v>
      </c>
      <c r="S123" s="1">
        <f>[1]!Convection(J123,N123,1000,9*10^-4,L123,0.6,0.36,7)</f>
        <v>20885.729705543305</v>
      </c>
      <c r="U123" s="1">
        <f t="shared" si="19"/>
        <v>0.83650068289198287</v>
      </c>
      <c r="V123" s="1">
        <f t="shared" si="20"/>
        <v>5.0675675675675673E-6</v>
      </c>
      <c r="W123" s="1">
        <f t="shared" si="21"/>
        <v>5.630630630630632E-7</v>
      </c>
      <c r="X123" s="1">
        <f t="shared" si="22"/>
        <v>3</v>
      </c>
      <c r="Y123" s="1">
        <f t="shared" si="23"/>
        <v>85.743673098364596</v>
      </c>
      <c r="Z123" s="1">
        <f t="shared" si="24"/>
        <v>6.666666666666667</v>
      </c>
      <c r="AA123" s="1">
        <f t="shared" si="25"/>
        <v>8.2982800535388326E-2</v>
      </c>
    </row>
    <row r="124" spans="1:27" x14ac:dyDescent="0.25">
      <c r="A124" s="1">
        <v>25</v>
      </c>
      <c r="B124" s="1">
        <v>0.5</v>
      </c>
      <c r="C124" s="1">
        <v>3</v>
      </c>
      <c r="D124" s="1">
        <f t="shared" si="13"/>
        <v>7.4999999999999997E-2</v>
      </c>
      <c r="E124" s="1">
        <v>20</v>
      </c>
      <c r="F124" s="1">
        <v>1.5</v>
      </c>
      <c r="G124" s="1">
        <v>100</v>
      </c>
      <c r="H124" s="1">
        <v>20.919411350000001</v>
      </c>
      <c r="J124" s="1">
        <f t="shared" si="14"/>
        <v>2.5000000000000001E-2</v>
      </c>
      <c r="K124" s="1">
        <f t="shared" si="15"/>
        <v>7.4999999999999997E-2</v>
      </c>
      <c r="L124" s="1">
        <f t="shared" si="16"/>
        <v>5.0000000000000001E-4</v>
      </c>
      <c r="M124" s="1">
        <f t="shared" si="17"/>
        <v>0.18613936472519524</v>
      </c>
      <c r="N124" s="1">
        <f t="shared" si="18"/>
        <v>2.7777777777777776E-2</v>
      </c>
      <c r="O124" s="1">
        <v>370</v>
      </c>
      <c r="P124" s="1">
        <v>3</v>
      </c>
      <c r="Q124" s="1">
        <v>4148</v>
      </c>
      <c r="R124" s="1">
        <f>[1]!HeatTransferArea(J124,D124,0.36,L124)</f>
        <v>0.28274333882308145</v>
      </c>
      <c r="S124" s="1">
        <f>[1]!Convection(J124,N124,1000,9*10^-4,L124,0.6,0.36,7)</f>
        <v>20885.729705543305</v>
      </c>
      <c r="U124" s="1">
        <f t="shared" si="19"/>
        <v>0.55766712192798862</v>
      </c>
      <c r="V124" s="1">
        <f t="shared" si="20"/>
        <v>7.6013513513513518E-6</v>
      </c>
      <c r="W124" s="1">
        <f t="shared" si="21"/>
        <v>8.445945945945948E-7</v>
      </c>
      <c r="X124" s="1">
        <f t="shared" si="22"/>
        <v>3</v>
      </c>
      <c r="Y124" s="1">
        <f t="shared" si="23"/>
        <v>57.162448732243064</v>
      </c>
      <c r="Z124" s="1">
        <f t="shared" si="24"/>
        <v>6.666666666666667</v>
      </c>
      <c r="AA124" s="1">
        <f t="shared" si="25"/>
        <v>6.7498946499414847E-2</v>
      </c>
    </row>
    <row r="125" spans="1:27" x14ac:dyDescent="0.25">
      <c r="A125" s="1">
        <v>25</v>
      </c>
      <c r="B125" s="1">
        <v>0.5</v>
      </c>
      <c r="C125" s="1">
        <v>4</v>
      </c>
      <c r="D125" s="1">
        <f t="shared" si="13"/>
        <v>0.1</v>
      </c>
      <c r="E125" s="1">
        <v>15</v>
      </c>
      <c r="F125" s="1">
        <v>0.5</v>
      </c>
      <c r="G125" s="1">
        <v>100</v>
      </c>
      <c r="H125" s="1">
        <v>24.778896029999999</v>
      </c>
      <c r="J125" s="1">
        <f t="shared" si="14"/>
        <v>2.5000000000000001E-2</v>
      </c>
      <c r="K125" s="1">
        <f t="shared" si="15"/>
        <v>0.1</v>
      </c>
      <c r="L125" s="1">
        <f t="shared" si="16"/>
        <v>5.0000000000000001E-4</v>
      </c>
      <c r="M125" s="1">
        <f t="shared" si="17"/>
        <v>0.24818581963359368</v>
      </c>
      <c r="N125" s="1">
        <f t="shared" si="18"/>
        <v>2.7777777777777776E-2</v>
      </c>
      <c r="O125" s="1">
        <v>370</v>
      </c>
      <c r="P125" s="1">
        <v>3</v>
      </c>
      <c r="Q125" s="1">
        <v>4148</v>
      </c>
      <c r="R125" s="1">
        <f>[1]!HeatTransferArea(J125,D125,0.36,L125)</f>
        <v>0.37699111843077526</v>
      </c>
      <c r="S125" s="1">
        <f>[1]!Convection(J125,N125,1000,9*10^-4,L125,0.6,0.36,7)</f>
        <v>20885.729705543305</v>
      </c>
      <c r="U125" s="1">
        <f t="shared" si="19"/>
        <v>1.2547510243379743</v>
      </c>
      <c r="V125" s="1">
        <f t="shared" si="20"/>
        <v>4.5045045045045056E-6</v>
      </c>
      <c r="W125" s="1">
        <f t="shared" si="21"/>
        <v>2.815315315315316E-7</v>
      </c>
      <c r="X125" s="1">
        <f t="shared" si="22"/>
        <v>4</v>
      </c>
      <c r="Y125" s="1">
        <f t="shared" si="23"/>
        <v>171.48734619672916</v>
      </c>
      <c r="Z125" s="1">
        <f t="shared" si="24"/>
        <v>5</v>
      </c>
      <c r="AA125" s="1">
        <f t="shared" si="25"/>
        <v>0.17989206466117647</v>
      </c>
    </row>
    <row r="126" spans="1:27" x14ac:dyDescent="0.25">
      <c r="A126" s="1">
        <v>25</v>
      </c>
      <c r="B126" s="1">
        <v>0.5</v>
      </c>
      <c r="C126" s="1">
        <v>4</v>
      </c>
      <c r="D126" s="1">
        <f t="shared" si="13"/>
        <v>0.1</v>
      </c>
      <c r="E126" s="1">
        <v>15</v>
      </c>
      <c r="F126" s="1">
        <v>1</v>
      </c>
      <c r="G126" s="1">
        <v>100</v>
      </c>
      <c r="H126" s="1">
        <v>36.078850889999998</v>
      </c>
      <c r="J126" s="1">
        <f t="shared" si="14"/>
        <v>2.5000000000000001E-2</v>
      </c>
      <c r="K126" s="1">
        <f t="shared" si="15"/>
        <v>0.1</v>
      </c>
      <c r="L126" s="1">
        <f t="shared" si="16"/>
        <v>5.0000000000000001E-4</v>
      </c>
      <c r="M126" s="1">
        <f t="shared" si="17"/>
        <v>0.24818581963359368</v>
      </c>
      <c r="N126" s="1">
        <f t="shared" si="18"/>
        <v>2.7777777777777776E-2</v>
      </c>
      <c r="O126" s="1">
        <v>370</v>
      </c>
      <c r="P126" s="1">
        <v>3</v>
      </c>
      <c r="Q126" s="1">
        <v>4148</v>
      </c>
      <c r="R126" s="1">
        <f>[1]!HeatTransferArea(J126,D126,0.36,L126)</f>
        <v>0.37699111843077526</v>
      </c>
      <c r="S126" s="1">
        <f>[1]!Convection(J126,N126,1000,9*10^-4,L126,0.6,0.36,7)</f>
        <v>20885.729705543305</v>
      </c>
      <c r="U126" s="1">
        <f t="shared" si="19"/>
        <v>0.62737551216898713</v>
      </c>
      <c r="V126" s="1">
        <f t="shared" si="20"/>
        <v>9.0090090090090112E-6</v>
      </c>
      <c r="W126" s="1">
        <f t="shared" si="21"/>
        <v>5.630630630630632E-7</v>
      </c>
      <c r="X126" s="1">
        <f t="shared" si="22"/>
        <v>4</v>
      </c>
      <c r="Y126" s="1">
        <f t="shared" si="23"/>
        <v>85.743673098364582</v>
      </c>
      <c r="Z126" s="1">
        <f t="shared" si="24"/>
        <v>5</v>
      </c>
      <c r="AA126" s="1">
        <f t="shared" si="25"/>
        <v>0.13096424815187427</v>
      </c>
    </row>
    <row r="127" spans="1:27" x14ac:dyDescent="0.25">
      <c r="A127" s="1">
        <v>25</v>
      </c>
      <c r="B127" s="1">
        <v>0.5</v>
      </c>
      <c r="C127" s="1">
        <v>4</v>
      </c>
      <c r="D127" s="1">
        <f t="shared" si="13"/>
        <v>0.1</v>
      </c>
      <c r="E127" s="1">
        <v>15</v>
      </c>
      <c r="F127" s="1">
        <v>1.5</v>
      </c>
      <c r="G127" s="1">
        <v>100</v>
      </c>
      <c r="H127" s="1">
        <v>36.917236799999998</v>
      </c>
      <c r="J127" s="1">
        <f t="shared" si="14"/>
        <v>2.5000000000000001E-2</v>
      </c>
      <c r="K127" s="1">
        <f t="shared" si="15"/>
        <v>0.1</v>
      </c>
      <c r="L127" s="1">
        <f t="shared" si="16"/>
        <v>5.0000000000000001E-4</v>
      </c>
      <c r="M127" s="1">
        <f t="shared" si="17"/>
        <v>0.24818581963359368</v>
      </c>
      <c r="N127" s="1">
        <f t="shared" si="18"/>
        <v>2.7777777777777776E-2</v>
      </c>
      <c r="O127" s="1">
        <v>370</v>
      </c>
      <c r="P127" s="1">
        <v>3</v>
      </c>
      <c r="Q127" s="1">
        <v>4148</v>
      </c>
      <c r="R127" s="1">
        <f>[1]!HeatTransferArea(J127,D127,0.36,L127)</f>
        <v>0.37699111843077526</v>
      </c>
      <c r="S127" s="1">
        <f>[1]!Convection(J127,N127,1000,9*10^-4,L127,0.6,0.36,7)</f>
        <v>20885.729705543305</v>
      </c>
      <c r="U127" s="1">
        <f t="shared" si="19"/>
        <v>0.41825034144599144</v>
      </c>
      <c r="V127" s="1">
        <f t="shared" si="20"/>
        <v>1.3513513513513517E-5</v>
      </c>
      <c r="W127" s="1">
        <f t="shared" si="21"/>
        <v>8.445945945945948E-7</v>
      </c>
      <c r="X127" s="1">
        <f t="shared" si="22"/>
        <v>4</v>
      </c>
      <c r="Y127" s="1">
        <f t="shared" si="23"/>
        <v>57.162448732243057</v>
      </c>
      <c r="Z127" s="1">
        <f t="shared" si="24"/>
        <v>5</v>
      </c>
      <c r="AA127" s="1">
        <f t="shared" si="25"/>
        <v>8.933836198751699E-2</v>
      </c>
    </row>
    <row r="128" spans="1:27" x14ac:dyDescent="0.25">
      <c r="A128" s="1">
        <v>25</v>
      </c>
      <c r="B128" s="1">
        <v>0.5</v>
      </c>
      <c r="C128" s="1">
        <v>4</v>
      </c>
      <c r="D128" s="1">
        <f t="shared" si="13"/>
        <v>0.1</v>
      </c>
      <c r="E128" s="1">
        <v>20</v>
      </c>
      <c r="F128" s="1">
        <v>0.5</v>
      </c>
      <c r="G128" s="1">
        <v>100</v>
      </c>
      <c r="H128" s="1">
        <v>6.7943602199999997</v>
      </c>
      <c r="J128" s="1">
        <f t="shared" si="14"/>
        <v>2.5000000000000001E-2</v>
      </c>
      <c r="K128" s="1">
        <f t="shared" si="15"/>
        <v>0.1</v>
      </c>
      <c r="L128" s="1">
        <f t="shared" si="16"/>
        <v>5.0000000000000001E-4</v>
      </c>
      <c r="M128" s="1">
        <f t="shared" si="17"/>
        <v>0.24818581963359368</v>
      </c>
      <c r="N128" s="1">
        <f t="shared" si="18"/>
        <v>2.7777777777777776E-2</v>
      </c>
      <c r="O128" s="1">
        <v>370</v>
      </c>
      <c r="P128" s="1">
        <v>3</v>
      </c>
      <c r="Q128" s="1">
        <v>4148</v>
      </c>
      <c r="R128" s="1">
        <f>[1]!HeatTransferArea(J128,D128,0.36,L128)</f>
        <v>0.37699111843077526</v>
      </c>
      <c r="S128" s="1">
        <f>[1]!Convection(J128,N128,1000,9*10^-4,L128,0.6,0.36,7)</f>
        <v>20885.729705543305</v>
      </c>
      <c r="U128" s="1">
        <f t="shared" si="19"/>
        <v>1.2547510243379743</v>
      </c>
      <c r="V128" s="1">
        <f t="shared" si="20"/>
        <v>4.5045045045045056E-6</v>
      </c>
      <c r="W128" s="1">
        <f t="shared" si="21"/>
        <v>2.815315315315316E-7</v>
      </c>
      <c r="X128" s="1">
        <f t="shared" si="22"/>
        <v>4</v>
      </c>
      <c r="Y128" s="1">
        <f t="shared" si="23"/>
        <v>171.48734619672916</v>
      </c>
      <c r="Z128" s="1">
        <f t="shared" si="24"/>
        <v>6.666666666666667</v>
      </c>
      <c r="AA128" s="1">
        <f t="shared" si="25"/>
        <v>4.9326309232976956E-2</v>
      </c>
    </row>
    <row r="129" spans="1:27" x14ac:dyDescent="0.25">
      <c r="A129" s="1">
        <v>25</v>
      </c>
      <c r="B129" s="1">
        <v>0.5</v>
      </c>
      <c r="C129" s="1">
        <v>4</v>
      </c>
      <c r="D129" s="1">
        <f t="shared" si="13"/>
        <v>0.1</v>
      </c>
      <c r="E129" s="1">
        <v>20</v>
      </c>
      <c r="F129" s="1">
        <v>1</v>
      </c>
      <c r="G129" s="1">
        <v>100</v>
      </c>
      <c r="H129" s="1">
        <v>21.27158154</v>
      </c>
      <c r="J129" s="1">
        <f t="shared" si="14"/>
        <v>2.5000000000000001E-2</v>
      </c>
      <c r="K129" s="1">
        <f t="shared" si="15"/>
        <v>0.1</v>
      </c>
      <c r="L129" s="1">
        <f t="shared" si="16"/>
        <v>5.0000000000000001E-4</v>
      </c>
      <c r="M129" s="1">
        <f t="shared" si="17"/>
        <v>0.24818581963359368</v>
      </c>
      <c r="N129" s="1">
        <f t="shared" si="18"/>
        <v>2.7777777777777776E-2</v>
      </c>
      <c r="O129" s="1">
        <v>370</v>
      </c>
      <c r="P129" s="1">
        <v>3</v>
      </c>
      <c r="Q129" s="1">
        <v>4148</v>
      </c>
      <c r="R129" s="1">
        <f>[1]!HeatTransferArea(J129,D129,0.36,L129)</f>
        <v>0.37699111843077526</v>
      </c>
      <c r="S129" s="1">
        <f>[1]!Convection(J129,N129,1000,9*10^-4,L129,0.6,0.36,7)</f>
        <v>20885.729705543305</v>
      </c>
      <c r="U129" s="1">
        <f t="shared" si="19"/>
        <v>0.62737551216898713</v>
      </c>
      <c r="V129" s="1">
        <f t="shared" si="20"/>
        <v>9.0090090090090112E-6</v>
      </c>
      <c r="W129" s="1">
        <f t="shared" si="21"/>
        <v>5.630630630630632E-7</v>
      </c>
      <c r="X129" s="1">
        <f t="shared" si="22"/>
        <v>4</v>
      </c>
      <c r="Y129" s="1">
        <f t="shared" si="23"/>
        <v>85.743673098364582</v>
      </c>
      <c r="Z129" s="1">
        <f t="shared" si="24"/>
        <v>6.666666666666667</v>
      </c>
      <c r="AA129" s="1">
        <f t="shared" si="25"/>
        <v>7.721467326886329E-2</v>
      </c>
    </row>
    <row r="130" spans="1:27" x14ac:dyDescent="0.25">
      <c r="A130" s="1">
        <v>25</v>
      </c>
      <c r="B130" s="1">
        <v>0.5</v>
      </c>
      <c r="C130" s="1">
        <v>4</v>
      </c>
      <c r="D130" s="1">
        <f t="shared" si="13"/>
        <v>0.1</v>
      </c>
      <c r="E130" s="1">
        <v>20</v>
      </c>
      <c r="F130" s="1">
        <v>1.5</v>
      </c>
      <c r="G130" s="1">
        <v>100</v>
      </c>
      <c r="H130" s="1">
        <v>22.75077838</v>
      </c>
      <c r="J130" s="1">
        <f t="shared" si="14"/>
        <v>2.5000000000000001E-2</v>
      </c>
      <c r="K130" s="1">
        <f t="shared" si="15"/>
        <v>0.1</v>
      </c>
      <c r="L130" s="1">
        <f t="shared" si="16"/>
        <v>5.0000000000000001E-4</v>
      </c>
      <c r="M130" s="1">
        <f t="shared" si="17"/>
        <v>0.24818581963359368</v>
      </c>
      <c r="N130" s="1">
        <f t="shared" si="18"/>
        <v>2.7777777777777776E-2</v>
      </c>
      <c r="O130" s="1">
        <v>370</v>
      </c>
      <c r="P130" s="1">
        <v>3</v>
      </c>
      <c r="Q130" s="1">
        <v>4148</v>
      </c>
      <c r="R130" s="1">
        <f>[1]!HeatTransferArea(J130,D130,0.36,L130)</f>
        <v>0.37699111843077526</v>
      </c>
      <c r="S130" s="1">
        <f>[1]!Convection(J130,N130,1000,9*10^-4,L130,0.6,0.36,7)</f>
        <v>20885.729705543305</v>
      </c>
      <c r="U130" s="1">
        <f t="shared" si="19"/>
        <v>0.41825034144599144</v>
      </c>
      <c r="V130" s="1">
        <f t="shared" si="20"/>
        <v>1.3513513513513517E-5</v>
      </c>
      <c r="W130" s="1">
        <f t="shared" si="21"/>
        <v>8.445945945945948E-7</v>
      </c>
      <c r="X130" s="1">
        <f t="shared" si="22"/>
        <v>4</v>
      </c>
      <c r="Y130" s="1">
        <f t="shared" si="23"/>
        <v>57.162448732243057</v>
      </c>
      <c r="Z130" s="1">
        <f t="shared" si="24"/>
        <v>6.666666666666667</v>
      </c>
      <c r="AA130" s="1">
        <f t="shared" si="25"/>
        <v>5.5056051064206829E-2</v>
      </c>
    </row>
    <row r="131" spans="1:27" x14ac:dyDescent="0.25">
      <c r="A131" s="1">
        <v>25</v>
      </c>
      <c r="B131" s="1">
        <v>0.5</v>
      </c>
      <c r="C131" s="1">
        <v>5</v>
      </c>
      <c r="D131" s="1">
        <f t="shared" ref="D131:D194" si="26">C131*A131/1000</f>
        <v>0.125</v>
      </c>
      <c r="E131" s="1">
        <v>15</v>
      </c>
      <c r="F131" s="1">
        <v>0.5</v>
      </c>
      <c r="G131" s="1">
        <v>100</v>
      </c>
      <c r="H131" s="1">
        <v>32.503391030000003</v>
      </c>
      <c r="J131" s="1">
        <f t="shared" ref="J131:J194" si="27">A131/1000</f>
        <v>2.5000000000000001E-2</v>
      </c>
      <c r="K131" s="1">
        <f t="shared" ref="K131:K194" si="28">D131</f>
        <v>0.125</v>
      </c>
      <c r="L131" s="1">
        <f t="shared" ref="L131:L194" si="29">B131/1000</f>
        <v>5.0000000000000001E-4</v>
      </c>
      <c r="M131" s="1">
        <f t="shared" ref="M131:M194" si="30">PI()*J131^2*K131/4*(1-0.36)*7900</f>
        <v>0.31023227454199215</v>
      </c>
      <c r="N131" s="1">
        <f t="shared" ref="N131:N194" si="31">G131/3600</f>
        <v>2.7777777777777776E-2</v>
      </c>
      <c r="O131" s="1">
        <v>370</v>
      </c>
      <c r="P131" s="1">
        <v>3</v>
      </c>
      <c r="Q131" s="1">
        <v>4148</v>
      </c>
      <c r="R131" s="1">
        <f>[1]!HeatTransferArea(J131,D131,0.36,L131)</f>
        <v>0.47123889803846908</v>
      </c>
      <c r="S131" s="1">
        <f>[1]!Convection(J131,N131,1000,9*10^-4,L131,0.6,0.36,7)</f>
        <v>20885.729705543305</v>
      </c>
      <c r="U131" s="1">
        <f t="shared" ref="U131:U194" si="32">N131*Q131/(2*F131*M131*O131)</f>
        <v>1.0038008194703791</v>
      </c>
      <c r="V131" s="1">
        <f t="shared" ref="V131:V194" si="33">K131^2*F131/(O131*P131)</f>
        <v>7.0382882882882884E-6</v>
      </c>
      <c r="W131" s="1">
        <f t="shared" ref="W131:W194" si="34">J131^2*F131/(O131*P131)</f>
        <v>2.815315315315316E-7</v>
      </c>
      <c r="X131" s="1">
        <f t="shared" ref="X131:X194" si="35">C131</f>
        <v>5</v>
      </c>
      <c r="Y131" s="1">
        <f t="shared" ref="Y131:Y194" si="36">S131*R131/(F131*M131*O131)</f>
        <v>171.48734619672913</v>
      </c>
      <c r="Z131" s="1">
        <f t="shared" ref="Z131:Z194" si="37">E131/P131</f>
        <v>5</v>
      </c>
      <c r="AA131" s="1">
        <f t="shared" ref="AA131:AA194" si="38">H131/(M131*F131*O131*P131)</f>
        <v>0.18877684022071461</v>
      </c>
    </row>
    <row r="132" spans="1:27" x14ac:dyDescent="0.25">
      <c r="A132" s="1">
        <v>25</v>
      </c>
      <c r="B132" s="1">
        <v>0.5</v>
      </c>
      <c r="C132" s="1">
        <v>5</v>
      </c>
      <c r="D132" s="1">
        <f t="shared" si="26"/>
        <v>0.125</v>
      </c>
      <c r="E132" s="1">
        <v>15</v>
      </c>
      <c r="F132" s="1">
        <v>1</v>
      </c>
      <c r="G132" s="1">
        <v>100</v>
      </c>
      <c r="H132" s="1">
        <v>36.74842452</v>
      </c>
      <c r="J132" s="1">
        <f t="shared" si="27"/>
        <v>2.5000000000000001E-2</v>
      </c>
      <c r="K132" s="1">
        <f t="shared" si="28"/>
        <v>0.125</v>
      </c>
      <c r="L132" s="1">
        <f t="shared" si="29"/>
        <v>5.0000000000000001E-4</v>
      </c>
      <c r="M132" s="1">
        <f t="shared" si="30"/>
        <v>0.31023227454199215</v>
      </c>
      <c r="N132" s="1">
        <f t="shared" si="31"/>
        <v>2.7777777777777776E-2</v>
      </c>
      <c r="O132" s="1">
        <v>370</v>
      </c>
      <c r="P132" s="1">
        <v>3</v>
      </c>
      <c r="Q132" s="1">
        <v>4148</v>
      </c>
      <c r="R132" s="1">
        <f>[1]!HeatTransferArea(J132,D132,0.36,L132)</f>
        <v>0.47123889803846908</v>
      </c>
      <c r="S132" s="1">
        <f>[1]!Convection(J132,N132,1000,9*10^-4,L132,0.6,0.36,7)</f>
        <v>20885.729705543305</v>
      </c>
      <c r="U132" s="1">
        <f t="shared" si="32"/>
        <v>0.50190040973518957</v>
      </c>
      <c r="V132" s="1">
        <f t="shared" si="33"/>
        <v>1.4076576576576577E-5</v>
      </c>
      <c r="W132" s="1">
        <f t="shared" si="34"/>
        <v>5.630630630630632E-7</v>
      </c>
      <c r="X132" s="1">
        <f t="shared" si="35"/>
        <v>5</v>
      </c>
      <c r="Y132" s="1">
        <f t="shared" si="36"/>
        <v>85.743673098364567</v>
      </c>
      <c r="Z132" s="1">
        <f t="shared" si="37"/>
        <v>5</v>
      </c>
      <c r="AA132" s="1">
        <f t="shared" si="38"/>
        <v>0.1067158109375739</v>
      </c>
    </row>
    <row r="133" spans="1:27" x14ac:dyDescent="0.25">
      <c r="A133" s="1">
        <v>25</v>
      </c>
      <c r="B133" s="1">
        <v>0.5</v>
      </c>
      <c r="C133" s="1">
        <v>5</v>
      </c>
      <c r="D133" s="1">
        <f t="shared" si="26"/>
        <v>0.125</v>
      </c>
      <c r="E133" s="1">
        <v>15</v>
      </c>
      <c r="F133" s="1">
        <v>1.5</v>
      </c>
      <c r="G133" s="1">
        <v>100</v>
      </c>
      <c r="H133" s="1">
        <v>37.020039629999999</v>
      </c>
      <c r="J133" s="1">
        <f t="shared" si="27"/>
        <v>2.5000000000000001E-2</v>
      </c>
      <c r="K133" s="1">
        <f t="shared" si="28"/>
        <v>0.125</v>
      </c>
      <c r="L133" s="1">
        <f t="shared" si="29"/>
        <v>5.0000000000000001E-4</v>
      </c>
      <c r="M133" s="1">
        <f t="shared" si="30"/>
        <v>0.31023227454199215</v>
      </c>
      <c r="N133" s="1">
        <f t="shared" si="31"/>
        <v>2.7777777777777776E-2</v>
      </c>
      <c r="O133" s="1">
        <v>370</v>
      </c>
      <c r="P133" s="1">
        <v>3</v>
      </c>
      <c r="Q133" s="1">
        <v>4148</v>
      </c>
      <c r="R133" s="1">
        <f>[1]!HeatTransferArea(J133,D133,0.36,L133)</f>
        <v>0.47123889803846908</v>
      </c>
      <c r="S133" s="1">
        <f>[1]!Convection(J133,N133,1000,9*10^-4,L133,0.6,0.36,7)</f>
        <v>20885.729705543305</v>
      </c>
      <c r="U133" s="1">
        <f t="shared" si="32"/>
        <v>0.33460027315679308</v>
      </c>
      <c r="V133" s="1">
        <f t="shared" si="33"/>
        <v>2.1114864864864866E-5</v>
      </c>
      <c r="W133" s="1">
        <f t="shared" si="34"/>
        <v>8.445945945945948E-7</v>
      </c>
      <c r="X133" s="1">
        <f t="shared" si="35"/>
        <v>5</v>
      </c>
      <c r="Y133" s="1">
        <f t="shared" si="36"/>
        <v>57.162448732243043</v>
      </c>
      <c r="Z133" s="1">
        <f t="shared" si="37"/>
        <v>5</v>
      </c>
      <c r="AA133" s="1">
        <f t="shared" si="38"/>
        <v>7.1669712859054796E-2</v>
      </c>
    </row>
    <row r="134" spans="1:27" x14ac:dyDescent="0.25">
      <c r="A134" s="1">
        <v>25</v>
      </c>
      <c r="B134" s="1">
        <v>0.5</v>
      </c>
      <c r="C134" s="1">
        <v>5</v>
      </c>
      <c r="D134" s="1">
        <f t="shared" si="26"/>
        <v>0.125</v>
      </c>
      <c r="E134" s="1">
        <v>20</v>
      </c>
      <c r="F134" s="1">
        <v>0.5</v>
      </c>
      <c r="G134" s="1">
        <v>100</v>
      </c>
      <c r="H134" s="1">
        <v>16.63235259</v>
      </c>
      <c r="J134" s="1">
        <f t="shared" si="27"/>
        <v>2.5000000000000001E-2</v>
      </c>
      <c r="K134" s="1">
        <f t="shared" si="28"/>
        <v>0.125</v>
      </c>
      <c r="L134" s="1">
        <f t="shared" si="29"/>
        <v>5.0000000000000001E-4</v>
      </c>
      <c r="M134" s="1">
        <f t="shared" si="30"/>
        <v>0.31023227454199215</v>
      </c>
      <c r="N134" s="1">
        <f t="shared" si="31"/>
        <v>2.7777777777777776E-2</v>
      </c>
      <c r="O134" s="1">
        <v>370</v>
      </c>
      <c r="P134" s="1">
        <v>3</v>
      </c>
      <c r="Q134" s="1">
        <v>4148</v>
      </c>
      <c r="R134" s="1">
        <f>[1]!HeatTransferArea(J134,D134,0.36,L134)</f>
        <v>0.47123889803846908</v>
      </c>
      <c r="S134" s="1">
        <f>[1]!Convection(J134,N134,1000,9*10^-4,L134,0.6,0.36,7)</f>
        <v>20885.729705543305</v>
      </c>
      <c r="U134" s="1">
        <f t="shared" si="32"/>
        <v>1.0038008194703791</v>
      </c>
      <c r="V134" s="1">
        <f t="shared" si="33"/>
        <v>7.0382882882882884E-6</v>
      </c>
      <c r="W134" s="1">
        <f t="shared" si="34"/>
        <v>2.815315315315316E-7</v>
      </c>
      <c r="X134" s="1">
        <f t="shared" si="35"/>
        <v>5</v>
      </c>
      <c r="Y134" s="1">
        <f t="shared" si="36"/>
        <v>171.48734619672913</v>
      </c>
      <c r="Z134" s="1">
        <f t="shared" si="37"/>
        <v>6.666666666666667</v>
      </c>
      <c r="AA134" s="1">
        <f t="shared" si="38"/>
        <v>9.6599242967573495E-2</v>
      </c>
    </row>
    <row r="135" spans="1:27" x14ac:dyDescent="0.25">
      <c r="A135" s="1">
        <v>25</v>
      </c>
      <c r="B135" s="1">
        <v>0.5</v>
      </c>
      <c r="C135" s="1">
        <v>5</v>
      </c>
      <c r="D135" s="1">
        <f t="shared" si="26"/>
        <v>0.125</v>
      </c>
      <c r="E135" s="1">
        <v>20</v>
      </c>
      <c r="F135" s="1">
        <v>1</v>
      </c>
      <c r="G135" s="1">
        <v>100</v>
      </c>
      <c r="H135" s="1">
        <v>22.585348450000001</v>
      </c>
      <c r="J135" s="1">
        <f t="shared" si="27"/>
        <v>2.5000000000000001E-2</v>
      </c>
      <c r="K135" s="1">
        <f t="shared" si="28"/>
        <v>0.125</v>
      </c>
      <c r="L135" s="1">
        <f t="shared" si="29"/>
        <v>5.0000000000000001E-4</v>
      </c>
      <c r="M135" s="1">
        <f t="shared" si="30"/>
        <v>0.31023227454199215</v>
      </c>
      <c r="N135" s="1">
        <f t="shared" si="31"/>
        <v>2.7777777777777776E-2</v>
      </c>
      <c r="O135" s="1">
        <v>370</v>
      </c>
      <c r="P135" s="1">
        <v>3</v>
      </c>
      <c r="Q135" s="1">
        <v>4148</v>
      </c>
      <c r="R135" s="1">
        <f>[1]!HeatTransferArea(J135,D135,0.36,L135)</f>
        <v>0.47123889803846908</v>
      </c>
      <c r="S135" s="1">
        <f>[1]!Convection(J135,N135,1000,9*10^-4,L135,0.6,0.36,7)</f>
        <v>20885.729705543305</v>
      </c>
      <c r="U135" s="1">
        <f t="shared" si="32"/>
        <v>0.50190040973518957</v>
      </c>
      <c r="V135" s="1">
        <f t="shared" si="33"/>
        <v>1.4076576576576577E-5</v>
      </c>
      <c r="W135" s="1">
        <f t="shared" si="34"/>
        <v>5.630630630630632E-7</v>
      </c>
      <c r="X135" s="1">
        <f t="shared" si="35"/>
        <v>5</v>
      </c>
      <c r="Y135" s="1">
        <f t="shared" si="36"/>
        <v>85.743673098364567</v>
      </c>
      <c r="Z135" s="1">
        <f t="shared" si="37"/>
        <v>6.666666666666667</v>
      </c>
      <c r="AA135" s="1">
        <f t="shared" si="38"/>
        <v>6.5586860025460159E-2</v>
      </c>
    </row>
    <row r="136" spans="1:27" x14ac:dyDescent="0.25">
      <c r="A136" s="1">
        <v>25</v>
      </c>
      <c r="B136" s="1">
        <v>0.5</v>
      </c>
      <c r="C136" s="1">
        <v>5</v>
      </c>
      <c r="D136" s="1">
        <f t="shared" si="26"/>
        <v>0.125</v>
      </c>
      <c r="E136" s="1">
        <v>20</v>
      </c>
      <c r="F136" s="1">
        <v>1.5</v>
      </c>
      <c r="G136" s="1">
        <v>100</v>
      </c>
      <c r="H136" s="1">
        <v>23.310098660000001</v>
      </c>
      <c r="J136" s="1">
        <f t="shared" si="27"/>
        <v>2.5000000000000001E-2</v>
      </c>
      <c r="K136" s="1">
        <f t="shared" si="28"/>
        <v>0.125</v>
      </c>
      <c r="L136" s="1">
        <f t="shared" si="29"/>
        <v>5.0000000000000001E-4</v>
      </c>
      <c r="M136" s="1">
        <f t="shared" si="30"/>
        <v>0.31023227454199215</v>
      </c>
      <c r="N136" s="1">
        <f t="shared" si="31"/>
        <v>2.7777777777777776E-2</v>
      </c>
      <c r="O136" s="1">
        <v>370</v>
      </c>
      <c r="P136" s="1">
        <v>3</v>
      </c>
      <c r="Q136" s="1">
        <v>4148</v>
      </c>
      <c r="R136" s="1">
        <f>[1]!HeatTransferArea(J136,D136,0.36,L136)</f>
        <v>0.47123889803846908</v>
      </c>
      <c r="S136" s="1">
        <f>[1]!Convection(J136,N136,1000,9*10^-4,L136,0.6,0.36,7)</f>
        <v>20885.729705543305</v>
      </c>
      <c r="U136" s="1">
        <f t="shared" si="32"/>
        <v>0.33460027315679308</v>
      </c>
      <c r="V136" s="1">
        <f t="shared" si="33"/>
        <v>2.1114864864864866E-5</v>
      </c>
      <c r="W136" s="1">
        <f t="shared" si="34"/>
        <v>8.445945945945948E-7</v>
      </c>
      <c r="X136" s="1">
        <f t="shared" si="35"/>
        <v>5</v>
      </c>
      <c r="Y136" s="1">
        <f t="shared" si="36"/>
        <v>57.162448732243043</v>
      </c>
      <c r="Z136" s="1">
        <f t="shared" si="37"/>
        <v>6.666666666666667</v>
      </c>
      <c r="AA136" s="1">
        <f t="shared" si="38"/>
        <v>4.5127668537788601E-2</v>
      </c>
    </row>
    <row r="137" spans="1:27" x14ac:dyDescent="0.25">
      <c r="A137" s="1">
        <v>30</v>
      </c>
      <c r="B137" s="1">
        <v>0.3</v>
      </c>
      <c r="C137" s="1">
        <v>2.5</v>
      </c>
      <c r="D137" s="1">
        <f t="shared" si="26"/>
        <v>7.4999999999999997E-2</v>
      </c>
      <c r="E137" s="1">
        <v>15</v>
      </c>
      <c r="F137" s="1">
        <v>0.5</v>
      </c>
      <c r="G137" s="1">
        <v>75</v>
      </c>
      <c r="H137" s="1">
        <v>11.63906849</v>
      </c>
      <c r="J137" s="1">
        <f t="shared" si="27"/>
        <v>0.03</v>
      </c>
      <c r="K137" s="1">
        <f t="shared" si="28"/>
        <v>7.4999999999999997E-2</v>
      </c>
      <c r="L137" s="1">
        <f t="shared" si="29"/>
        <v>2.9999999999999997E-4</v>
      </c>
      <c r="M137" s="1">
        <f t="shared" si="30"/>
        <v>0.26804068520428115</v>
      </c>
      <c r="N137" s="1">
        <f t="shared" si="31"/>
        <v>2.0833333333333332E-2</v>
      </c>
      <c r="O137" s="1">
        <v>370</v>
      </c>
      <c r="P137" s="1">
        <v>3</v>
      </c>
      <c r="Q137" s="1">
        <v>4148</v>
      </c>
      <c r="R137" s="1">
        <f>[1]!HeatTransferArea(J137,D137,0.36,L137)</f>
        <v>0.6785840131753953</v>
      </c>
      <c r="S137" s="1">
        <f>[1]!Convection(J137,N137,1000,9*10^-4,L137,0.6,0.36,7)</f>
        <v>33621.401051203255</v>
      </c>
      <c r="U137" s="1">
        <f t="shared" si="32"/>
        <v>0.87135487801248224</v>
      </c>
      <c r="V137" s="1">
        <f t="shared" si="33"/>
        <v>2.5337837837837837E-6</v>
      </c>
      <c r="W137" s="1">
        <f t="shared" si="34"/>
        <v>4.0540540540540541E-7</v>
      </c>
      <c r="X137" s="1">
        <f t="shared" si="35"/>
        <v>2.5</v>
      </c>
      <c r="Y137" s="1">
        <f t="shared" si="36"/>
        <v>460.09443792272674</v>
      </c>
      <c r="Z137" s="1">
        <f t="shared" si="37"/>
        <v>5</v>
      </c>
      <c r="AA137" s="1">
        <f t="shared" si="38"/>
        <v>7.8239221633811973E-2</v>
      </c>
    </row>
    <row r="138" spans="1:27" x14ac:dyDescent="0.25">
      <c r="A138" s="1">
        <v>30</v>
      </c>
      <c r="B138" s="1">
        <v>0.3</v>
      </c>
      <c r="C138" s="1">
        <v>2.5</v>
      </c>
      <c r="D138" s="1">
        <f t="shared" si="26"/>
        <v>7.4999999999999997E-2</v>
      </c>
      <c r="E138" s="1">
        <v>15</v>
      </c>
      <c r="F138" s="1">
        <v>1</v>
      </c>
      <c r="G138" s="1">
        <v>75</v>
      </c>
      <c r="H138" s="1">
        <v>28.434787870000001</v>
      </c>
      <c r="J138" s="1">
        <f t="shared" si="27"/>
        <v>0.03</v>
      </c>
      <c r="K138" s="1">
        <f t="shared" si="28"/>
        <v>7.4999999999999997E-2</v>
      </c>
      <c r="L138" s="1">
        <f t="shared" si="29"/>
        <v>2.9999999999999997E-4</v>
      </c>
      <c r="M138" s="1">
        <f t="shared" si="30"/>
        <v>0.26804068520428115</v>
      </c>
      <c r="N138" s="1">
        <f t="shared" si="31"/>
        <v>2.0833333333333332E-2</v>
      </c>
      <c r="O138" s="1">
        <v>370</v>
      </c>
      <c r="P138" s="1">
        <v>3</v>
      </c>
      <c r="Q138" s="1">
        <v>4148</v>
      </c>
      <c r="R138" s="1">
        <f>[1]!HeatTransferArea(J138,D138,0.36,L138)</f>
        <v>0.6785840131753953</v>
      </c>
      <c r="S138" s="1">
        <f>[1]!Convection(J138,N138,1000,9*10^-4,L138,0.6,0.36,7)</f>
        <v>33621.401051203255</v>
      </c>
      <c r="U138" s="1">
        <f t="shared" si="32"/>
        <v>0.43567743900624112</v>
      </c>
      <c r="V138" s="1">
        <f t="shared" si="33"/>
        <v>5.0675675675675673E-6</v>
      </c>
      <c r="W138" s="1">
        <f t="shared" si="34"/>
        <v>8.1081081081081082E-7</v>
      </c>
      <c r="X138" s="1">
        <f t="shared" si="35"/>
        <v>2.5</v>
      </c>
      <c r="Y138" s="1">
        <f t="shared" si="36"/>
        <v>230.04721896136337</v>
      </c>
      <c r="Z138" s="1">
        <f t="shared" si="37"/>
        <v>5</v>
      </c>
      <c r="AA138" s="1">
        <f t="shared" si="38"/>
        <v>9.5571036126421066E-2</v>
      </c>
    </row>
    <row r="139" spans="1:27" x14ac:dyDescent="0.25">
      <c r="A139" s="1">
        <v>30</v>
      </c>
      <c r="B139" s="1">
        <v>0.3</v>
      </c>
      <c r="C139" s="1">
        <v>2.5</v>
      </c>
      <c r="D139" s="1">
        <f t="shared" si="26"/>
        <v>7.4999999999999997E-2</v>
      </c>
      <c r="E139" s="1">
        <v>15</v>
      </c>
      <c r="F139" s="1">
        <v>1.5</v>
      </c>
      <c r="G139" s="1">
        <v>75</v>
      </c>
      <c r="H139" s="1">
        <v>29.13888944</v>
      </c>
      <c r="J139" s="1">
        <f t="shared" si="27"/>
        <v>0.03</v>
      </c>
      <c r="K139" s="1">
        <f t="shared" si="28"/>
        <v>7.4999999999999997E-2</v>
      </c>
      <c r="L139" s="1">
        <f t="shared" si="29"/>
        <v>2.9999999999999997E-4</v>
      </c>
      <c r="M139" s="1">
        <f t="shared" si="30"/>
        <v>0.26804068520428115</v>
      </c>
      <c r="N139" s="1">
        <f t="shared" si="31"/>
        <v>2.0833333333333332E-2</v>
      </c>
      <c r="O139" s="1">
        <v>370</v>
      </c>
      <c r="P139" s="1">
        <v>3</v>
      </c>
      <c r="Q139" s="1">
        <v>4148</v>
      </c>
      <c r="R139" s="1">
        <f>[1]!HeatTransferArea(J139,D139,0.36,L139)</f>
        <v>0.6785840131753953</v>
      </c>
      <c r="S139" s="1">
        <f>[1]!Convection(J139,N139,1000,9*10^-4,L139,0.6,0.36,7)</f>
        <v>33621.401051203255</v>
      </c>
      <c r="U139" s="1">
        <f t="shared" si="32"/>
        <v>0.29045162600416075</v>
      </c>
      <c r="V139" s="1">
        <f t="shared" si="33"/>
        <v>7.6013513513513518E-6</v>
      </c>
      <c r="W139" s="1">
        <f t="shared" si="34"/>
        <v>1.2162162162162162E-6</v>
      </c>
      <c r="X139" s="1">
        <f t="shared" si="35"/>
        <v>2.5</v>
      </c>
      <c r="Y139" s="1">
        <f t="shared" si="36"/>
        <v>153.36481264090892</v>
      </c>
      <c r="Z139" s="1">
        <f t="shared" si="37"/>
        <v>5</v>
      </c>
      <c r="AA139" s="1">
        <f t="shared" si="38"/>
        <v>6.5291709298387429E-2</v>
      </c>
    </row>
    <row r="140" spans="1:27" x14ac:dyDescent="0.25">
      <c r="A140" s="1">
        <v>30</v>
      </c>
      <c r="B140" s="1">
        <v>0.3</v>
      </c>
      <c r="C140" s="1">
        <v>2.5</v>
      </c>
      <c r="D140" s="1">
        <f t="shared" si="26"/>
        <v>7.4999999999999997E-2</v>
      </c>
      <c r="E140" s="1">
        <v>20</v>
      </c>
      <c r="F140" s="1">
        <v>0.5</v>
      </c>
      <c r="G140" s="1">
        <v>75</v>
      </c>
      <c r="H140" s="1">
        <v>-2.7820418099999999</v>
      </c>
      <c r="J140" s="1">
        <f t="shared" si="27"/>
        <v>0.03</v>
      </c>
      <c r="K140" s="1">
        <f t="shared" si="28"/>
        <v>7.4999999999999997E-2</v>
      </c>
      <c r="L140" s="1">
        <f t="shared" si="29"/>
        <v>2.9999999999999997E-4</v>
      </c>
      <c r="M140" s="1">
        <f t="shared" si="30"/>
        <v>0.26804068520428115</v>
      </c>
      <c r="N140" s="1">
        <f t="shared" si="31"/>
        <v>2.0833333333333332E-2</v>
      </c>
      <c r="O140" s="1">
        <v>370</v>
      </c>
      <c r="P140" s="1">
        <v>3</v>
      </c>
      <c r="Q140" s="1">
        <v>4148</v>
      </c>
      <c r="R140" s="1">
        <f>[1]!HeatTransferArea(J140,D140,0.36,L140)</f>
        <v>0.6785840131753953</v>
      </c>
      <c r="S140" s="1">
        <f>[1]!Convection(J140,N140,1000,9*10^-4,L140,0.6,0.36,7)</f>
        <v>33621.401051203255</v>
      </c>
      <c r="U140" s="1">
        <f t="shared" si="32"/>
        <v>0.87135487801248224</v>
      </c>
      <c r="V140" s="1">
        <f t="shared" si="33"/>
        <v>2.5337837837837837E-6</v>
      </c>
      <c r="W140" s="1">
        <f t="shared" si="34"/>
        <v>4.0540540540540541E-7</v>
      </c>
      <c r="X140" s="1">
        <f t="shared" si="35"/>
        <v>2.5</v>
      </c>
      <c r="Y140" s="1">
        <f t="shared" si="36"/>
        <v>460.09443792272674</v>
      </c>
      <c r="Z140" s="1">
        <f t="shared" si="37"/>
        <v>6.666666666666667</v>
      </c>
      <c r="AA140" s="1">
        <f t="shared" si="38"/>
        <v>-1.8701220458848027E-2</v>
      </c>
    </row>
    <row r="141" spans="1:27" x14ac:dyDescent="0.25">
      <c r="A141" s="1">
        <v>30</v>
      </c>
      <c r="B141" s="1">
        <v>0.3</v>
      </c>
      <c r="C141" s="1">
        <v>2.5</v>
      </c>
      <c r="D141" s="1">
        <f t="shared" si="26"/>
        <v>7.4999999999999997E-2</v>
      </c>
      <c r="E141" s="1">
        <v>20</v>
      </c>
      <c r="F141" s="1">
        <v>1</v>
      </c>
      <c r="G141" s="1">
        <v>75</v>
      </c>
      <c r="H141" s="1">
        <v>17.53280277</v>
      </c>
      <c r="J141" s="1">
        <f t="shared" si="27"/>
        <v>0.03</v>
      </c>
      <c r="K141" s="1">
        <f t="shared" si="28"/>
        <v>7.4999999999999997E-2</v>
      </c>
      <c r="L141" s="1">
        <f t="shared" si="29"/>
        <v>2.9999999999999997E-4</v>
      </c>
      <c r="M141" s="1">
        <f t="shared" si="30"/>
        <v>0.26804068520428115</v>
      </c>
      <c r="N141" s="1">
        <f t="shared" si="31"/>
        <v>2.0833333333333332E-2</v>
      </c>
      <c r="O141" s="1">
        <v>370</v>
      </c>
      <c r="P141" s="1">
        <v>3</v>
      </c>
      <c r="Q141" s="1">
        <v>4148</v>
      </c>
      <c r="R141" s="1">
        <f>[1]!HeatTransferArea(J141,D141,0.36,L141)</f>
        <v>0.6785840131753953</v>
      </c>
      <c r="S141" s="1">
        <f>[1]!Convection(J141,N141,1000,9*10^-4,L141,0.6,0.36,7)</f>
        <v>33621.401051203255</v>
      </c>
      <c r="U141" s="1">
        <f t="shared" si="32"/>
        <v>0.43567743900624112</v>
      </c>
      <c r="V141" s="1">
        <f t="shared" si="33"/>
        <v>5.0675675675675673E-6</v>
      </c>
      <c r="W141" s="1">
        <f t="shared" si="34"/>
        <v>8.1081081081081082E-7</v>
      </c>
      <c r="X141" s="1">
        <f t="shared" si="35"/>
        <v>2.5</v>
      </c>
      <c r="Y141" s="1">
        <f t="shared" si="36"/>
        <v>230.04721896136337</v>
      </c>
      <c r="Z141" s="1">
        <f t="shared" si="37"/>
        <v>6.666666666666667</v>
      </c>
      <c r="AA141" s="1">
        <f t="shared" si="38"/>
        <v>5.8928807015893009E-2</v>
      </c>
    </row>
    <row r="142" spans="1:27" x14ac:dyDescent="0.25">
      <c r="A142" s="1">
        <v>30</v>
      </c>
      <c r="B142" s="1">
        <v>0.3</v>
      </c>
      <c r="C142" s="1">
        <v>2.5</v>
      </c>
      <c r="D142" s="1">
        <f t="shared" si="26"/>
        <v>7.4999999999999997E-2</v>
      </c>
      <c r="E142" s="1">
        <v>20</v>
      </c>
      <c r="F142" s="1">
        <v>1.5</v>
      </c>
      <c r="G142" s="1">
        <v>75</v>
      </c>
      <c r="H142" s="1">
        <v>18.750038799999999</v>
      </c>
      <c r="J142" s="1">
        <f t="shared" si="27"/>
        <v>0.03</v>
      </c>
      <c r="K142" s="1">
        <f t="shared" si="28"/>
        <v>7.4999999999999997E-2</v>
      </c>
      <c r="L142" s="1">
        <f t="shared" si="29"/>
        <v>2.9999999999999997E-4</v>
      </c>
      <c r="M142" s="1">
        <f t="shared" si="30"/>
        <v>0.26804068520428115</v>
      </c>
      <c r="N142" s="1">
        <f t="shared" si="31"/>
        <v>2.0833333333333332E-2</v>
      </c>
      <c r="O142" s="1">
        <v>370</v>
      </c>
      <c r="P142" s="1">
        <v>3</v>
      </c>
      <c r="Q142" s="1">
        <v>4148</v>
      </c>
      <c r="R142" s="1">
        <f>[1]!HeatTransferArea(J142,D142,0.36,L142)</f>
        <v>0.6785840131753953</v>
      </c>
      <c r="S142" s="1">
        <f>[1]!Convection(J142,N142,1000,9*10^-4,L142,0.6,0.36,7)</f>
        <v>33621.401051203255</v>
      </c>
      <c r="U142" s="1">
        <f t="shared" si="32"/>
        <v>0.29045162600416075</v>
      </c>
      <c r="V142" s="1">
        <f t="shared" si="33"/>
        <v>7.6013513513513518E-6</v>
      </c>
      <c r="W142" s="1">
        <f t="shared" si="34"/>
        <v>1.2162162162162162E-6</v>
      </c>
      <c r="X142" s="1">
        <f t="shared" si="35"/>
        <v>2.5</v>
      </c>
      <c r="Y142" s="1">
        <f t="shared" si="36"/>
        <v>153.36481264090892</v>
      </c>
      <c r="Z142" s="1">
        <f t="shared" si="37"/>
        <v>6.666666666666667</v>
      </c>
      <c r="AA142" s="1">
        <f t="shared" si="38"/>
        <v>4.2013340459796364E-2</v>
      </c>
    </row>
    <row r="143" spans="1:27" x14ac:dyDescent="0.25">
      <c r="A143" s="1">
        <v>30</v>
      </c>
      <c r="B143" s="1">
        <v>0.3</v>
      </c>
      <c r="C143" s="1">
        <v>3.3333330000000001</v>
      </c>
      <c r="D143" s="1">
        <f t="shared" si="26"/>
        <v>9.9999989999999997E-2</v>
      </c>
      <c r="E143" s="1">
        <v>15</v>
      </c>
      <c r="F143" s="1">
        <v>0.5</v>
      </c>
      <c r="G143" s="1">
        <v>75</v>
      </c>
      <c r="H143" s="1">
        <v>24.7830355</v>
      </c>
      <c r="J143" s="1">
        <f t="shared" si="27"/>
        <v>0.03</v>
      </c>
      <c r="K143" s="1">
        <f t="shared" si="28"/>
        <v>9.9999989999999997E-2</v>
      </c>
      <c r="L143" s="1">
        <f t="shared" si="29"/>
        <v>2.9999999999999997E-4</v>
      </c>
      <c r="M143" s="1">
        <f t="shared" si="30"/>
        <v>0.35738754453361682</v>
      </c>
      <c r="N143" s="1">
        <f t="shared" si="31"/>
        <v>2.0833333333333332E-2</v>
      </c>
      <c r="O143" s="1">
        <v>370</v>
      </c>
      <c r="P143" s="1">
        <v>3</v>
      </c>
      <c r="Q143" s="1">
        <v>4148</v>
      </c>
      <c r="R143" s="1">
        <f>[1]!HeatTransferArea(J143,D143,0.36,L143)</f>
        <v>0.90477859375599201</v>
      </c>
      <c r="S143" s="1">
        <f>[1]!Convection(J143,N143,1000,9*10^-4,L143,0.6,0.36,7)</f>
        <v>33621.401051203255</v>
      </c>
      <c r="U143" s="1">
        <f t="shared" si="32"/>
        <v>0.65351622386098396</v>
      </c>
      <c r="V143" s="1">
        <f t="shared" si="33"/>
        <v>4.5045036036036485E-6</v>
      </c>
      <c r="W143" s="1">
        <f t="shared" si="34"/>
        <v>4.0540540540540541E-7</v>
      </c>
      <c r="X143" s="1">
        <f t="shared" si="35"/>
        <v>3.3333330000000001</v>
      </c>
      <c r="Y143" s="1">
        <f t="shared" si="36"/>
        <v>460.09443792272668</v>
      </c>
      <c r="Z143" s="1">
        <f t="shared" si="37"/>
        <v>5</v>
      </c>
      <c r="AA143" s="1">
        <f t="shared" si="38"/>
        <v>0.12494592691049346</v>
      </c>
    </row>
    <row r="144" spans="1:27" x14ac:dyDescent="0.25">
      <c r="A144" s="1">
        <v>30</v>
      </c>
      <c r="B144" s="1">
        <v>0.3</v>
      </c>
      <c r="C144" s="1">
        <v>3.3333330000000001</v>
      </c>
      <c r="D144" s="1">
        <f t="shared" si="26"/>
        <v>9.9999989999999997E-2</v>
      </c>
      <c r="E144" s="1">
        <v>15</v>
      </c>
      <c r="F144" s="1">
        <v>1</v>
      </c>
      <c r="G144" s="1">
        <v>75</v>
      </c>
      <c r="H144" s="1">
        <v>28.59126462</v>
      </c>
      <c r="J144" s="1">
        <f t="shared" si="27"/>
        <v>0.03</v>
      </c>
      <c r="K144" s="1">
        <f t="shared" si="28"/>
        <v>9.9999989999999997E-2</v>
      </c>
      <c r="L144" s="1">
        <f t="shared" si="29"/>
        <v>2.9999999999999997E-4</v>
      </c>
      <c r="M144" s="1">
        <f t="shared" si="30"/>
        <v>0.35738754453361682</v>
      </c>
      <c r="N144" s="1">
        <f t="shared" si="31"/>
        <v>2.0833333333333332E-2</v>
      </c>
      <c r="O144" s="1">
        <v>370</v>
      </c>
      <c r="P144" s="1">
        <v>3</v>
      </c>
      <c r="Q144" s="1">
        <v>4148</v>
      </c>
      <c r="R144" s="1">
        <f>[1]!HeatTransferArea(J144,D144,0.36,L144)</f>
        <v>0.90477859375599201</v>
      </c>
      <c r="S144" s="1">
        <f>[1]!Convection(J144,N144,1000,9*10^-4,L144,0.6,0.36,7)</f>
        <v>33621.401051203255</v>
      </c>
      <c r="U144" s="1">
        <f t="shared" si="32"/>
        <v>0.32675811193049198</v>
      </c>
      <c r="V144" s="1">
        <f t="shared" si="33"/>
        <v>9.009007207207297E-6</v>
      </c>
      <c r="W144" s="1">
        <f t="shared" si="34"/>
        <v>8.1081081081081082E-7</v>
      </c>
      <c r="X144" s="1">
        <f t="shared" si="35"/>
        <v>3.3333330000000001</v>
      </c>
      <c r="Y144" s="1">
        <f t="shared" si="36"/>
        <v>230.04721896136334</v>
      </c>
      <c r="Z144" s="1">
        <f t="shared" si="37"/>
        <v>5</v>
      </c>
      <c r="AA144" s="1">
        <f t="shared" si="38"/>
        <v>7.2072730144156424E-2</v>
      </c>
    </row>
    <row r="145" spans="1:27" x14ac:dyDescent="0.25">
      <c r="A145" s="1">
        <v>30</v>
      </c>
      <c r="B145" s="1">
        <v>0.3</v>
      </c>
      <c r="C145" s="1">
        <v>3.3333330000000001</v>
      </c>
      <c r="D145" s="1">
        <f t="shared" si="26"/>
        <v>9.9999989999999997E-2</v>
      </c>
      <c r="E145" s="1">
        <v>15</v>
      </c>
      <c r="F145" s="1">
        <v>1.5</v>
      </c>
      <c r="G145" s="1">
        <v>75</v>
      </c>
      <c r="H145" s="1">
        <v>28.808101709999999</v>
      </c>
      <c r="J145" s="1">
        <f t="shared" si="27"/>
        <v>0.03</v>
      </c>
      <c r="K145" s="1">
        <f t="shared" si="28"/>
        <v>9.9999989999999997E-2</v>
      </c>
      <c r="L145" s="1">
        <f t="shared" si="29"/>
        <v>2.9999999999999997E-4</v>
      </c>
      <c r="M145" s="1">
        <f t="shared" si="30"/>
        <v>0.35738754453361682</v>
      </c>
      <c r="N145" s="1">
        <f t="shared" si="31"/>
        <v>2.0833333333333332E-2</v>
      </c>
      <c r="O145" s="1">
        <v>370</v>
      </c>
      <c r="P145" s="1">
        <v>3</v>
      </c>
      <c r="Q145" s="1">
        <v>4148</v>
      </c>
      <c r="R145" s="1">
        <f>[1]!HeatTransferArea(J145,D145,0.36,L145)</f>
        <v>0.90477859375599201</v>
      </c>
      <c r="S145" s="1">
        <f>[1]!Convection(J145,N145,1000,9*10^-4,L145,0.6,0.36,7)</f>
        <v>33621.401051203255</v>
      </c>
      <c r="U145" s="1">
        <f t="shared" si="32"/>
        <v>0.21783874128699468</v>
      </c>
      <c r="V145" s="1">
        <f t="shared" si="33"/>
        <v>1.3513510810810946E-5</v>
      </c>
      <c r="W145" s="1">
        <f t="shared" si="34"/>
        <v>1.2162162162162162E-6</v>
      </c>
      <c r="X145" s="1">
        <f t="shared" si="35"/>
        <v>3.3333330000000001</v>
      </c>
      <c r="Y145" s="1">
        <f t="shared" si="36"/>
        <v>153.36481264090889</v>
      </c>
      <c r="Z145" s="1">
        <f t="shared" si="37"/>
        <v>5</v>
      </c>
      <c r="AA145" s="1">
        <f t="shared" si="38"/>
        <v>4.8412888064602658E-2</v>
      </c>
    </row>
    <row r="146" spans="1:27" x14ac:dyDescent="0.25">
      <c r="A146" s="1">
        <v>30</v>
      </c>
      <c r="B146" s="1">
        <v>0.3</v>
      </c>
      <c r="C146" s="1">
        <v>3.3333330000000001</v>
      </c>
      <c r="D146" s="1">
        <f t="shared" si="26"/>
        <v>9.9999989999999997E-2</v>
      </c>
      <c r="E146" s="1">
        <v>20</v>
      </c>
      <c r="F146" s="1">
        <v>0.5</v>
      </c>
      <c r="G146" s="1">
        <v>75</v>
      </c>
      <c r="H146" s="1">
        <v>13.06782407</v>
      </c>
      <c r="J146" s="1">
        <f t="shared" si="27"/>
        <v>0.03</v>
      </c>
      <c r="K146" s="1">
        <f t="shared" si="28"/>
        <v>9.9999989999999997E-2</v>
      </c>
      <c r="L146" s="1">
        <f t="shared" si="29"/>
        <v>2.9999999999999997E-4</v>
      </c>
      <c r="M146" s="1">
        <f t="shared" si="30"/>
        <v>0.35738754453361682</v>
      </c>
      <c r="N146" s="1">
        <f t="shared" si="31"/>
        <v>2.0833333333333332E-2</v>
      </c>
      <c r="O146" s="1">
        <v>370</v>
      </c>
      <c r="P146" s="1">
        <v>3</v>
      </c>
      <c r="Q146" s="1">
        <v>4148</v>
      </c>
      <c r="R146" s="1">
        <f>[1]!HeatTransferArea(J146,D146,0.36,L146)</f>
        <v>0.90477859375599201</v>
      </c>
      <c r="S146" s="1">
        <f>[1]!Convection(J146,N146,1000,9*10^-4,L146,0.6,0.36,7)</f>
        <v>33621.401051203255</v>
      </c>
      <c r="U146" s="1">
        <f t="shared" si="32"/>
        <v>0.65351622386098396</v>
      </c>
      <c r="V146" s="1">
        <f t="shared" si="33"/>
        <v>4.5045036036036485E-6</v>
      </c>
      <c r="W146" s="1">
        <f t="shared" si="34"/>
        <v>4.0540540540540541E-7</v>
      </c>
      <c r="X146" s="1">
        <f t="shared" si="35"/>
        <v>3.3333330000000001</v>
      </c>
      <c r="Y146" s="1">
        <f t="shared" si="36"/>
        <v>460.09443792272668</v>
      </c>
      <c r="Z146" s="1">
        <f t="shared" si="37"/>
        <v>6.666666666666667</v>
      </c>
      <c r="AA146" s="1">
        <f t="shared" si="38"/>
        <v>6.5882623261763362E-2</v>
      </c>
    </row>
    <row r="147" spans="1:27" x14ac:dyDescent="0.25">
      <c r="A147" s="1">
        <v>30</v>
      </c>
      <c r="B147" s="1">
        <v>0.3</v>
      </c>
      <c r="C147" s="1">
        <v>3.3333330000000001</v>
      </c>
      <c r="D147" s="1">
        <f t="shared" si="26"/>
        <v>9.9999989999999997E-2</v>
      </c>
      <c r="E147" s="1">
        <v>20</v>
      </c>
      <c r="F147" s="1">
        <v>1</v>
      </c>
      <c r="G147" s="1">
        <v>75</v>
      </c>
      <c r="H147" s="1">
        <v>18.22382296</v>
      </c>
      <c r="J147" s="1">
        <f t="shared" si="27"/>
        <v>0.03</v>
      </c>
      <c r="K147" s="1">
        <f t="shared" si="28"/>
        <v>9.9999989999999997E-2</v>
      </c>
      <c r="L147" s="1">
        <f t="shared" si="29"/>
        <v>2.9999999999999997E-4</v>
      </c>
      <c r="M147" s="1">
        <f t="shared" si="30"/>
        <v>0.35738754453361682</v>
      </c>
      <c r="N147" s="1">
        <f t="shared" si="31"/>
        <v>2.0833333333333332E-2</v>
      </c>
      <c r="O147" s="1">
        <v>370</v>
      </c>
      <c r="P147" s="1">
        <v>3</v>
      </c>
      <c r="Q147" s="1">
        <v>4148</v>
      </c>
      <c r="R147" s="1">
        <f>[1]!HeatTransferArea(J147,D147,0.36,L147)</f>
        <v>0.90477859375599201</v>
      </c>
      <c r="S147" s="1">
        <f>[1]!Convection(J147,N147,1000,9*10^-4,L147,0.6,0.36,7)</f>
        <v>33621.401051203255</v>
      </c>
      <c r="U147" s="1">
        <f t="shared" si="32"/>
        <v>0.32675811193049198</v>
      </c>
      <c r="V147" s="1">
        <f t="shared" si="33"/>
        <v>9.009007207207297E-6</v>
      </c>
      <c r="W147" s="1">
        <f t="shared" si="34"/>
        <v>8.1081081081081082E-7</v>
      </c>
      <c r="X147" s="1">
        <f t="shared" si="35"/>
        <v>3.3333330000000001</v>
      </c>
      <c r="Y147" s="1">
        <f t="shared" si="36"/>
        <v>230.04721896136334</v>
      </c>
      <c r="Z147" s="1">
        <f t="shared" si="37"/>
        <v>6.666666666666667</v>
      </c>
      <c r="AA147" s="1">
        <f t="shared" si="38"/>
        <v>4.5938530241582641E-2</v>
      </c>
    </row>
    <row r="148" spans="1:27" x14ac:dyDescent="0.25">
      <c r="A148" s="1">
        <v>30</v>
      </c>
      <c r="B148" s="1">
        <v>0.3</v>
      </c>
      <c r="C148" s="1">
        <v>3.3333330000000001</v>
      </c>
      <c r="D148" s="1">
        <f t="shared" si="26"/>
        <v>9.9999989999999997E-2</v>
      </c>
      <c r="E148" s="1">
        <v>20</v>
      </c>
      <c r="F148" s="1">
        <v>1.5</v>
      </c>
      <c r="G148" s="1">
        <v>75</v>
      </c>
      <c r="H148" s="1">
        <v>18.728669700000001</v>
      </c>
      <c r="J148" s="1">
        <f t="shared" si="27"/>
        <v>0.03</v>
      </c>
      <c r="K148" s="1">
        <f t="shared" si="28"/>
        <v>9.9999989999999997E-2</v>
      </c>
      <c r="L148" s="1">
        <f t="shared" si="29"/>
        <v>2.9999999999999997E-4</v>
      </c>
      <c r="M148" s="1">
        <f t="shared" si="30"/>
        <v>0.35738754453361682</v>
      </c>
      <c r="N148" s="1">
        <f t="shared" si="31"/>
        <v>2.0833333333333332E-2</v>
      </c>
      <c r="O148" s="1">
        <v>370</v>
      </c>
      <c r="P148" s="1">
        <v>3</v>
      </c>
      <c r="Q148" s="1">
        <v>4148</v>
      </c>
      <c r="R148" s="1">
        <f>[1]!HeatTransferArea(J148,D148,0.36,L148)</f>
        <v>0.90477859375599201</v>
      </c>
      <c r="S148" s="1">
        <f>[1]!Convection(J148,N148,1000,9*10^-4,L148,0.6,0.36,7)</f>
        <v>33621.401051203255</v>
      </c>
      <c r="U148" s="1">
        <f t="shared" si="32"/>
        <v>0.21783874128699468</v>
      </c>
      <c r="V148" s="1">
        <f t="shared" si="33"/>
        <v>1.3513510810810946E-5</v>
      </c>
      <c r="W148" s="1">
        <f t="shared" si="34"/>
        <v>1.2162162162162162E-6</v>
      </c>
      <c r="X148" s="1">
        <f t="shared" si="35"/>
        <v>3.3333330000000001</v>
      </c>
      <c r="Y148" s="1">
        <f t="shared" si="36"/>
        <v>153.36481264090889</v>
      </c>
      <c r="Z148" s="1">
        <f t="shared" si="37"/>
        <v>6.666666666666667</v>
      </c>
      <c r="AA148" s="1">
        <f t="shared" si="38"/>
        <v>3.1474097075624895E-2</v>
      </c>
    </row>
    <row r="149" spans="1:27" x14ac:dyDescent="0.25">
      <c r="A149" s="1">
        <v>30</v>
      </c>
      <c r="B149" s="1">
        <v>0.3</v>
      </c>
      <c r="C149" s="1">
        <v>4.1666660000000002</v>
      </c>
      <c r="D149" s="1">
        <f t="shared" si="26"/>
        <v>0.12499998000000001</v>
      </c>
      <c r="E149" s="1">
        <v>15</v>
      </c>
      <c r="F149" s="1">
        <v>0.5</v>
      </c>
      <c r="G149" s="1">
        <v>75</v>
      </c>
      <c r="H149" s="1">
        <v>27.16480606</v>
      </c>
      <c r="J149" s="1">
        <f t="shared" si="27"/>
        <v>0.03</v>
      </c>
      <c r="K149" s="1">
        <f t="shared" si="28"/>
        <v>0.12499998000000001</v>
      </c>
      <c r="L149" s="1">
        <f t="shared" si="29"/>
        <v>2.9999999999999997E-4</v>
      </c>
      <c r="M149" s="1">
        <f t="shared" si="30"/>
        <v>0.4467344038629526</v>
      </c>
      <c r="N149" s="1">
        <f t="shared" si="31"/>
        <v>2.0833333333333332E-2</v>
      </c>
      <c r="O149" s="1">
        <v>370</v>
      </c>
      <c r="P149" s="1">
        <v>3</v>
      </c>
      <c r="Q149" s="1">
        <v>4148</v>
      </c>
      <c r="R149" s="1">
        <f>[1]!HeatTransferArea(J149,D149,0.36,L149)</f>
        <v>1.1309731743365889</v>
      </c>
      <c r="S149" s="1">
        <f>[1]!Convection(J149,N149,1000,9*10^-4,L149,0.6,0.36,7)</f>
        <v>33621.401051203255</v>
      </c>
      <c r="U149" s="1">
        <f t="shared" si="32"/>
        <v>0.52281301045757089</v>
      </c>
      <c r="V149" s="1">
        <f t="shared" si="33"/>
        <v>7.038286036036218E-6</v>
      </c>
      <c r="W149" s="1">
        <f t="shared" si="34"/>
        <v>4.0540540540540541E-7</v>
      </c>
      <c r="X149" s="1">
        <f t="shared" si="35"/>
        <v>4.1666660000000002</v>
      </c>
      <c r="Y149" s="1">
        <f t="shared" si="36"/>
        <v>460.09443792272674</v>
      </c>
      <c r="Z149" s="1">
        <f t="shared" si="37"/>
        <v>5</v>
      </c>
      <c r="AA149" s="1">
        <f t="shared" si="38"/>
        <v>0.10956307837781805</v>
      </c>
    </row>
    <row r="150" spans="1:27" x14ac:dyDescent="0.25">
      <c r="A150" s="1">
        <v>30</v>
      </c>
      <c r="B150" s="1">
        <v>0.3</v>
      </c>
      <c r="C150" s="1">
        <v>4.1666660000000002</v>
      </c>
      <c r="D150" s="1">
        <f t="shared" si="26"/>
        <v>0.12499998000000001</v>
      </c>
      <c r="E150" s="1">
        <v>15</v>
      </c>
      <c r="F150" s="1">
        <v>1</v>
      </c>
      <c r="G150" s="1">
        <v>75</v>
      </c>
      <c r="H150" s="1">
        <v>28.37920205</v>
      </c>
      <c r="J150" s="1">
        <f t="shared" si="27"/>
        <v>0.03</v>
      </c>
      <c r="K150" s="1">
        <f t="shared" si="28"/>
        <v>0.12499998000000001</v>
      </c>
      <c r="L150" s="1">
        <f t="shared" si="29"/>
        <v>2.9999999999999997E-4</v>
      </c>
      <c r="M150" s="1">
        <f t="shared" si="30"/>
        <v>0.4467344038629526</v>
      </c>
      <c r="N150" s="1">
        <f t="shared" si="31"/>
        <v>2.0833333333333332E-2</v>
      </c>
      <c r="O150" s="1">
        <v>370</v>
      </c>
      <c r="P150" s="1">
        <v>3</v>
      </c>
      <c r="Q150" s="1">
        <v>4148</v>
      </c>
      <c r="R150" s="1">
        <f>[1]!HeatTransferArea(J150,D150,0.36,L150)</f>
        <v>1.1309731743365889</v>
      </c>
      <c r="S150" s="1">
        <f>[1]!Convection(J150,N150,1000,9*10^-4,L150,0.6,0.36,7)</f>
        <v>33621.401051203255</v>
      </c>
      <c r="U150" s="1">
        <f t="shared" si="32"/>
        <v>0.26140650522878545</v>
      </c>
      <c r="V150" s="1">
        <f t="shared" si="33"/>
        <v>1.4076572072072436E-5</v>
      </c>
      <c r="W150" s="1">
        <f t="shared" si="34"/>
        <v>8.1081081081081082E-7</v>
      </c>
      <c r="X150" s="1">
        <f t="shared" si="35"/>
        <v>4.1666660000000002</v>
      </c>
      <c r="Y150" s="1">
        <f t="shared" si="36"/>
        <v>230.04721896136337</v>
      </c>
      <c r="Z150" s="1">
        <f t="shared" si="37"/>
        <v>5</v>
      </c>
      <c r="AA150" s="1">
        <f t="shared" si="38"/>
        <v>5.7230534457643846E-2</v>
      </c>
    </row>
    <row r="151" spans="1:27" x14ac:dyDescent="0.25">
      <c r="A151" s="1">
        <v>30</v>
      </c>
      <c r="B151" s="1">
        <v>0.3</v>
      </c>
      <c r="C151" s="1">
        <v>4.1666660000000002</v>
      </c>
      <c r="D151" s="1">
        <f t="shared" si="26"/>
        <v>0.12499998000000001</v>
      </c>
      <c r="E151" s="1">
        <v>15</v>
      </c>
      <c r="F151" s="1">
        <v>1.5</v>
      </c>
      <c r="G151" s="1">
        <v>75</v>
      </c>
      <c r="H151" s="1">
        <v>28.485842559999998</v>
      </c>
      <c r="J151" s="1">
        <f t="shared" si="27"/>
        <v>0.03</v>
      </c>
      <c r="K151" s="1">
        <f t="shared" si="28"/>
        <v>0.12499998000000001</v>
      </c>
      <c r="L151" s="1">
        <f t="shared" si="29"/>
        <v>2.9999999999999997E-4</v>
      </c>
      <c r="M151" s="1">
        <f t="shared" si="30"/>
        <v>0.4467344038629526</v>
      </c>
      <c r="N151" s="1">
        <f t="shared" si="31"/>
        <v>2.0833333333333332E-2</v>
      </c>
      <c r="O151" s="1">
        <v>370</v>
      </c>
      <c r="P151" s="1">
        <v>3</v>
      </c>
      <c r="Q151" s="1">
        <v>4148</v>
      </c>
      <c r="R151" s="1">
        <f>[1]!HeatTransferArea(J151,D151,0.36,L151)</f>
        <v>1.1309731743365889</v>
      </c>
      <c r="S151" s="1">
        <f>[1]!Convection(J151,N151,1000,9*10^-4,L151,0.6,0.36,7)</f>
        <v>33621.401051203255</v>
      </c>
      <c r="U151" s="1">
        <f t="shared" si="32"/>
        <v>0.17427100348585695</v>
      </c>
      <c r="V151" s="1">
        <f t="shared" si="33"/>
        <v>2.1114858108108653E-5</v>
      </c>
      <c r="W151" s="1">
        <f t="shared" si="34"/>
        <v>1.2162162162162162E-6</v>
      </c>
      <c r="X151" s="1">
        <f t="shared" si="35"/>
        <v>4.1666660000000002</v>
      </c>
      <c r="Y151" s="1">
        <f t="shared" si="36"/>
        <v>153.36481264090892</v>
      </c>
      <c r="Z151" s="1">
        <f t="shared" si="37"/>
        <v>5</v>
      </c>
      <c r="AA151" s="1">
        <f t="shared" si="38"/>
        <v>3.829705973439794E-2</v>
      </c>
    </row>
    <row r="152" spans="1:27" x14ac:dyDescent="0.25">
      <c r="A152" s="1">
        <v>30</v>
      </c>
      <c r="B152" s="1">
        <v>0.3</v>
      </c>
      <c r="C152" s="1">
        <v>4.1666660000000002</v>
      </c>
      <c r="D152" s="1">
        <f t="shared" si="26"/>
        <v>0.12499998000000001</v>
      </c>
      <c r="E152" s="1">
        <v>20</v>
      </c>
      <c r="F152" s="1">
        <v>0.5</v>
      </c>
      <c r="G152" s="1">
        <v>75</v>
      </c>
      <c r="H152" s="1">
        <v>16.157681629999999</v>
      </c>
      <c r="J152" s="1">
        <f t="shared" si="27"/>
        <v>0.03</v>
      </c>
      <c r="K152" s="1">
        <f t="shared" si="28"/>
        <v>0.12499998000000001</v>
      </c>
      <c r="L152" s="1">
        <f t="shared" si="29"/>
        <v>2.9999999999999997E-4</v>
      </c>
      <c r="M152" s="1">
        <f t="shared" si="30"/>
        <v>0.4467344038629526</v>
      </c>
      <c r="N152" s="1">
        <f t="shared" si="31"/>
        <v>2.0833333333333332E-2</v>
      </c>
      <c r="O152" s="1">
        <v>370</v>
      </c>
      <c r="P152" s="1">
        <v>3</v>
      </c>
      <c r="Q152" s="1">
        <v>4148</v>
      </c>
      <c r="R152" s="1">
        <f>[1]!HeatTransferArea(J152,D152,0.36,L152)</f>
        <v>1.1309731743365889</v>
      </c>
      <c r="S152" s="1">
        <f>[1]!Convection(J152,N152,1000,9*10^-4,L152,0.6,0.36,7)</f>
        <v>33621.401051203255</v>
      </c>
      <c r="U152" s="1">
        <f t="shared" si="32"/>
        <v>0.52281301045757089</v>
      </c>
      <c r="V152" s="1">
        <f t="shared" si="33"/>
        <v>7.038286036036218E-6</v>
      </c>
      <c r="W152" s="1">
        <f t="shared" si="34"/>
        <v>4.0540540540540541E-7</v>
      </c>
      <c r="X152" s="1">
        <f t="shared" si="35"/>
        <v>4.1666660000000002</v>
      </c>
      <c r="Y152" s="1">
        <f t="shared" si="36"/>
        <v>460.09443792272674</v>
      </c>
      <c r="Z152" s="1">
        <f t="shared" si="37"/>
        <v>6.666666666666667</v>
      </c>
      <c r="AA152" s="1">
        <f t="shared" si="38"/>
        <v>6.51683407907062E-2</v>
      </c>
    </row>
    <row r="153" spans="1:27" x14ac:dyDescent="0.25">
      <c r="A153" s="1">
        <v>30</v>
      </c>
      <c r="B153" s="1">
        <v>0.3</v>
      </c>
      <c r="C153" s="1">
        <v>4.1666660000000002</v>
      </c>
      <c r="D153" s="1">
        <f t="shared" si="26"/>
        <v>0.12499998000000001</v>
      </c>
      <c r="E153" s="1">
        <v>20</v>
      </c>
      <c r="F153" s="1">
        <v>1</v>
      </c>
      <c r="G153" s="1">
        <v>75</v>
      </c>
      <c r="H153" s="1">
        <v>18.25048967</v>
      </c>
      <c r="J153" s="1">
        <f t="shared" si="27"/>
        <v>0.03</v>
      </c>
      <c r="K153" s="1">
        <f t="shared" si="28"/>
        <v>0.12499998000000001</v>
      </c>
      <c r="L153" s="1">
        <f t="shared" si="29"/>
        <v>2.9999999999999997E-4</v>
      </c>
      <c r="M153" s="1">
        <f t="shared" si="30"/>
        <v>0.4467344038629526</v>
      </c>
      <c r="N153" s="1">
        <f t="shared" si="31"/>
        <v>2.0833333333333332E-2</v>
      </c>
      <c r="O153" s="1">
        <v>370</v>
      </c>
      <c r="P153" s="1">
        <v>3</v>
      </c>
      <c r="Q153" s="1">
        <v>4148</v>
      </c>
      <c r="R153" s="1">
        <f>[1]!HeatTransferArea(J153,D153,0.36,L153)</f>
        <v>1.1309731743365889</v>
      </c>
      <c r="S153" s="1">
        <f>[1]!Convection(J153,N153,1000,9*10^-4,L153,0.6,0.36,7)</f>
        <v>33621.401051203255</v>
      </c>
      <c r="U153" s="1">
        <f t="shared" si="32"/>
        <v>0.26140650522878545</v>
      </c>
      <c r="V153" s="1">
        <f t="shared" si="33"/>
        <v>1.4076572072072436E-5</v>
      </c>
      <c r="W153" s="1">
        <f t="shared" si="34"/>
        <v>8.1081081081081082E-7</v>
      </c>
      <c r="X153" s="1">
        <f t="shared" si="35"/>
        <v>4.1666660000000002</v>
      </c>
      <c r="Y153" s="1">
        <f t="shared" si="36"/>
        <v>230.04721896136337</v>
      </c>
      <c r="Z153" s="1">
        <f t="shared" si="37"/>
        <v>6.666666666666667</v>
      </c>
      <c r="AA153" s="1">
        <f t="shared" si="38"/>
        <v>3.6804603458813881E-2</v>
      </c>
    </row>
    <row r="154" spans="1:27" x14ac:dyDescent="0.25">
      <c r="A154" s="1">
        <v>30</v>
      </c>
      <c r="B154" s="1">
        <v>0.3</v>
      </c>
      <c r="C154" s="1">
        <v>4.1666660000000002</v>
      </c>
      <c r="D154" s="1">
        <f t="shared" si="26"/>
        <v>0.12499998000000001</v>
      </c>
      <c r="E154" s="1">
        <v>20</v>
      </c>
      <c r="F154" s="1">
        <v>1.5</v>
      </c>
      <c r="G154" s="1">
        <v>75</v>
      </c>
      <c r="H154" s="1">
        <v>18.53857696</v>
      </c>
      <c r="J154" s="1">
        <f t="shared" si="27"/>
        <v>0.03</v>
      </c>
      <c r="K154" s="1">
        <f t="shared" si="28"/>
        <v>0.12499998000000001</v>
      </c>
      <c r="L154" s="1">
        <f t="shared" si="29"/>
        <v>2.9999999999999997E-4</v>
      </c>
      <c r="M154" s="1">
        <f t="shared" si="30"/>
        <v>0.4467344038629526</v>
      </c>
      <c r="N154" s="1">
        <f t="shared" si="31"/>
        <v>2.0833333333333332E-2</v>
      </c>
      <c r="O154" s="1">
        <v>370</v>
      </c>
      <c r="P154" s="1">
        <v>3</v>
      </c>
      <c r="Q154" s="1">
        <v>4148</v>
      </c>
      <c r="R154" s="1">
        <f>[1]!HeatTransferArea(J154,D154,0.36,L154)</f>
        <v>1.1309731743365889</v>
      </c>
      <c r="S154" s="1">
        <f>[1]!Convection(J154,N154,1000,9*10^-4,L154,0.6,0.36,7)</f>
        <v>33621.401051203255</v>
      </c>
      <c r="U154" s="1">
        <f t="shared" si="32"/>
        <v>0.17427100348585695</v>
      </c>
      <c r="V154" s="1">
        <f t="shared" si="33"/>
        <v>2.1114858108108653E-5</v>
      </c>
      <c r="W154" s="1">
        <f t="shared" si="34"/>
        <v>1.2162162162162162E-6</v>
      </c>
      <c r="X154" s="1">
        <f t="shared" si="35"/>
        <v>4.1666660000000002</v>
      </c>
      <c r="Y154" s="1">
        <f t="shared" si="36"/>
        <v>153.36481264090892</v>
      </c>
      <c r="Z154" s="1">
        <f t="shared" si="37"/>
        <v>6.666666666666667</v>
      </c>
      <c r="AA154" s="1">
        <f t="shared" si="38"/>
        <v>2.4923713867070301E-2</v>
      </c>
    </row>
    <row r="155" spans="1:27" x14ac:dyDescent="0.25">
      <c r="A155" s="1">
        <v>30</v>
      </c>
      <c r="B155" s="1">
        <v>0.4</v>
      </c>
      <c r="C155" s="1">
        <v>2.5</v>
      </c>
      <c r="D155" s="1">
        <f t="shared" si="26"/>
        <v>7.4999999999999997E-2</v>
      </c>
      <c r="E155" s="1">
        <v>15</v>
      </c>
      <c r="F155" s="1">
        <v>0.5</v>
      </c>
      <c r="G155" s="1">
        <v>75</v>
      </c>
      <c r="H155" s="1">
        <v>9.1229263399999994</v>
      </c>
      <c r="J155" s="1">
        <f t="shared" si="27"/>
        <v>0.03</v>
      </c>
      <c r="K155" s="1">
        <f t="shared" si="28"/>
        <v>7.4999999999999997E-2</v>
      </c>
      <c r="L155" s="1">
        <f t="shared" si="29"/>
        <v>4.0000000000000002E-4</v>
      </c>
      <c r="M155" s="1">
        <f t="shared" si="30"/>
        <v>0.26804068520428115</v>
      </c>
      <c r="N155" s="1">
        <f t="shared" si="31"/>
        <v>2.0833333333333332E-2</v>
      </c>
      <c r="O155" s="1">
        <v>370</v>
      </c>
      <c r="P155" s="1">
        <v>3</v>
      </c>
      <c r="Q155" s="1">
        <v>4148</v>
      </c>
      <c r="R155" s="1">
        <f>[1]!HeatTransferArea(J155,D155,0.36,L155)</f>
        <v>0.50893800988154647</v>
      </c>
      <c r="S155" s="1">
        <f>[1]!Convection(J155,N155,1000,9*10^-4,L155,0.6,0.36,7)</f>
        <v>25382.356203397117</v>
      </c>
      <c r="U155" s="1">
        <f t="shared" si="32"/>
        <v>0.87135487801248224</v>
      </c>
      <c r="V155" s="1">
        <f t="shared" si="33"/>
        <v>2.5337837837837837E-6</v>
      </c>
      <c r="W155" s="1">
        <f t="shared" si="34"/>
        <v>4.0540540540540541E-7</v>
      </c>
      <c r="X155" s="1">
        <f t="shared" si="35"/>
        <v>2.5</v>
      </c>
      <c r="Y155" s="1">
        <f t="shared" si="36"/>
        <v>260.50998498183839</v>
      </c>
      <c r="Z155" s="1">
        <f t="shared" si="37"/>
        <v>5</v>
      </c>
      <c r="AA155" s="1">
        <f t="shared" si="38"/>
        <v>6.1325410747213586E-2</v>
      </c>
    </row>
    <row r="156" spans="1:27" x14ac:dyDescent="0.25">
      <c r="A156" s="1">
        <v>30</v>
      </c>
      <c r="B156" s="1">
        <v>0.4</v>
      </c>
      <c r="C156" s="1">
        <v>2.5</v>
      </c>
      <c r="D156" s="1">
        <f t="shared" si="26"/>
        <v>7.4999999999999997E-2</v>
      </c>
      <c r="E156" s="1">
        <v>15</v>
      </c>
      <c r="F156" s="1">
        <v>1</v>
      </c>
      <c r="G156" s="1">
        <v>75</v>
      </c>
      <c r="H156" s="1">
        <v>27.613682950000001</v>
      </c>
      <c r="J156" s="1">
        <f t="shared" si="27"/>
        <v>0.03</v>
      </c>
      <c r="K156" s="1">
        <f t="shared" si="28"/>
        <v>7.4999999999999997E-2</v>
      </c>
      <c r="L156" s="1">
        <f t="shared" si="29"/>
        <v>4.0000000000000002E-4</v>
      </c>
      <c r="M156" s="1">
        <f t="shared" si="30"/>
        <v>0.26804068520428115</v>
      </c>
      <c r="N156" s="1">
        <f t="shared" si="31"/>
        <v>2.0833333333333332E-2</v>
      </c>
      <c r="O156" s="1">
        <v>370</v>
      </c>
      <c r="P156" s="1">
        <v>3</v>
      </c>
      <c r="Q156" s="1">
        <v>4148</v>
      </c>
      <c r="R156" s="1">
        <f>[1]!HeatTransferArea(J156,D156,0.36,L156)</f>
        <v>0.50893800988154647</v>
      </c>
      <c r="S156" s="1">
        <f>[1]!Convection(J156,N156,1000,9*10^-4,L156,0.6,0.36,7)</f>
        <v>25382.356203397117</v>
      </c>
      <c r="U156" s="1">
        <f t="shared" si="32"/>
        <v>0.43567743900624112</v>
      </c>
      <c r="V156" s="1">
        <f t="shared" si="33"/>
        <v>5.0675675675675673E-6</v>
      </c>
      <c r="W156" s="1">
        <f t="shared" si="34"/>
        <v>8.1081081081081082E-7</v>
      </c>
      <c r="X156" s="1">
        <f t="shared" si="35"/>
        <v>2.5</v>
      </c>
      <c r="Y156" s="1">
        <f t="shared" si="36"/>
        <v>130.25499249091919</v>
      </c>
      <c r="Z156" s="1">
        <f t="shared" si="37"/>
        <v>5</v>
      </c>
      <c r="AA156" s="1">
        <f t="shared" si="38"/>
        <v>9.28112529927584E-2</v>
      </c>
    </row>
    <row r="157" spans="1:27" x14ac:dyDescent="0.25">
      <c r="A157" s="1">
        <v>30</v>
      </c>
      <c r="B157" s="1">
        <v>0.4</v>
      </c>
      <c r="C157" s="1">
        <v>2.5</v>
      </c>
      <c r="D157" s="1">
        <f t="shared" si="26"/>
        <v>7.4999999999999997E-2</v>
      </c>
      <c r="E157" s="1">
        <v>15</v>
      </c>
      <c r="F157" s="1">
        <v>1.5</v>
      </c>
      <c r="G157" s="1">
        <v>75</v>
      </c>
      <c r="H157" s="1">
        <v>28.663402749999999</v>
      </c>
      <c r="J157" s="1">
        <f t="shared" si="27"/>
        <v>0.03</v>
      </c>
      <c r="K157" s="1">
        <f t="shared" si="28"/>
        <v>7.4999999999999997E-2</v>
      </c>
      <c r="L157" s="1">
        <f t="shared" si="29"/>
        <v>4.0000000000000002E-4</v>
      </c>
      <c r="M157" s="1">
        <f t="shared" si="30"/>
        <v>0.26804068520428115</v>
      </c>
      <c r="N157" s="1">
        <f t="shared" si="31"/>
        <v>2.0833333333333332E-2</v>
      </c>
      <c r="O157" s="1">
        <v>370</v>
      </c>
      <c r="P157" s="1">
        <v>3</v>
      </c>
      <c r="Q157" s="1">
        <v>4148</v>
      </c>
      <c r="R157" s="1">
        <f>[1]!HeatTransferArea(J157,D157,0.36,L157)</f>
        <v>0.50893800988154647</v>
      </c>
      <c r="S157" s="1">
        <f>[1]!Convection(J157,N157,1000,9*10^-4,L157,0.6,0.36,7)</f>
        <v>25382.356203397117</v>
      </c>
      <c r="U157" s="1">
        <f t="shared" si="32"/>
        <v>0.29045162600416075</v>
      </c>
      <c r="V157" s="1">
        <f t="shared" si="33"/>
        <v>7.6013513513513518E-6</v>
      </c>
      <c r="W157" s="1">
        <f t="shared" si="34"/>
        <v>1.2162162162162162E-6</v>
      </c>
      <c r="X157" s="1">
        <f t="shared" si="35"/>
        <v>2.5</v>
      </c>
      <c r="Y157" s="1">
        <f t="shared" si="36"/>
        <v>86.836661660612791</v>
      </c>
      <c r="Z157" s="1">
        <f t="shared" si="37"/>
        <v>5</v>
      </c>
      <c r="AA157" s="1">
        <f t="shared" si="38"/>
        <v>6.4226283012919064E-2</v>
      </c>
    </row>
    <row r="158" spans="1:27" x14ac:dyDescent="0.25">
      <c r="A158" s="1">
        <v>30</v>
      </c>
      <c r="B158" s="1">
        <v>0.4</v>
      </c>
      <c r="C158" s="1">
        <v>2.5</v>
      </c>
      <c r="D158" s="1">
        <f t="shared" si="26"/>
        <v>7.4999999999999997E-2</v>
      </c>
      <c r="E158" s="1">
        <v>20</v>
      </c>
      <c r="F158" s="1">
        <v>0.5</v>
      </c>
      <c r="G158" s="1">
        <v>75</v>
      </c>
      <c r="H158" s="1">
        <v>-6.18861478</v>
      </c>
      <c r="J158" s="1">
        <f t="shared" si="27"/>
        <v>0.03</v>
      </c>
      <c r="K158" s="1">
        <f t="shared" si="28"/>
        <v>7.4999999999999997E-2</v>
      </c>
      <c r="L158" s="1">
        <f t="shared" si="29"/>
        <v>4.0000000000000002E-4</v>
      </c>
      <c r="M158" s="1">
        <f t="shared" si="30"/>
        <v>0.26804068520428115</v>
      </c>
      <c r="N158" s="1">
        <f t="shared" si="31"/>
        <v>2.0833333333333332E-2</v>
      </c>
      <c r="O158" s="1">
        <v>370</v>
      </c>
      <c r="P158" s="1">
        <v>3</v>
      </c>
      <c r="Q158" s="1">
        <v>4148</v>
      </c>
      <c r="R158" s="1">
        <f>[1]!HeatTransferArea(J158,D158,0.36,L158)</f>
        <v>0.50893800988154647</v>
      </c>
      <c r="S158" s="1">
        <f>[1]!Convection(J158,N158,1000,9*10^-4,L158,0.6,0.36,7)</f>
        <v>25382.356203397117</v>
      </c>
      <c r="U158" s="1">
        <f t="shared" si="32"/>
        <v>0.87135487801248224</v>
      </c>
      <c r="V158" s="1">
        <f t="shared" si="33"/>
        <v>2.5337837837837837E-6</v>
      </c>
      <c r="W158" s="1">
        <f t="shared" si="34"/>
        <v>4.0540540540540541E-7</v>
      </c>
      <c r="X158" s="1">
        <f t="shared" si="35"/>
        <v>2.5</v>
      </c>
      <c r="Y158" s="1">
        <f t="shared" si="36"/>
        <v>260.50998498183839</v>
      </c>
      <c r="Z158" s="1">
        <f t="shared" si="37"/>
        <v>6.666666666666667</v>
      </c>
      <c r="AA158" s="1">
        <f t="shared" si="38"/>
        <v>-4.1600614670728217E-2</v>
      </c>
    </row>
    <row r="159" spans="1:27" x14ac:dyDescent="0.25">
      <c r="A159" s="1">
        <v>30</v>
      </c>
      <c r="B159" s="1">
        <v>0.4</v>
      </c>
      <c r="C159" s="1">
        <v>2.5</v>
      </c>
      <c r="D159" s="1">
        <f t="shared" si="26"/>
        <v>7.4999999999999997E-2</v>
      </c>
      <c r="E159" s="1">
        <v>20</v>
      </c>
      <c r="F159" s="1">
        <v>1</v>
      </c>
      <c r="G159" s="1">
        <v>75</v>
      </c>
      <c r="H159" s="1">
        <v>16.33190067</v>
      </c>
      <c r="J159" s="1">
        <f t="shared" si="27"/>
        <v>0.03</v>
      </c>
      <c r="K159" s="1">
        <f t="shared" si="28"/>
        <v>7.4999999999999997E-2</v>
      </c>
      <c r="L159" s="1">
        <f t="shared" si="29"/>
        <v>4.0000000000000002E-4</v>
      </c>
      <c r="M159" s="1">
        <f t="shared" si="30"/>
        <v>0.26804068520428115</v>
      </c>
      <c r="N159" s="1">
        <f t="shared" si="31"/>
        <v>2.0833333333333332E-2</v>
      </c>
      <c r="O159" s="1">
        <v>370</v>
      </c>
      <c r="P159" s="1">
        <v>3</v>
      </c>
      <c r="Q159" s="1">
        <v>4148</v>
      </c>
      <c r="R159" s="1">
        <f>[1]!HeatTransferArea(J159,D159,0.36,L159)</f>
        <v>0.50893800988154647</v>
      </c>
      <c r="S159" s="1">
        <f>[1]!Convection(J159,N159,1000,9*10^-4,L159,0.6,0.36,7)</f>
        <v>25382.356203397117</v>
      </c>
      <c r="U159" s="1">
        <f t="shared" si="32"/>
        <v>0.43567743900624112</v>
      </c>
      <c r="V159" s="1">
        <f t="shared" si="33"/>
        <v>5.0675675675675673E-6</v>
      </c>
      <c r="W159" s="1">
        <f t="shared" si="34"/>
        <v>8.1081081081081082E-7</v>
      </c>
      <c r="X159" s="1">
        <f t="shared" si="35"/>
        <v>2.5</v>
      </c>
      <c r="Y159" s="1">
        <f t="shared" si="36"/>
        <v>130.25499249091919</v>
      </c>
      <c r="Z159" s="1">
        <f t="shared" si="37"/>
        <v>6.666666666666667</v>
      </c>
      <c r="AA159" s="1">
        <f t="shared" si="38"/>
        <v>5.4892502665457386E-2</v>
      </c>
    </row>
    <row r="160" spans="1:27" x14ac:dyDescent="0.25">
      <c r="A160" s="1">
        <v>30</v>
      </c>
      <c r="B160" s="1">
        <v>0.4</v>
      </c>
      <c r="C160" s="1">
        <v>2.5</v>
      </c>
      <c r="D160" s="1">
        <f t="shared" si="26"/>
        <v>7.4999999999999997E-2</v>
      </c>
      <c r="E160" s="1">
        <v>20</v>
      </c>
      <c r="F160" s="1">
        <v>1.5</v>
      </c>
      <c r="G160" s="1">
        <v>75</v>
      </c>
      <c r="H160" s="1">
        <v>17.963969769999999</v>
      </c>
      <c r="J160" s="1">
        <f t="shared" si="27"/>
        <v>0.03</v>
      </c>
      <c r="K160" s="1">
        <f t="shared" si="28"/>
        <v>7.4999999999999997E-2</v>
      </c>
      <c r="L160" s="1">
        <f t="shared" si="29"/>
        <v>4.0000000000000002E-4</v>
      </c>
      <c r="M160" s="1">
        <f t="shared" si="30"/>
        <v>0.26804068520428115</v>
      </c>
      <c r="N160" s="1">
        <f t="shared" si="31"/>
        <v>2.0833333333333332E-2</v>
      </c>
      <c r="O160" s="1">
        <v>370</v>
      </c>
      <c r="P160" s="1">
        <v>3</v>
      </c>
      <c r="Q160" s="1">
        <v>4148</v>
      </c>
      <c r="R160" s="1">
        <f>[1]!HeatTransferArea(J160,D160,0.36,L160)</f>
        <v>0.50893800988154647</v>
      </c>
      <c r="S160" s="1">
        <f>[1]!Convection(J160,N160,1000,9*10^-4,L160,0.6,0.36,7)</f>
        <v>25382.356203397117</v>
      </c>
      <c r="U160" s="1">
        <f t="shared" si="32"/>
        <v>0.29045162600416075</v>
      </c>
      <c r="V160" s="1">
        <f t="shared" si="33"/>
        <v>7.6013513513513518E-6</v>
      </c>
      <c r="W160" s="1">
        <f t="shared" si="34"/>
        <v>1.2162162162162162E-6</v>
      </c>
      <c r="X160" s="1">
        <f t="shared" si="35"/>
        <v>2.5</v>
      </c>
      <c r="Y160" s="1">
        <f t="shared" si="36"/>
        <v>86.836661660612791</v>
      </c>
      <c r="Z160" s="1">
        <f t="shared" si="37"/>
        <v>6.666666666666667</v>
      </c>
      <c r="AA160" s="1">
        <f t="shared" si="38"/>
        <v>4.0251990196228271E-2</v>
      </c>
    </row>
    <row r="161" spans="1:27" x14ac:dyDescent="0.25">
      <c r="A161" s="1">
        <v>30</v>
      </c>
      <c r="B161" s="1">
        <v>0.4</v>
      </c>
      <c r="C161" s="1">
        <v>3.3333330000000001</v>
      </c>
      <c r="D161" s="1">
        <f t="shared" si="26"/>
        <v>9.9999989999999997E-2</v>
      </c>
      <c r="E161" s="1">
        <v>15</v>
      </c>
      <c r="F161" s="1">
        <v>0.5</v>
      </c>
      <c r="G161" s="1">
        <v>75</v>
      </c>
      <c r="H161" s="1">
        <v>23.754516379999998</v>
      </c>
      <c r="J161" s="1">
        <f t="shared" si="27"/>
        <v>0.03</v>
      </c>
      <c r="K161" s="1">
        <f t="shared" si="28"/>
        <v>9.9999989999999997E-2</v>
      </c>
      <c r="L161" s="1">
        <f t="shared" si="29"/>
        <v>4.0000000000000002E-4</v>
      </c>
      <c r="M161" s="1">
        <f t="shared" si="30"/>
        <v>0.35738754453361682</v>
      </c>
      <c r="N161" s="1">
        <f t="shared" si="31"/>
        <v>2.0833333333333332E-2</v>
      </c>
      <c r="O161" s="1">
        <v>370</v>
      </c>
      <c r="P161" s="1">
        <v>3</v>
      </c>
      <c r="Q161" s="1">
        <v>4148</v>
      </c>
      <c r="R161" s="1">
        <f>[1]!HeatTransferArea(J161,D161,0.36,L161)</f>
        <v>0.67858394531699395</v>
      </c>
      <c r="S161" s="1">
        <f>[1]!Convection(J161,N161,1000,9*10^-4,L161,0.6,0.36,7)</f>
        <v>25382.356203397117</v>
      </c>
      <c r="U161" s="1">
        <f t="shared" si="32"/>
        <v>0.65351622386098396</v>
      </c>
      <c r="V161" s="1">
        <f t="shared" si="33"/>
        <v>4.5045036036036485E-6</v>
      </c>
      <c r="W161" s="1">
        <f t="shared" si="34"/>
        <v>4.0540540540540541E-7</v>
      </c>
      <c r="X161" s="1">
        <f t="shared" si="35"/>
        <v>3.3333330000000001</v>
      </c>
      <c r="Y161" s="1">
        <f t="shared" si="36"/>
        <v>260.50998498183833</v>
      </c>
      <c r="Z161" s="1">
        <f t="shared" si="37"/>
        <v>5</v>
      </c>
      <c r="AA161" s="1">
        <f t="shared" si="38"/>
        <v>0.11976055424726319</v>
      </c>
    </row>
    <row r="162" spans="1:27" x14ac:dyDescent="0.25">
      <c r="A162" s="1">
        <v>30</v>
      </c>
      <c r="B162" s="1">
        <v>0.4</v>
      </c>
      <c r="C162" s="1">
        <v>3.3333330000000001</v>
      </c>
      <c r="D162" s="1">
        <f t="shared" si="26"/>
        <v>9.9999989999999997E-2</v>
      </c>
      <c r="E162" s="1">
        <v>15</v>
      </c>
      <c r="F162" s="1">
        <v>1</v>
      </c>
      <c r="G162" s="1">
        <v>75</v>
      </c>
      <c r="H162" s="1">
        <v>28.381494700000001</v>
      </c>
      <c r="J162" s="1">
        <f t="shared" si="27"/>
        <v>0.03</v>
      </c>
      <c r="K162" s="1">
        <f t="shared" si="28"/>
        <v>9.9999989999999997E-2</v>
      </c>
      <c r="L162" s="1">
        <f t="shared" si="29"/>
        <v>4.0000000000000002E-4</v>
      </c>
      <c r="M162" s="1">
        <f t="shared" si="30"/>
        <v>0.35738754453361682</v>
      </c>
      <c r="N162" s="1">
        <f t="shared" si="31"/>
        <v>2.0833333333333332E-2</v>
      </c>
      <c r="O162" s="1">
        <v>370</v>
      </c>
      <c r="P162" s="1">
        <v>3</v>
      </c>
      <c r="Q162" s="1">
        <v>4148</v>
      </c>
      <c r="R162" s="1">
        <f>[1]!HeatTransferArea(J162,D162,0.36,L162)</f>
        <v>0.67858394531699395</v>
      </c>
      <c r="S162" s="1">
        <f>[1]!Convection(J162,N162,1000,9*10^-4,L162,0.6,0.36,7)</f>
        <v>25382.356203397117</v>
      </c>
      <c r="U162" s="1">
        <f t="shared" si="32"/>
        <v>0.32675811193049198</v>
      </c>
      <c r="V162" s="1">
        <f t="shared" si="33"/>
        <v>9.009007207207297E-6</v>
      </c>
      <c r="W162" s="1">
        <f t="shared" si="34"/>
        <v>8.1081081081081082E-7</v>
      </c>
      <c r="X162" s="1">
        <f t="shared" si="35"/>
        <v>3.3333330000000001</v>
      </c>
      <c r="Y162" s="1">
        <f t="shared" si="36"/>
        <v>130.25499249091916</v>
      </c>
      <c r="Z162" s="1">
        <f t="shared" si="37"/>
        <v>5</v>
      </c>
      <c r="AA162" s="1">
        <f t="shared" si="38"/>
        <v>7.1543943081483249E-2</v>
      </c>
    </row>
    <row r="163" spans="1:27" x14ac:dyDescent="0.25">
      <c r="A163" s="1">
        <v>30</v>
      </c>
      <c r="B163" s="1">
        <v>0.4</v>
      </c>
      <c r="C163" s="1">
        <v>3.3333330000000001</v>
      </c>
      <c r="D163" s="1">
        <f t="shared" si="26"/>
        <v>9.9999989999999997E-2</v>
      </c>
      <c r="E163" s="1">
        <v>15</v>
      </c>
      <c r="F163" s="1">
        <v>1.5</v>
      </c>
      <c r="G163" s="1">
        <v>75</v>
      </c>
      <c r="H163" s="1">
        <v>28.65762024</v>
      </c>
      <c r="J163" s="1">
        <f t="shared" si="27"/>
        <v>0.03</v>
      </c>
      <c r="K163" s="1">
        <f t="shared" si="28"/>
        <v>9.9999989999999997E-2</v>
      </c>
      <c r="L163" s="1">
        <f t="shared" si="29"/>
        <v>4.0000000000000002E-4</v>
      </c>
      <c r="M163" s="1">
        <f t="shared" si="30"/>
        <v>0.35738754453361682</v>
      </c>
      <c r="N163" s="1">
        <f t="shared" si="31"/>
        <v>2.0833333333333332E-2</v>
      </c>
      <c r="O163" s="1">
        <v>370</v>
      </c>
      <c r="P163" s="1">
        <v>3</v>
      </c>
      <c r="Q163" s="1">
        <v>4148</v>
      </c>
      <c r="R163" s="1">
        <f>[1]!HeatTransferArea(J163,D163,0.36,L163)</f>
        <v>0.67858394531699395</v>
      </c>
      <c r="S163" s="1">
        <f>[1]!Convection(J163,N163,1000,9*10^-4,L163,0.6,0.36,7)</f>
        <v>25382.356203397117</v>
      </c>
      <c r="U163" s="1">
        <f t="shared" si="32"/>
        <v>0.21783874128699468</v>
      </c>
      <c r="V163" s="1">
        <f t="shared" si="33"/>
        <v>1.3513510810810946E-5</v>
      </c>
      <c r="W163" s="1">
        <f t="shared" si="34"/>
        <v>1.2162162162162162E-6</v>
      </c>
      <c r="X163" s="1">
        <f t="shared" si="35"/>
        <v>3.3333330000000001</v>
      </c>
      <c r="Y163" s="1">
        <f t="shared" si="36"/>
        <v>86.836661660612776</v>
      </c>
      <c r="Z163" s="1">
        <f t="shared" si="37"/>
        <v>5</v>
      </c>
      <c r="AA163" s="1">
        <f t="shared" si="38"/>
        <v>4.8159999393344671E-2</v>
      </c>
    </row>
    <row r="164" spans="1:27" x14ac:dyDescent="0.25">
      <c r="A164" s="1">
        <v>30</v>
      </c>
      <c r="B164" s="1">
        <v>0.4</v>
      </c>
      <c r="C164" s="1">
        <v>3.3333330000000001</v>
      </c>
      <c r="D164" s="1">
        <f t="shared" si="26"/>
        <v>9.9999989999999997E-2</v>
      </c>
      <c r="E164" s="1">
        <v>20</v>
      </c>
      <c r="F164" s="1">
        <v>0.5</v>
      </c>
      <c r="G164" s="1">
        <v>75</v>
      </c>
      <c r="H164" s="1">
        <v>11.613576180000001</v>
      </c>
      <c r="J164" s="1">
        <f t="shared" si="27"/>
        <v>0.03</v>
      </c>
      <c r="K164" s="1">
        <f t="shared" si="28"/>
        <v>9.9999989999999997E-2</v>
      </c>
      <c r="L164" s="1">
        <f t="shared" si="29"/>
        <v>4.0000000000000002E-4</v>
      </c>
      <c r="M164" s="1">
        <f t="shared" si="30"/>
        <v>0.35738754453361682</v>
      </c>
      <c r="N164" s="1">
        <f t="shared" si="31"/>
        <v>2.0833333333333332E-2</v>
      </c>
      <c r="O164" s="1">
        <v>370</v>
      </c>
      <c r="P164" s="1">
        <v>3</v>
      </c>
      <c r="Q164" s="1">
        <v>4148</v>
      </c>
      <c r="R164" s="1">
        <f>[1]!HeatTransferArea(J164,D164,0.36,L164)</f>
        <v>0.67858394531699395</v>
      </c>
      <c r="S164" s="1">
        <f>[1]!Convection(J164,N164,1000,9*10^-4,L164,0.6,0.36,7)</f>
        <v>25382.356203397117</v>
      </c>
      <c r="U164" s="1">
        <f t="shared" si="32"/>
        <v>0.65351622386098396</v>
      </c>
      <c r="V164" s="1">
        <f t="shared" si="33"/>
        <v>4.5045036036036485E-6</v>
      </c>
      <c r="W164" s="1">
        <f t="shared" si="34"/>
        <v>4.0540540540540541E-7</v>
      </c>
      <c r="X164" s="1">
        <f t="shared" si="35"/>
        <v>3.3333330000000001</v>
      </c>
      <c r="Y164" s="1">
        <f t="shared" si="36"/>
        <v>260.50998498183833</v>
      </c>
      <c r="Z164" s="1">
        <f t="shared" si="37"/>
        <v>6.666666666666667</v>
      </c>
      <c r="AA164" s="1">
        <f t="shared" si="38"/>
        <v>5.8550900294507019E-2</v>
      </c>
    </row>
    <row r="165" spans="1:27" x14ac:dyDescent="0.25">
      <c r="A165" s="1">
        <v>30</v>
      </c>
      <c r="B165" s="1">
        <v>0.4</v>
      </c>
      <c r="C165" s="1">
        <v>3.3333330000000001</v>
      </c>
      <c r="D165" s="1">
        <f t="shared" si="26"/>
        <v>9.9999989999999997E-2</v>
      </c>
      <c r="E165" s="1">
        <v>20</v>
      </c>
      <c r="F165" s="1">
        <v>1</v>
      </c>
      <c r="G165" s="1">
        <v>75</v>
      </c>
      <c r="H165" s="1">
        <v>17.78298594</v>
      </c>
      <c r="J165" s="1">
        <f t="shared" si="27"/>
        <v>0.03</v>
      </c>
      <c r="K165" s="1">
        <f t="shared" si="28"/>
        <v>9.9999989999999997E-2</v>
      </c>
      <c r="L165" s="1">
        <f t="shared" si="29"/>
        <v>4.0000000000000002E-4</v>
      </c>
      <c r="M165" s="1">
        <f t="shared" si="30"/>
        <v>0.35738754453361682</v>
      </c>
      <c r="N165" s="1">
        <f t="shared" si="31"/>
        <v>2.0833333333333332E-2</v>
      </c>
      <c r="O165" s="1">
        <v>370</v>
      </c>
      <c r="P165" s="1">
        <v>3</v>
      </c>
      <c r="Q165" s="1">
        <v>4148</v>
      </c>
      <c r="R165" s="1">
        <f>[1]!HeatTransferArea(J165,D165,0.36,L165)</f>
        <v>0.67858394531699395</v>
      </c>
      <c r="S165" s="1">
        <f>[1]!Convection(J165,N165,1000,9*10^-4,L165,0.6,0.36,7)</f>
        <v>25382.356203397117</v>
      </c>
      <c r="U165" s="1">
        <f t="shared" si="32"/>
        <v>0.32675811193049198</v>
      </c>
      <c r="V165" s="1">
        <f t="shared" si="33"/>
        <v>9.009007207207297E-6</v>
      </c>
      <c r="W165" s="1">
        <f t="shared" si="34"/>
        <v>8.1081081081081082E-7</v>
      </c>
      <c r="X165" s="1">
        <f t="shared" si="35"/>
        <v>3.3333330000000001</v>
      </c>
      <c r="Y165" s="1">
        <f t="shared" si="36"/>
        <v>130.25499249091916</v>
      </c>
      <c r="Z165" s="1">
        <f t="shared" si="37"/>
        <v>6.666666666666667</v>
      </c>
      <c r="AA165" s="1">
        <f t="shared" si="38"/>
        <v>4.4827270281511171E-2</v>
      </c>
    </row>
    <row r="166" spans="1:27" x14ac:dyDescent="0.25">
      <c r="A166" s="1">
        <v>30</v>
      </c>
      <c r="B166" s="1">
        <v>0.4</v>
      </c>
      <c r="C166" s="1">
        <v>3.3333330000000001</v>
      </c>
      <c r="D166" s="1">
        <f t="shared" si="26"/>
        <v>9.9999989999999997E-2</v>
      </c>
      <c r="E166" s="1">
        <v>20</v>
      </c>
      <c r="F166" s="1">
        <v>1.5</v>
      </c>
      <c r="G166" s="1">
        <v>75</v>
      </c>
      <c r="H166" s="1">
        <v>18.41744877</v>
      </c>
      <c r="J166" s="1">
        <f t="shared" si="27"/>
        <v>0.03</v>
      </c>
      <c r="K166" s="1">
        <f t="shared" si="28"/>
        <v>9.9999989999999997E-2</v>
      </c>
      <c r="L166" s="1">
        <f t="shared" si="29"/>
        <v>4.0000000000000002E-4</v>
      </c>
      <c r="M166" s="1">
        <f t="shared" si="30"/>
        <v>0.35738754453361682</v>
      </c>
      <c r="N166" s="1">
        <f t="shared" si="31"/>
        <v>2.0833333333333332E-2</v>
      </c>
      <c r="O166" s="1">
        <v>370</v>
      </c>
      <c r="P166" s="1">
        <v>3</v>
      </c>
      <c r="Q166" s="1">
        <v>4148</v>
      </c>
      <c r="R166" s="1">
        <f>[1]!HeatTransferArea(J166,D166,0.36,L166)</f>
        <v>0.67858394531699395</v>
      </c>
      <c r="S166" s="1">
        <f>[1]!Convection(J166,N166,1000,9*10^-4,L166,0.6,0.36,7)</f>
        <v>25382.356203397117</v>
      </c>
      <c r="U166" s="1">
        <f t="shared" si="32"/>
        <v>0.21783874128699468</v>
      </c>
      <c r="V166" s="1">
        <f t="shared" si="33"/>
        <v>1.3513510810810946E-5</v>
      </c>
      <c r="W166" s="1">
        <f t="shared" si="34"/>
        <v>1.2162162162162162E-6</v>
      </c>
      <c r="X166" s="1">
        <f t="shared" si="35"/>
        <v>3.3333330000000001</v>
      </c>
      <c r="Y166" s="1">
        <f t="shared" si="36"/>
        <v>86.836661660612776</v>
      </c>
      <c r="Z166" s="1">
        <f t="shared" si="37"/>
        <v>6.666666666666667</v>
      </c>
      <c r="AA166" s="1">
        <f t="shared" si="38"/>
        <v>3.0951080870005854E-2</v>
      </c>
    </row>
    <row r="167" spans="1:27" x14ac:dyDescent="0.25">
      <c r="A167" s="1">
        <v>30</v>
      </c>
      <c r="B167" s="1">
        <v>0.4</v>
      </c>
      <c r="C167" s="1">
        <v>4.1666660000000002</v>
      </c>
      <c r="D167" s="1">
        <f t="shared" si="26"/>
        <v>0.12499998000000001</v>
      </c>
      <c r="E167" s="1">
        <v>15</v>
      </c>
      <c r="F167" s="1">
        <v>0.5</v>
      </c>
      <c r="G167" s="1">
        <v>75</v>
      </c>
      <c r="H167" s="1">
        <v>26.822093809999998</v>
      </c>
      <c r="J167" s="1">
        <f t="shared" si="27"/>
        <v>0.03</v>
      </c>
      <c r="K167" s="1">
        <f t="shared" si="28"/>
        <v>0.12499998000000001</v>
      </c>
      <c r="L167" s="1">
        <f t="shared" si="29"/>
        <v>4.0000000000000002E-4</v>
      </c>
      <c r="M167" s="1">
        <f t="shared" si="30"/>
        <v>0.4467344038629526</v>
      </c>
      <c r="N167" s="1">
        <f t="shared" si="31"/>
        <v>2.0833333333333332E-2</v>
      </c>
      <c r="O167" s="1">
        <v>370</v>
      </c>
      <c r="P167" s="1">
        <v>3</v>
      </c>
      <c r="Q167" s="1">
        <v>4148</v>
      </c>
      <c r="R167" s="1">
        <f>[1]!HeatTransferArea(J167,D167,0.36,L167)</f>
        <v>0.84822988075244155</v>
      </c>
      <c r="S167" s="1">
        <f>[1]!Convection(J167,N167,1000,9*10^-4,L167,0.6,0.36,7)</f>
        <v>25382.356203397117</v>
      </c>
      <c r="U167" s="1">
        <f t="shared" si="32"/>
        <v>0.52281301045757089</v>
      </c>
      <c r="V167" s="1">
        <f t="shared" si="33"/>
        <v>7.038286036036218E-6</v>
      </c>
      <c r="W167" s="1">
        <f t="shared" si="34"/>
        <v>4.0540540540540541E-7</v>
      </c>
      <c r="X167" s="1">
        <f t="shared" si="35"/>
        <v>4.1666660000000002</v>
      </c>
      <c r="Y167" s="1">
        <f t="shared" si="36"/>
        <v>260.50998498183827</v>
      </c>
      <c r="Z167" s="1">
        <f t="shared" si="37"/>
        <v>5</v>
      </c>
      <c r="AA167" s="1">
        <f t="shared" si="38"/>
        <v>0.1081808263188542</v>
      </c>
    </row>
    <row r="168" spans="1:27" x14ac:dyDescent="0.25">
      <c r="A168" s="1">
        <v>30</v>
      </c>
      <c r="B168" s="1">
        <v>0.4</v>
      </c>
      <c r="C168" s="1">
        <v>4.1666660000000002</v>
      </c>
      <c r="D168" s="1">
        <f t="shared" si="26"/>
        <v>0.12499998000000001</v>
      </c>
      <c r="E168" s="1">
        <v>15</v>
      </c>
      <c r="F168" s="1">
        <v>1</v>
      </c>
      <c r="G168" s="1">
        <v>75</v>
      </c>
      <c r="H168" s="1">
        <v>28.37684071</v>
      </c>
      <c r="J168" s="1">
        <f t="shared" si="27"/>
        <v>0.03</v>
      </c>
      <c r="K168" s="1">
        <f t="shared" si="28"/>
        <v>0.12499998000000001</v>
      </c>
      <c r="L168" s="1">
        <f t="shared" si="29"/>
        <v>4.0000000000000002E-4</v>
      </c>
      <c r="M168" s="1">
        <f t="shared" si="30"/>
        <v>0.4467344038629526</v>
      </c>
      <c r="N168" s="1">
        <f t="shared" si="31"/>
        <v>2.0833333333333332E-2</v>
      </c>
      <c r="O168" s="1">
        <v>370</v>
      </c>
      <c r="P168" s="1">
        <v>3</v>
      </c>
      <c r="Q168" s="1">
        <v>4148</v>
      </c>
      <c r="R168" s="1">
        <f>[1]!HeatTransferArea(J168,D168,0.36,L168)</f>
        <v>0.84822988075244155</v>
      </c>
      <c r="S168" s="1">
        <f>[1]!Convection(J168,N168,1000,9*10^-4,L168,0.6,0.36,7)</f>
        <v>25382.356203397117</v>
      </c>
      <c r="U168" s="1">
        <f t="shared" si="32"/>
        <v>0.26140650522878545</v>
      </c>
      <c r="V168" s="1">
        <f t="shared" si="33"/>
        <v>1.4076572072072436E-5</v>
      </c>
      <c r="W168" s="1">
        <f t="shared" si="34"/>
        <v>8.1081081081081082E-7</v>
      </c>
      <c r="X168" s="1">
        <f t="shared" si="35"/>
        <v>4.1666660000000002</v>
      </c>
      <c r="Y168" s="1">
        <f t="shared" si="36"/>
        <v>130.25499249091914</v>
      </c>
      <c r="Z168" s="1">
        <f t="shared" si="37"/>
        <v>5</v>
      </c>
      <c r="AA168" s="1">
        <f t="shared" si="38"/>
        <v>5.722577249323068E-2</v>
      </c>
    </row>
    <row r="169" spans="1:27" x14ac:dyDescent="0.25">
      <c r="A169" s="1">
        <v>30</v>
      </c>
      <c r="B169" s="1">
        <v>0.4</v>
      </c>
      <c r="C169" s="1">
        <v>4.1666660000000002</v>
      </c>
      <c r="D169" s="1">
        <f t="shared" si="26"/>
        <v>0.12499998000000001</v>
      </c>
      <c r="E169" s="1">
        <v>15</v>
      </c>
      <c r="F169" s="1">
        <v>1.5</v>
      </c>
      <c r="G169" s="1">
        <v>75</v>
      </c>
      <c r="H169" s="1">
        <v>28.449097399999999</v>
      </c>
      <c r="J169" s="1">
        <f t="shared" si="27"/>
        <v>0.03</v>
      </c>
      <c r="K169" s="1">
        <f t="shared" si="28"/>
        <v>0.12499998000000001</v>
      </c>
      <c r="L169" s="1">
        <f t="shared" si="29"/>
        <v>4.0000000000000002E-4</v>
      </c>
      <c r="M169" s="1">
        <f t="shared" si="30"/>
        <v>0.4467344038629526</v>
      </c>
      <c r="N169" s="1">
        <f t="shared" si="31"/>
        <v>2.0833333333333332E-2</v>
      </c>
      <c r="O169" s="1">
        <v>370</v>
      </c>
      <c r="P169" s="1">
        <v>3</v>
      </c>
      <c r="Q169" s="1">
        <v>4148</v>
      </c>
      <c r="R169" s="1">
        <f>[1]!HeatTransferArea(J169,D169,0.36,L169)</f>
        <v>0.84822988075244155</v>
      </c>
      <c r="S169" s="1">
        <f>[1]!Convection(J169,N169,1000,9*10^-4,L169,0.6,0.36,7)</f>
        <v>25382.356203397117</v>
      </c>
      <c r="U169" s="1">
        <f t="shared" si="32"/>
        <v>0.17427100348585695</v>
      </c>
      <c r="V169" s="1">
        <f t="shared" si="33"/>
        <v>2.1114858108108653E-5</v>
      </c>
      <c r="W169" s="1">
        <f t="shared" si="34"/>
        <v>1.2162162162162162E-6</v>
      </c>
      <c r="X169" s="1">
        <f t="shared" si="35"/>
        <v>4.1666660000000002</v>
      </c>
      <c r="Y169" s="1">
        <f t="shared" si="36"/>
        <v>86.836661660612776</v>
      </c>
      <c r="Z169" s="1">
        <f t="shared" si="37"/>
        <v>5</v>
      </c>
      <c r="AA169" s="1">
        <f t="shared" si="38"/>
        <v>3.8247658647366511E-2</v>
      </c>
    </row>
    <row r="170" spans="1:27" x14ac:dyDescent="0.25">
      <c r="A170" s="1">
        <v>30</v>
      </c>
      <c r="B170" s="1">
        <v>0.4</v>
      </c>
      <c r="C170" s="1">
        <v>4.1666660000000002</v>
      </c>
      <c r="D170" s="1">
        <f t="shared" si="26"/>
        <v>0.12499998000000001</v>
      </c>
      <c r="E170" s="1">
        <v>20</v>
      </c>
      <c r="F170" s="1">
        <v>0.5</v>
      </c>
      <c r="G170" s="1">
        <v>75</v>
      </c>
      <c r="H170" s="1">
        <v>15.58446958</v>
      </c>
      <c r="J170" s="1">
        <f t="shared" si="27"/>
        <v>0.03</v>
      </c>
      <c r="K170" s="1">
        <f t="shared" si="28"/>
        <v>0.12499998000000001</v>
      </c>
      <c r="L170" s="1">
        <f t="shared" si="29"/>
        <v>4.0000000000000002E-4</v>
      </c>
      <c r="M170" s="1">
        <f t="shared" si="30"/>
        <v>0.4467344038629526</v>
      </c>
      <c r="N170" s="1">
        <f t="shared" si="31"/>
        <v>2.0833333333333332E-2</v>
      </c>
      <c r="O170" s="1">
        <v>370</v>
      </c>
      <c r="P170" s="1">
        <v>3</v>
      </c>
      <c r="Q170" s="1">
        <v>4148</v>
      </c>
      <c r="R170" s="1">
        <f>[1]!HeatTransferArea(J170,D170,0.36,L170)</f>
        <v>0.84822988075244155</v>
      </c>
      <c r="S170" s="1">
        <f>[1]!Convection(J170,N170,1000,9*10^-4,L170,0.6,0.36,7)</f>
        <v>25382.356203397117</v>
      </c>
      <c r="U170" s="1">
        <f t="shared" si="32"/>
        <v>0.52281301045757089</v>
      </c>
      <c r="V170" s="1">
        <f t="shared" si="33"/>
        <v>7.038286036036218E-6</v>
      </c>
      <c r="W170" s="1">
        <f t="shared" si="34"/>
        <v>4.0540540540540541E-7</v>
      </c>
      <c r="X170" s="1">
        <f t="shared" si="35"/>
        <v>4.1666660000000002</v>
      </c>
      <c r="Y170" s="1">
        <f t="shared" si="36"/>
        <v>260.50998498183827</v>
      </c>
      <c r="Z170" s="1">
        <f t="shared" si="37"/>
        <v>6.666666666666667</v>
      </c>
      <c r="AA170" s="1">
        <f t="shared" si="38"/>
        <v>6.2856420115751099E-2</v>
      </c>
    </row>
    <row r="171" spans="1:27" x14ac:dyDescent="0.25">
      <c r="A171" s="1">
        <v>30</v>
      </c>
      <c r="B171" s="1">
        <v>0.4</v>
      </c>
      <c r="C171" s="1">
        <v>4.1666660000000002</v>
      </c>
      <c r="D171" s="1">
        <f t="shared" si="26"/>
        <v>0.12499998000000001</v>
      </c>
      <c r="E171" s="1">
        <v>20</v>
      </c>
      <c r="F171" s="1">
        <v>1</v>
      </c>
      <c r="G171" s="1">
        <v>75</v>
      </c>
      <c r="H171" s="1">
        <v>18.121976759999999</v>
      </c>
      <c r="J171" s="1">
        <f t="shared" si="27"/>
        <v>0.03</v>
      </c>
      <c r="K171" s="1">
        <f t="shared" si="28"/>
        <v>0.12499998000000001</v>
      </c>
      <c r="L171" s="1">
        <f t="shared" si="29"/>
        <v>4.0000000000000002E-4</v>
      </c>
      <c r="M171" s="1">
        <f t="shared" si="30"/>
        <v>0.4467344038629526</v>
      </c>
      <c r="N171" s="1">
        <f t="shared" si="31"/>
        <v>2.0833333333333332E-2</v>
      </c>
      <c r="O171" s="1">
        <v>370</v>
      </c>
      <c r="P171" s="1">
        <v>3</v>
      </c>
      <c r="Q171" s="1">
        <v>4148</v>
      </c>
      <c r="R171" s="1">
        <f>[1]!HeatTransferArea(J171,D171,0.36,L171)</f>
        <v>0.84822988075244155</v>
      </c>
      <c r="S171" s="1">
        <f>[1]!Convection(J171,N171,1000,9*10^-4,L171,0.6,0.36,7)</f>
        <v>25382.356203397117</v>
      </c>
      <c r="U171" s="1">
        <f t="shared" si="32"/>
        <v>0.26140650522878545</v>
      </c>
      <c r="V171" s="1">
        <f t="shared" si="33"/>
        <v>1.4076572072072436E-5</v>
      </c>
      <c r="W171" s="1">
        <f t="shared" si="34"/>
        <v>8.1081081081081082E-7</v>
      </c>
      <c r="X171" s="1">
        <f t="shared" si="35"/>
        <v>4.1666660000000002</v>
      </c>
      <c r="Y171" s="1">
        <f t="shared" si="36"/>
        <v>130.25499249091914</v>
      </c>
      <c r="Z171" s="1">
        <f t="shared" si="37"/>
        <v>6.666666666666667</v>
      </c>
      <c r="AA171" s="1">
        <f t="shared" si="38"/>
        <v>3.6545439634861086E-2</v>
      </c>
    </row>
    <row r="172" spans="1:27" x14ac:dyDescent="0.25">
      <c r="A172" s="1">
        <v>30</v>
      </c>
      <c r="B172" s="1">
        <v>0.4</v>
      </c>
      <c r="C172" s="1">
        <v>4.1666660000000002</v>
      </c>
      <c r="D172" s="1">
        <f t="shared" si="26"/>
        <v>0.12499998000000001</v>
      </c>
      <c r="E172" s="1">
        <v>20</v>
      </c>
      <c r="F172" s="1">
        <v>1.5</v>
      </c>
      <c r="G172" s="1">
        <v>75</v>
      </c>
      <c r="H172" s="1">
        <v>18.435874599999998</v>
      </c>
      <c r="J172" s="1">
        <f t="shared" si="27"/>
        <v>0.03</v>
      </c>
      <c r="K172" s="1">
        <f t="shared" si="28"/>
        <v>0.12499998000000001</v>
      </c>
      <c r="L172" s="1">
        <f t="shared" si="29"/>
        <v>4.0000000000000002E-4</v>
      </c>
      <c r="M172" s="1">
        <f t="shared" si="30"/>
        <v>0.4467344038629526</v>
      </c>
      <c r="N172" s="1">
        <f t="shared" si="31"/>
        <v>2.0833333333333332E-2</v>
      </c>
      <c r="O172" s="1">
        <v>370</v>
      </c>
      <c r="P172" s="1">
        <v>3</v>
      </c>
      <c r="Q172" s="1">
        <v>4148</v>
      </c>
      <c r="R172" s="1">
        <f>[1]!HeatTransferArea(J172,D172,0.36,L172)</f>
        <v>0.84822988075244155</v>
      </c>
      <c r="S172" s="1">
        <f>[1]!Convection(J172,N172,1000,9*10^-4,L172,0.6,0.36,7)</f>
        <v>25382.356203397117</v>
      </c>
      <c r="U172" s="1">
        <f t="shared" si="32"/>
        <v>0.17427100348585695</v>
      </c>
      <c r="V172" s="1">
        <f t="shared" si="33"/>
        <v>2.1114858108108653E-5</v>
      </c>
      <c r="W172" s="1">
        <f t="shared" si="34"/>
        <v>1.2162162162162162E-6</v>
      </c>
      <c r="X172" s="1">
        <f t="shared" si="35"/>
        <v>4.1666660000000002</v>
      </c>
      <c r="Y172" s="1">
        <f t="shared" si="36"/>
        <v>86.836661660612776</v>
      </c>
      <c r="Z172" s="1">
        <f t="shared" si="37"/>
        <v>6.666666666666667</v>
      </c>
      <c r="AA172" s="1">
        <f t="shared" si="38"/>
        <v>2.4785638315767959E-2</v>
      </c>
    </row>
    <row r="173" spans="1:27" x14ac:dyDescent="0.25">
      <c r="A173" s="1">
        <v>30</v>
      </c>
      <c r="B173" s="1">
        <v>0.5</v>
      </c>
      <c r="C173" s="1">
        <v>2.5</v>
      </c>
      <c r="D173" s="1">
        <f t="shared" si="26"/>
        <v>7.4999999999999997E-2</v>
      </c>
      <c r="E173" s="1">
        <v>15</v>
      </c>
      <c r="F173" s="1">
        <v>0.5</v>
      </c>
      <c r="G173" s="1">
        <v>75</v>
      </c>
      <c r="H173" s="1">
        <v>5.9497813300000004</v>
      </c>
      <c r="J173" s="1">
        <f t="shared" si="27"/>
        <v>0.03</v>
      </c>
      <c r="K173" s="1">
        <f t="shared" si="28"/>
        <v>7.4999999999999997E-2</v>
      </c>
      <c r="L173" s="1">
        <f t="shared" si="29"/>
        <v>5.0000000000000001E-4</v>
      </c>
      <c r="M173" s="1">
        <f t="shared" si="30"/>
        <v>0.26804068520428115</v>
      </c>
      <c r="N173" s="1">
        <f t="shared" si="31"/>
        <v>2.0833333333333332E-2</v>
      </c>
      <c r="O173" s="1">
        <v>370</v>
      </c>
      <c r="P173" s="1">
        <v>3</v>
      </c>
      <c r="Q173" s="1">
        <v>4148</v>
      </c>
      <c r="R173" s="1">
        <f>[1]!HeatTransferArea(J173,D173,0.36,L173)</f>
        <v>0.40715040790523715</v>
      </c>
      <c r="S173" s="1">
        <f>[1]!Convection(J173,N173,1000,9*10^-4,L173,0.6,0.36,7)</f>
        <v>20426.113582801609</v>
      </c>
      <c r="U173" s="1">
        <f t="shared" si="32"/>
        <v>0.87135487801248224</v>
      </c>
      <c r="V173" s="1">
        <f t="shared" si="33"/>
        <v>2.5337837837837837E-6</v>
      </c>
      <c r="W173" s="1">
        <f t="shared" si="34"/>
        <v>4.0540540540540541E-7</v>
      </c>
      <c r="X173" s="1">
        <f t="shared" si="35"/>
        <v>2.5</v>
      </c>
      <c r="Y173" s="1">
        <f t="shared" si="36"/>
        <v>167.7135566155452</v>
      </c>
      <c r="Z173" s="1">
        <f t="shared" si="37"/>
        <v>5</v>
      </c>
      <c r="AA173" s="1">
        <f t="shared" si="38"/>
        <v>3.9995147425289063E-2</v>
      </c>
    </row>
    <row r="174" spans="1:27" x14ac:dyDescent="0.25">
      <c r="A174" s="1">
        <v>30</v>
      </c>
      <c r="B174" s="1">
        <v>0.5</v>
      </c>
      <c r="C174" s="1">
        <v>2.5</v>
      </c>
      <c r="D174" s="1">
        <f t="shared" si="26"/>
        <v>7.4999999999999997E-2</v>
      </c>
      <c r="E174" s="1">
        <v>15</v>
      </c>
      <c r="F174" s="1">
        <v>1</v>
      </c>
      <c r="G174" s="1">
        <v>75</v>
      </c>
      <c r="H174" s="1">
        <v>26.24371884</v>
      </c>
      <c r="J174" s="1">
        <f t="shared" si="27"/>
        <v>0.03</v>
      </c>
      <c r="K174" s="1">
        <f t="shared" si="28"/>
        <v>7.4999999999999997E-2</v>
      </c>
      <c r="L174" s="1">
        <f t="shared" si="29"/>
        <v>5.0000000000000001E-4</v>
      </c>
      <c r="M174" s="1">
        <f t="shared" si="30"/>
        <v>0.26804068520428115</v>
      </c>
      <c r="N174" s="1">
        <f t="shared" si="31"/>
        <v>2.0833333333333332E-2</v>
      </c>
      <c r="O174" s="1">
        <v>370</v>
      </c>
      <c r="P174" s="1">
        <v>3</v>
      </c>
      <c r="Q174" s="1">
        <v>4148</v>
      </c>
      <c r="R174" s="1">
        <f>[1]!HeatTransferArea(J174,D174,0.36,L174)</f>
        <v>0.40715040790523715</v>
      </c>
      <c r="S174" s="1">
        <f>[1]!Convection(J174,N174,1000,9*10^-4,L174,0.6,0.36,7)</f>
        <v>20426.113582801609</v>
      </c>
      <c r="U174" s="1">
        <f t="shared" si="32"/>
        <v>0.43567743900624112</v>
      </c>
      <c r="V174" s="1">
        <f t="shared" si="33"/>
        <v>5.0675675675675673E-6</v>
      </c>
      <c r="W174" s="1">
        <f t="shared" si="34"/>
        <v>8.1081081081081082E-7</v>
      </c>
      <c r="X174" s="1">
        <f t="shared" si="35"/>
        <v>2.5</v>
      </c>
      <c r="Y174" s="1">
        <f t="shared" si="36"/>
        <v>83.856778307772601</v>
      </c>
      <c r="Z174" s="1">
        <f t="shared" si="37"/>
        <v>5</v>
      </c>
      <c r="AA174" s="1">
        <f t="shared" si="38"/>
        <v>8.8206721035379299E-2</v>
      </c>
    </row>
    <row r="175" spans="1:27" x14ac:dyDescent="0.25">
      <c r="A175" s="1">
        <v>30</v>
      </c>
      <c r="B175" s="1">
        <v>0.5</v>
      </c>
      <c r="C175" s="1">
        <v>2.5</v>
      </c>
      <c r="D175" s="1">
        <f t="shared" si="26"/>
        <v>7.4999999999999997E-2</v>
      </c>
      <c r="E175" s="1">
        <v>15</v>
      </c>
      <c r="F175" s="1">
        <v>1.5</v>
      </c>
      <c r="G175" s="1">
        <v>75</v>
      </c>
      <c r="H175" s="1">
        <v>27.709897380000001</v>
      </c>
      <c r="J175" s="1">
        <f t="shared" si="27"/>
        <v>0.03</v>
      </c>
      <c r="K175" s="1">
        <f t="shared" si="28"/>
        <v>7.4999999999999997E-2</v>
      </c>
      <c r="L175" s="1">
        <f t="shared" si="29"/>
        <v>5.0000000000000001E-4</v>
      </c>
      <c r="M175" s="1">
        <f t="shared" si="30"/>
        <v>0.26804068520428115</v>
      </c>
      <c r="N175" s="1">
        <f t="shared" si="31"/>
        <v>2.0833333333333332E-2</v>
      </c>
      <c r="O175" s="1">
        <v>370</v>
      </c>
      <c r="P175" s="1">
        <v>3</v>
      </c>
      <c r="Q175" s="1">
        <v>4148</v>
      </c>
      <c r="R175" s="1">
        <f>[1]!HeatTransferArea(J175,D175,0.36,L175)</f>
        <v>0.40715040790523715</v>
      </c>
      <c r="S175" s="1">
        <f>[1]!Convection(J175,N175,1000,9*10^-4,L175,0.6,0.36,7)</f>
        <v>20426.113582801609</v>
      </c>
      <c r="U175" s="1">
        <f t="shared" si="32"/>
        <v>0.29045162600416075</v>
      </c>
      <c r="V175" s="1">
        <f t="shared" si="33"/>
        <v>7.6013513513513518E-6</v>
      </c>
      <c r="W175" s="1">
        <f t="shared" si="34"/>
        <v>1.2162162162162162E-6</v>
      </c>
      <c r="X175" s="1">
        <f t="shared" si="35"/>
        <v>2.5</v>
      </c>
      <c r="Y175" s="1">
        <f t="shared" si="36"/>
        <v>55.904518871848396</v>
      </c>
      <c r="Z175" s="1">
        <f t="shared" si="37"/>
        <v>5</v>
      </c>
      <c r="AA175" s="1">
        <f t="shared" si="38"/>
        <v>6.2089756994634024E-2</v>
      </c>
    </row>
    <row r="176" spans="1:27" x14ac:dyDescent="0.25">
      <c r="A176" s="1">
        <v>30</v>
      </c>
      <c r="B176" s="1">
        <v>0.5</v>
      </c>
      <c r="C176" s="1">
        <v>2.5</v>
      </c>
      <c r="D176" s="1">
        <f t="shared" si="26"/>
        <v>7.4999999999999997E-2</v>
      </c>
      <c r="E176" s="1">
        <v>20</v>
      </c>
      <c r="F176" s="1">
        <v>0.5</v>
      </c>
      <c r="G176" s="1">
        <v>75</v>
      </c>
      <c r="H176" s="1">
        <v>-10.41101306</v>
      </c>
      <c r="J176" s="1">
        <f t="shared" si="27"/>
        <v>0.03</v>
      </c>
      <c r="K176" s="1">
        <f t="shared" si="28"/>
        <v>7.4999999999999997E-2</v>
      </c>
      <c r="L176" s="1">
        <f t="shared" si="29"/>
        <v>5.0000000000000001E-4</v>
      </c>
      <c r="M176" s="1">
        <f t="shared" si="30"/>
        <v>0.26804068520428115</v>
      </c>
      <c r="N176" s="1">
        <f t="shared" si="31"/>
        <v>2.0833333333333332E-2</v>
      </c>
      <c r="O176" s="1">
        <v>370</v>
      </c>
      <c r="P176" s="1">
        <v>3</v>
      </c>
      <c r="Q176" s="1">
        <v>4148</v>
      </c>
      <c r="R176" s="1">
        <f>[1]!HeatTransferArea(J176,D176,0.36,L176)</f>
        <v>0.40715040790523715</v>
      </c>
      <c r="S176" s="1">
        <f>[1]!Convection(J176,N176,1000,9*10^-4,L176,0.6,0.36,7)</f>
        <v>20426.113582801609</v>
      </c>
      <c r="U176" s="1">
        <f t="shared" si="32"/>
        <v>0.87135487801248224</v>
      </c>
      <c r="V176" s="1">
        <f t="shared" si="33"/>
        <v>2.5337837837837837E-6</v>
      </c>
      <c r="W176" s="1">
        <f t="shared" si="34"/>
        <v>4.0540540540540541E-7</v>
      </c>
      <c r="X176" s="1">
        <f t="shared" si="35"/>
        <v>2.5</v>
      </c>
      <c r="Y176" s="1">
        <f t="shared" si="36"/>
        <v>167.7135566155452</v>
      </c>
      <c r="Z176" s="1">
        <f t="shared" si="37"/>
        <v>6.666666666666667</v>
      </c>
      <c r="AA176" s="1">
        <f t="shared" si="38"/>
        <v>-6.9984084974986774E-2</v>
      </c>
    </row>
    <row r="177" spans="1:27" x14ac:dyDescent="0.25">
      <c r="A177" s="1">
        <v>30</v>
      </c>
      <c r="B177" s="1">
        <v>0.5</v>
      </c>
      <c r="C177" s="1">
        <v>2.5</v>
      </c>
      <c r="D177" s="1">
        <f t="shared" si="26"/>
        <v>7.4999999999999997E-2</v>
      </c>
      <c r="E177" s="1">
        <v>20</v>
      </c>
      <c r="F177" s="1">
        <v>1</v>
      </c>
      <c r="G177" s="1">
        <v>75</v>
      </c>
      <c r="H177" s="1">
        <v>14.48045465</v>
      </c>
      <c r="J177" s="1">
        <f t="shared" si="27"/>
        <v>0.03</v>
      </c>
      <c r="K177" s="1">
        <f t="shared" si="28"/>
        <v>7.4999999999999997E-2</v>
      </c>
      <c r="L177" s="1">
        <f t="shared" si="29"/>
        <v>5.0000000000000001E-4</v>
      </c>
      <c r="M177" s="1">
        <f t="shared" si="30"/>
        <v>0.26804068520428115</v>
      </c>
      <c r="N177" s="1">
        <f t="shared" si="31"/>
        <v>2.0833333333333332E-2</v>
      </c>
      <c r="O177" s="1">
        <v>370</v>
      </c>
      <c r="P177" s="1">
        <v>3</v>
      </c>
      <c r="Q177" s="1">
        <v>4148</v>
      </c>
      <c r="R177" s="1">
        <f>[1]!HeatTransferArea(J177,D177,0.36,L177)</f>
        <v>0.40715040790523715</v>
      </c>
      <c r="S177" s="1">
        <f>[1]!Convection(J177,N177,1000,9*10^-4,L177,0.6,0.36,7)</f>
        <v>20426.113582801609</v>
      </c>
      <c r="U177" s="1">
        <f t="shared" si="32"/>
        <v>0.43567743900624112</v>
      </c>
      <c r="V177" s="1">
        <f t="shared" si="33"/>
        <v>5.0675675675675673E-6</v>
      </c>
      <c r="W177" s="1">
        <f t="shared" si="34"/>
        <v>8.1081081081081082E-7</v>
      </c>
      <c r="X177" s="1">
        <f t="shared" si="35"/>
        <v>2.5</v>
      </c>
      <c r="Y177" s="1">
        <f t="shared" si="36"/>
        <v>83.856778307772601</v>
      </c>
      <c r="Z177" s="1">
        <f t="shared" si="37"/>
        <v>6.666666666666667</v>
      </c>
      <c r="AA177" s="1">
        <f t="shared" si="38"/>
        <v>4.866968098405413E-2</v>
      </c>
    </row>
    <row r="178" spans="1:27" x14ac:dyDescent="0.25">
      <c r="A178" s="1">
        <v>30</v>
      </c>
      <c r="B178" s="1">
        <v>0.5</v>
      </c>
      <c r="C178" s="1">
        <v>2.5</v>
      </c>
      <c r="D178" s="1">
        <f t="shared" si="26"/>
        <v>7.4999999999999997E-2</v>
      </c>
      <c r="E178" s="1">
        <v>20</v>
      </c>
      <c r="F178" s="1">
        <v>1.5</v>
      </c>
      <c r="G178" s="1">
        <v>75</v>
      </c>
      <c r="H178" s="1">
        <v>16.612840869999999</v>
      </c>
      <c r="J178" s="1">
        <f t="shared" si="27"/>
        <v>0.03</v>
      </c>
      <c r="K178" s="1">
        <f t="shared" si="28"/>
        <v>7.4999999999999997E-2</v>
      </c>
      <c r="L178" s="1">
        <f t="shared" si="29"/>
        <v>5.0000000000000001E-4</v>
      </c>
      <c r="M178" s="1">
        <f t="shared" si="30"/>
        <v>0.26804068520428115</v>
      </c>
      <c r="N178" s="1">
        <f t="shared" si="31"/>
        <v>2.0833333333333332E-2</v>
      </c>
      <c r="O178" s="1">
        <v>370</v>
      </c>
      <c r="P178" s="1">
        <v>3</v>
      </c>
      <c r="Q178" s="1">
        <v>4148</v>
      </c>
      <c r="R178" s="1">
        <f>[1]!HeatTransferArea(J178,D178,0.36,L178)</f>
        <v>0.40715040790523715</v>
      </c>
      <c r="S178" s="1">
        <f>[1]!Convection(J178,N178,1000,9*10^-4,L178,0.6,0.36,7)</f>
        <v>20426.113582801609</v>
      </c>
      <c r="U178" s="1">
        <f t="shared" si="32"/>
        <v>0.29045162600416075</v>
      </c>
      <c r="V178" s="1">
        <f t="shared" si="33"/>
        <v>7.6013513513513518E-6</v>
      </c>
      <c r="W178" s="1">
        <f t="shared" si="34"/>
        <v>1.2162162162162162E-6</v>
      </c>
      <c r="X178" s="1">
        <f t="shared" si="35"/>
        <v>2.5</v>
      </c>
      <c r="Y178" s="1">
        <f t="shared" si="36"/>
        <v>55.904518871848396</v>
      </c>
      <c r="Z178" s="1">
        <f t="shared" si="37"/>
        <v>6.666666666666667</v>
      </c>
      <c r="AA178" s="1">
        <f t="shared" si="38"/>
        <v>3.7224506408793649E-2</v>
      </c>
    </row>
    <row r="179" spans="1:27" x14ac:dyDescent="0.25">
      <c r="A179" s="1">
        <v>30</v>
      </c>
      <c r="B179" s="1">
        <v>0.5</v>
      </c>
      <c r="C179" s="1">
        <v>3.3333330000000001</v>
      </c>
      <c r="D179" s="1">
        <f t="shared" si="26"/>
        <v>9.9999989999999997E-2</v>
      </c>
      <c r="E179" s="1">
        <v>15</v>
      </c>
      <c r="F179" s="1">
        <v>0.5</v>
      </c>
      <c r="G179" s="1">
        <v>75</v>
      </c>
      <c r="H179" s="1">
        <v>22.21138462</v>
      </c>
      <c r="J179" s="1">
        <f t="shared" si="27"/>
        <v>0.03</v>
      </c>
      <c r="K179" s="1">
        <f t="shared" si="28"/>
        <v>9.9999989999999997E-2</v>
      </c>
      <c r="L179" s="1">
        <f t="shared" si="29"/>
        <v>5.0000000000000001E-4</v>
      </c>
      <c r="M179" s="1">
        <f t="shared" si="30"/>
        <v>0.35738754453361682</v>
      </c>
      <c r="N179" s="1">
        <f t="shared" si="31"/>
        <v>2.0833333333333332E-2</v>
      </c>
      <c r="O179" s="1">
        <v>370</v>
      </c>
      <c r="P179" s="1">
        <v>3</v>
      </c>
      <c r="Q179" s="1">
        <v>4148</v>
      </c>
      <c r="R179" s="1">
        <f>[1]!HeatTransferArea(J179,D179,0.36,L179)</f>
        <v>0.54286715625359516</v>
      </c>
      <c r="S179" s="1">
        <f>[1]!Convection(J179,N179,1000,9*10^-4,L179,0.6,0.36,7)</f>
        <v>20426.113582801609</v>
      </c>
      <c r="U179" s="1">
        <f t="shared" si="32"/>
        <v>0.65351622386098396</v>
      </c>
      <c r="V179" s="1">
        <f t="shared" si="33"/>
        <v>4.5045036036036485E-6</v>
      </c>
      <c r="W179" s="1">
        <f t="shared" si="34"/>
        <v>4.0540540540540541E-7</v>
      </c>
      <c r="X179" s="1">
        <f t="shared" si="35"/>
        <v>3.3333330000000001</v>
      </c>
      <c r="Y179" s="1">
        <f t="shared" si="36"/>
        <v>167.71355661554517</v>
      </c>
      <c r="Z179" s="1">
        <f t="shared" si="37"/>
        <v>5</v>
      </c>
      <c r="AA179" s="1">
        <f t="shared" si="38"/>
        <v>0.11198071516749344</v>
      </c>
    </row>
    <row r="180" spans="1:27" x14ac:dyDescent="0.25">
      <c r="A180" s="1">
        <v>30</v>
      </c>
      <c r="B180" s="1">
        <v>0.5</v>
      </c>
      <c r="C180" s="1">
        <v>3.3333330000000001</v>
      </c>
      <c r="D180" s="1">
        <f t="shared" si="26"/>
        <v>9.9999989999999997E-2</v>
      </c>
      <c r="E180" s="1">
        <v>15</v>
      </c>
      <c r="F180" s="1">
        <v>1</v>
      </c>
      <c r="G180" s="1">
        <v>75</v>
      </c>
      <c r="H180" s="1">
        <v>27.80060246</v>
      </c>
      <c r="J180" s="1">
        <f t="shared" si="27"/>
        <v>0.03</v>
      </c>
      <c r="K180" s="1">
        <f t="shared" si="28"/>
        <v>9.9999989999999997E-2</v>
      </c>
      <c r="L180" s="1">
        <f t="shared" si="29"/>
        <v>5.0000000000000001E-4</v>
      </c>
      <c r="M180" s="1">
        <f t="shared" si="30"/>
        <v>0.35738754453361682</v>
      </c>
      <c r="N180" s="1">
        <f t="shared" si="31"/>
        <v>2.0833333333333332E-2</v>
      </c>
      <c r="O180" s="1">
        <v>370</v>
      </c>
      <c r="P180" s="1">
        <v>3</v>
      </c>
      <c r="Q180" s="1">
        <v>4148</v>
      </c>
      <c r="R180" s="1">
        <f>[1]!HeatTransferArea(J180,D180,0.36,L180)</f>
        <v>0.54286715625359516</v>
      </c>
      <c r="S180" s="1">
        <f>[1]!Convection(J180,N180,1000,9*10^-4,L180,0.6,0.36,7)</f>
        <v>20426.113582801609</v>
      </c>
      <c r="U180" s="1">
        <f t="shared" si="32"/>
        <v>0.32675811193049198</v>
      </c>
      <c r="V180" s="1">
        <f t="shared" si="33"/>
        <v>9.009007207207297E-6</v>
      </c>
      <c r="W180" s="1">
        <f t="shared" si="34"/>
        <v>8.1081081081081082E-7</v>
      </c>
      <c r="X180" s="1">
        <f t="shared" si="35"/>
        <v>3.3333330000000001</v>
      </c>
      <c r="Y180" s="1">
        <f t="shared" si="36"/>
        <v>83.856778307772586</v>
      </c>
      <c r="Z180" s="1">
        <f t="shared" si="37"/>
        <v>5</v>
      </c>
      <c r="AA180" s="1">
        <f t="shared" si="38"/>
        <v>7.0079632558224039E-2</v>
      </c>
    </row>
    <row r="181" spans="1:27" x14ac:dyDescent="0.25">
      <c r="A181" s="1">
        <v>30</v>
      </c>
      <c r="B181" s="1">
        <v>0.5</v>
      </c>
      <c r="C181" s="1">
        <v>3.3333330000000001</v>
      </c>
      <c r="D181" s="1">
        <f t="shared" si="26"/>
        <v>9.9999989999999997E-2</v>
      </c>
      <c r="E181" s="1">
        <v>15</v>
      </c>
      <c r="F181" s="1">
        <v>1.5</v>
      </c>
      <c r="G181" s="1">
        <v>75</v>
      </c>
      <c r="H181" s="1">
        <v>28.204148870000001</v>
      </c>
      <c r="J181" s="1">
        <f t="shared" si="27"/>
        <v>0.03</v>
      </c>
      <c r="K181" s="1">
        <f t="shared" si="28"/>
        <v>9.9999989999999997E-2</v>
      </c>
      <c r="L181" s="1">
        <f t="shared" si="29"/>
        <v>5.0000000000000001E-4</v>
      </c>
      <c r="M181" s="1">
        <f t="shared" si="30"/>
        <v>0.35738754453361682</v>
      </c>
      <c r="N181" s="1">
        <f t="shared" si="31"/>
        <v>2.0833333333333332E-2</v>
      </c>
      <c r="O181" s="1">
        <v>370</v>
      </c>
      <c r="P181" s="1">
        <v>3</v>
      </c>
      <c r="Q181" s="1">
        <v>4148</v>
      </c>
      <c r="R181" s="1">
        <f>[1]!HeatTransferArea(J181,D181,0.36,L181)</f>
        <v>0.54286715625359516</v>
      </c>
      <c r="S181" s="1">
        <f>[1]!Convection(J181,N181,1000,9*10^-4,L181,0.6,0.36,7)</f>
        <v>20426.113582801609</v>
      </c>
      <c r="U181" s="1">
        <f t="shared" si="32"/>
        <v>0.21783874128699468</v>
      </c>
      <c r="V181" s="1">
        <f t="shared" si="33"/>
        <v>1.3513510810810946E-5</v>
      </c>
      <c r="W181" s="1">
        <f t="shared" si="34"/>
        <v>1.2162162162162162E-6</v>
      </c>
      <c r="X181" s="1">
        <f t="shared" si="35"/>
        <v>3.3333330000000001</v>
      </c>
      <c r="Y181" s="1">
        <f t="shared" si="36"/>
        <v>55.904518871848396</v>
      </c>
      <c r="Z181" s="1">
        <f t="shared" si="37"/>
        <v>5</v>
      </c>
      <c r="AA181" s="1">
        <f t="shared" si="38"/>
        <v>4.7397927011855849E-2</v>
      </c>
    </row>
    <row r="182" spans="1:27" x14ac:dyDescent="0.25">
      <c r="A182" s="1">
        <v>30</v>
      </c>
      <c r="B182" s="1">
        <v>0.5</v>
      </c>
      <c r="C182" s="1">
        <v>3.3333330000000001</v>
      </c>
      <c r="D182" s="1">
        <f t="shared" si="26"/>
        <v>9.9999989999999997E-2</v>
      </c>
      <c r="E182" s="1">
        <v>20</v>
      </c>
      <c r="F182" s="1">
        <v>0.5</v>
      </c>
      <c r="G182" s="1">
        <v>75</v>
      </c>
      <c r="H182" s="1">
        <v>9.5327006799999996</v>
      </c>
      <c r="J182" s="1">
        <f t="shared" si="27"/>
        <v>0.03</v>
      </c>
      <c r="K182" s="1">
        <f t="shared" si="28"/>
        <v>9.9999989999999997E-2</v>
      </c>
      <c r="L182" s="1">
        <f t="shared" si="29"/>
        <v>5.0000000000000001E-4</v>
      </c>
      <c r="M182" s="1">
        <f t="shared" si="30"/>
        <v>0.35738754453361682</v>
      </c>
      <c r="N182" s="1">
        <f t="shared" si="31"/>
        <v>2.0833333333333332E-2</v>
      </c>
      <c r="O182" s="1">
        <v>370</v>
      </c>
      <c r="P182" s="1">
        <v>3</v>
      </c>
      <c r="Q182" s="1">
        <v>4148</v>
      </c>
      <c r="R182" s="1">
        <f>[1]!HeatTransferArea(J182,D182,0.36,L182)</f>
        <v>0.54286715625359516</v>
      </c>
      <c r="S182" s="1">
        <f>[1]!Convection(J182,N182,1000,9*10^-4,L182,0.6,0.36,7)</f>
        <v>20426.113582801609</v>
      </c>
      <c r="U182" s="1">
        <f t="shared" si="32"/>
        <v>0.65351622386098396</v>
      </c>
      <c r="V182" s="1">
        <f t="shared" si="33"/>
        <v>4.5045036036036485E-6</v>
      </c>
      <c r="W182" s="1">
        <f t="shared" si="34"/>
        <v>4.0540540540540541E-7</v>
      </c>
      <c r="X182" s="1">
        <f t="shared" si="35"/>
        <v>3.3333330000000001</v>
      </c>
      <c r="Y182" s="1">
        <f t="shared" si="36"/>
        <v>167.71355661554517</v>
      </c>
      <c r="Z182" s="1">
        <f t="shared" si="37"/>
        <v>6.666666666666667</v>
      </c>
      <c r="AA182" s="1">
        <f t="shared" si="38"/>
        <v>4.8059977254315406E-2</v>
      </c>
    </row>
    <row r="183" spans="1:27" x14ac:dyDescent="0.25">
      <c r="A183" s="1">
        <v>30</v>
      </c>
      <c r="B183" s="1">
        <v>0.5</v>
      </c>
      <c r="C183" s="1">
        <v>3.3333330000000001</v>
      </c>
      <c r="D183" s="1">
        <f t="shared" si="26"/>
        <v>9.9999989999999997E-2</v>
      </c>
      <c r="E183" s="1">
        <v>20</v>
      </c>
      <c r="F183" s="1">
        <v>1</v>
      </c>
      <c r="G183" s="1">
        <v>75</v>
      </c>
      <c r="H183" s="1">
        <v>16.887093050000001</v>
      </c>
      <c r="J183" s="1">
        <f t="shared" si="27"/>
        <v>0.03</v>
      </c>
      <c r="K183" s="1">
        <f t="shared" si="28"/>
        <v>9.9999989999999997E-2</v>
      </c>
      <c r="L183" s="1">
        <f t="shared" si="29"/>
        <v>5.0000000000000001E-4</v>
      </c>
      <c r="M183" s="1">
        <f t="shared" si="30"/>
        <v>0.35738754453361682</v>
      </c>
      <c r="N183" s="1">
        <f t="shared" si="31"/>
        <v>2.0833333333333332E-2</v>
      </c>
      <c r="O183" s="1">
        <v>370</v>
      </c>
      <c r="P183" s="1">
        <v>3</v>
      </c>
      <c r="Q183" s="1">
        <v>4148</v>
      </c>
      <c r="R183" s="1">
        <f>[1]!HeatTransferArea(J183,D183,0.36,L183)</f>
        <v>0.54286715625359516</v>
      </c>
      <c r="S183" s="1">
        <f>[1]!Convection(J183,N183,1000,9*10^-4,L183,0.6,0.36,7)</f>
        <v>20426.113582801609</v>
      </c>
      <c r="U183" s="1">
        <f t="shared" si="32"/>
        <v>0.32675811193049198</v>
      </c>
      <c r="V183" s="1">
        <f t="shared" si="33"/>
        <v>9.009007207207297E-6</v>
      </c>
      <c r="W183" s="1">
        <f t="shared" si="34"/>
        <v>8.1081081081081082E-7</v>
      </c>
      <c r="X183" s="1">
        <f t="shared" si="35"/>
        <v>3.3333330000000001</v>
      </c>
      <c r="Y183" s="1">
        <f t="shared" si="36"/>
        <v>83.856778307772586</v>
      </c>
      <c r="Z183" s="1">
        <f t="shared" si="37"/>
        <v>6.666666666666667</v>
      </c>
      <c r="AA183" s="1">
        <f t="shared" si="38"/>
        <v>4.256890754879486E-2</v>
      </c>
    </row>
    <row r="184" spans="1:27" x14ac:dyDescent="0.25">
      <c r="A184" s="1">
        <v>30</v>
      </c>
      <c r="B184" s="1">
        <v>0.5</v>
      </c>
      <c r="C184" s="1">
        <v>3.3333330000000001</v>
      </c>
      <c r="D184" s="1">
        <f t="shared" si="26"/>
        <v>9.9999989999999997E-2</v>
      </c>
      <c r="E184" s="1">
        <v>20</v>
      </c>
      <c r="F184" s="1">
        <v>1.5</v>
      </c>
      <c r="G184" s="1">
        <v>75</v>
      </c>
      <c r="H184" s="1">
        <v>17.714503629999999</v>
      </c>
      <c r="J184" s="1">
        <f t="shared" si="27"/>
        <v>0.03</v>
      </c>
      <c r="K184" s="1">
        <f t="shared" si="28"/>
        <v>9.9999989999999997E-2</v>
      </c>
      <c r="L184" s="1">
        <f t="shared" si="29"/>
        <v>5.0000000000000001E-4</v>
      </c>
      <c r="M184" s="1">
        <f t="shared" si="30"/>
        <v>0.35738754453361682</v>
      </c>
      <c r="N184" s="1">
        <f t="shared" si="31"/>
        <v>2.0833333333333332E-2</v>
      </c>
      <c r="O184" s="1">
        <v>370</v>
      </c>
      <c r="P184" s="1">
        <v>3</v>
      </c>
      <c r="Q184" s="1">
        <v>4148</v>
      </c>
      <c r="R184" s="1">
        <f>[1]!HeatTransferArea(J184,D184,0.36,L184)</f>
        <v>0.54286715625359516</v>
      </c>
      <c r="S184" s="1">
        <f>[1]!Convection(J184,N184,1000,9*10^-4,L184,0.6,0.36,7)</f>
        <v>20426.113582801609</v>
      </c>
      <c r="U184" s="1">
        <f t="shared" si="32"/>
        <v>0.21783874128699468</v>
      </c>
      <c r="V184" s="1">
        <f t="shared" si="33"/>
        <v>1.3513510810810946E-5</v>
      </c>
      <c r="W184" s="1">
        <f t="shared" si="34"/>
        <v>1.2162162162162162E-6</v>
      </c>
      <c r="X184" s="1">
        <f t="shared" si="35"/>
        <v>3.3333330000000001</v>
      </c>
      <c r="Y184" s="1">
        <f t="shared" si="36"/>
        <v>55.904518871848396</v>
      </c>
      <c r="Z184" s="1">
        <f t="shared" si="37"/>
        <v>6.666666666666667</v>
      </c>
      <c r="AA184" s="1">
        <f t="shared" si="38"/>
        <v>2.9769760256764501E-2</v>
      </c>
    </row>
    <row r="185" spans="1:27" x14ac:dyDescent="0.25">
      <c r="A185" s="1">
        <v>30</v>
      </c>
      <c r="B185" s="1">
        <v>0.5</v>
      </c>
      <c r="C185" s="1">
        <v>4.1666660000000002</v>
      </c>
      <c r="D185" s="1">
        <f t="shared" si="26"/>
        <v>0.12499998000000001</v>
      </c>
      <c r="E185" s="1">
        <v>15</v>
      </c>
      <c r="F185" s="1">
        <v>0.5</v>
      </c>
      <c r="G185" s="1">
        <v>75</v>
      </c>
      <c r="H185" s="1">
        <v>26.051261319999998</v>
      </c>
      <c r="J185" s="1">
        <f t="shared" si="27"/>
        <v>0.03</v>
      </c>
      <c r="K185" s="1">
        <f t="shared" si="28"/>
        <v>0.12499998000000001</v>
      </c>
      <c r="L185" s="1">
        <f t="shared" si="29"/>
        <v>5.0000000000000001E-4</v>
      </c>
      <c r="M185" s="1">
        <f t="shared" si="30"/>
        <v>0.4467344038629526</v>
      </c>
      <c r="N185" s="1">
        <f t="shared" si="31"/>
        <v>2.0833333333333332E-2</v>
      </c>
      <c r="O185" s="1">
        <v>370</v>
      </c>
      <c r="P185" s="1">
        <v>3</v>
      </c>
      <c r="Q185" s="1">
        <v>4148</v>
      </c>
      <c r="R185" s="1">
        <f>[1]!HeatTransferArea(J185,D185,0.36,L185)</f>
        <v>0.67858390460195328</v>
      </c>
      <c r="S185" s="1">
        <f>[1]!Convection(J185,N185,1000,9*10^-4,L185,0.6,0.36,7)</f>
        <v>20426.113582801609</v>
      </c>
      <c r="U185" s="1">
        <f t="shared" si="32"/>
        <v>0.52281301045757089</v>
      </c>
      <c r="V185" s="1">
        <f t="shared" si="33"/>
        <v>7.038286036036218E-6</v>
      </c>
      <c r="W185" s="1">
        <f t="shared" si="34"/>
        <v>4.0540540540540541E-7</v>
      </c>
      <c r="X185" s="1">
        <f t="shared" si="35"/>
        <v>4.1666660000000002</v>
      </c>
      <c r="Y185" s="1">
        <f t="shared" si="36"/>
        <v>167.71355661554517</v>
      </c>
      <c r="Z185" s="1">
        <f t="shared" si="37"/>
        <v>5</v>
      </c>
      <c r="AA185" s="1">
        <f t="shared" si="38"/>
        <v>0.10507184846230334</v>
      </c>
    </row>
    <row r="186" spans="1:27" x14ac:dyDescent="0.25">
      <c r="A186" s="1">
        <v>30</v>
      </c>
      <c r="B186" s="1">
        <v>0.5</v>
      </c>
      <c r="C186" s="1">
        <v>4.1666660000000002</v>
      </c>
      <c r="D186" s="1">
        <f t="shared" si="26"/>
        <v>0.12499998000000001</v>
      </c>
      <c r="E186" s="1">
        <v>15</v>
      </c>
      <c r="F186" s="1">
        <v>1</v>
      </c>
      <c r="G186" s="1">
        <v>75</v>
      </c>
      <c r="H186" s="1">
        <v>28.104284889999999</v>
      </c>
      <c r="J186" s="1">
        <f t="shared" si="27"/>
        <v>0.03</v>
      </c>
      <c r="K186" s="1">
        <f t="shared" si="28"/>
        <v>0.12499998000000001</v>
      </c>
      <c r="L186" s="1">
        <f t="shared" si="29"/>
        <v>5.0000000000000001E-4</v>
      </c>
      <c r="M186" s="1">
        <f t="shared" si="30"/>
        <v>0.4467344038629526</v>
      </c>
      <c r="N186" s="1">
        <f t="shared" si="31"/>
        <v>2.0833333333333332E-2</v>
      </c>
      <c r="O186" s="1">
        <v>370</v>
      </c>
      <c r="P186" s="1">
        <v>3</v>
      </c>
      <c r="Q186" s="1">
        <v>4148</v>
      </c>
      <c r="R186" s="1">
        <f>[1]!HeatTransferArea(J186,D186,0.36,L186)</f>
        <v>0.67858390460195328</v>
      </c>
      <c r="S186" s="1">
        <f>[1]!Convection(J186,N186,1000,9*10^-4,L186,0.6,0.36,7)</f>
        <v>20426.113582801609</v>
      </c>
      <c r="U186" s="1">
        <f t="shared" si="32"/>
        <v>0.26140650522878545</v>
      </c>
      <c r="V186" s="1">
        <f t="shared" si="33"/>
        <v>1.4076572072072436E-5</v>
      </c>
      <c r="W186" s="1">
        <f t="shared" si="34"/>
        <v>8.1081081081081082E-7</v>
      </c>
      <c r="X186" s="1">
        <f t="shared" si="35"/>
        <v>4.1666660000000002</v>
      </c>
      <c r="Y186" s="1">
        <f t="shared" si="36"/>
        <v>83.856778307772586</v>
      </c>
      <c r="Z186" s="1">
        <f t="shared" si="37"/>
        <v>5</v>
      </c>
      <c r="AA186" s="1">
        <f t="shared" si="38"/>
        <v>5.6676126480609913E-2</v>
      </c>
    </row>
    <row r="187" spans="1:27" x14ac:dyDescent="0.25">
      <c r="A187" s="1">
        <v>30</v>
      </c>
      <c r="B187" s="1">
        <v>0.5</v>
      </c>
      <c r="C187" s="1">
        <v>4.1666660000000002</v>
      </c>
      <c r="D187" s="1">
        <f t="shared" si="26"/>
        <v>0.12499998000000001</v>
      </c>
      <c r="E187" s="1">
        <v>15</v>
      </c>
      <c r="F187" s="1">
        <v>1.5</v>
      </c>
      <c r="G187" s="1">
        <v>75</v>
      </c>
      <c r="H187" s="1">
        <v>28.18397607</v>
      </c>
      <c r="J187" s="1">
        <f t="shared" si="27"/>
        <v>0.03</v>
      </c>
      <c r="K187" s="1">
        <f t="shared" si="28"/>
        <v>0.12499998000000001</v>
      </c>
      <c r="L187" s="1">
        <f t="shared" si="29"/>
        <v>5.0000000000000001E-4</v>
      </c>
      <c r="M187" s="1">
        <f t="shared" si="30"/>
        <v>0.4467344038629526</v>
      </c>
      <c r="N187" s="1">
        <f t="shared" si="31"/>
        <v>2.0833333333333332E-2</v>
      </c>
      <c r="O187" s="1">
        <v>370</v>
      </c>
      <c r="P187" s="1">
        <v>3</v>
      </c>
      <c r="Q187" s="1">
        <v>4148</v>
      </c>
      <c r="R187" s="1">
        <f>[1]!HeatTransferArea(J187,D187,0.36,L187)</f>
        <v>0.67858390460195328</v>
      </c>
      <c r="S187" s="1">
        <f>[1]!Convection(J187,N187,1000,9*10^-4,L187,0.6,0.36,7)</f>
        <v>20426.113582801609</v>
      </c>
      <c r="U187" s="1">
        <f t="shared" si="32"/>
        <v>0.17427100348585695</v>
      </c>
      <c r="V187" s="1">
        <f t="shared" si="33"/>
        <v>2.1114858108108653E-5</v>
      </c>
      <c r="W187" s="1">
        <f t="shared" si="34"/>
        <v>1.2162162162162162E-6</v>
      </c>
      <c r="X187" s="1">
        <f t="shared" si="35"/>
        <v>4.1666660000000002</v>
      </c>
      <c r="Y187" s="1">
        <f t="shared" si="36"/>
        <v>55.904518871848396</v>
      </c>
      <c r="Z187" s="1">
        <f t="shared" si="37"/>
        <v>5</v>
      </c>
      <c r="AA187" s="1">
        <f t="shared" si="38"/>
        <v>3.7891223081506498E-2</v>
      </c>
    </row>
    <row r="188" spans="1:27" x14ac:dyDescent="0.25">
      <c r="A188" s="1">
        <v>30</v>
      </c>
      <c r="B188" s="1">
        <v>0.5</v>
      </c>
      <c r="C188" s="1">
        <v>4.1666660000000002</v>
      </c>
      <c r="D188" s="1">
        <f t="shared" si="26"/>
        <v>0.12499998000000001</v>
      </c>
      <c r="E188" s="1">
        <v>20</v>
      </c>
      <c r="F188" s="1">
        <v>0.5</v>
      </c>
      <c r="G188" s="1">
        <v>75</v>
      </c>
      <c r="H188" s="1">
        <v>14.49960997</v>
      </c>
      <c r="J188" s="1">
        <f t="shared" si="27"/>
        <v>0.03</v>
      </c>
      <c r="K188" s="1">
        <f t="shared" si="28"/>
        <v>0.12499998000000001</v>
      </c>
      <c r="L188" s="1">
        <f t="shared" si="29"/>
        <v>5.0000000000000001E-4</v>
      </c>
      <c r="M188" s="1">
        <f t="shared" si="30"/>
        <v>0.4467344038629526</v>
      </c>
      <c r="N188" s="1">
        <f t="shared" si="31"/>
        <v>2.0833333333333332E-2</v>
      </c>
      <c r="O188" s="1">
        <v>370</v>
      </c>
      <c r="P188" s="1">
        <v>3</v>
      </c>
      <c r="Q188" s="1">
        <v>4148</v>
      </c>
      <c r="R188" s="1">
        <f>[1]!HeatTransferArea(J188,D188,0.36,L188)</f>
        <v>0.67858390460195328</v>
      </c>
      <c r="S188" s="1">
        <f>[1]!Convection(J188,N188,1000,9*10^-4,L188,0.6,0.36,7)</f>
        <v>20426.113582801609</v>
      </c>
      <c r="U188" s="1">
        <f t="shared" si="32"/>
        <v>0.52281301045757089</v>
      </c>
      <c r="V188" s="1">
        <f t="shared" si="33"/>
        <v>7.038286036036218E-6</v>
      </c>
      <c r="W188" s="1">
        <f t="shared" si="34"/>
        <v>4.0540540540540541E-7</v>
      </c>
      <c r="X188" s="1">
        <f t="shared" si="35"/>
        <v>4.1666660000000002</v>
      </c>
      <c r="Y188" s="1">
        <f t="shared" si="36"/>
        <v>167.71355661554517</v>
      </c>
      <c r="Z188" s="1">
        <f t="shared" si="37"/>
        <v>6.666666666666667</v>
      </c>
      <c r="AA188" s="1">
        <f t="shared" si="38"/>
        <v>5.8480885160087245E-2</v>
      </c>
    </row>
    <row r="189" spans="1:27" x14ac:dyDescent="0.25">
      <c r="A189" s="1">
        <v>30</v>
      </c>
      <c r="B189" s="1">
        <v>0.5</v>
      </c>
      <c r="C189" s="1">
        <v>4.1666660000000002</v>
      </c>
      <c r="D189" s="1">
        <f t="shared" si="26"/>
        <v>0.12499998000000001</v>
      </c>
      <c r="E189" s="1">
        <v>20</v>
      </c>
      <c r="F189" s="1">
        <v>1</v>
      </c>
      <c r="G189" s="1">
        <v>75</v>
      </c>
      <c r="H189" s="1">
        <v>17.634493330000002</v>
      </c>
      <c r="J189" s="1">
        <f t="shared" si="27"/>
        <v>0.03</v>
      </c>
      <c r="K189" s="1">
        <f t="shared" si="28"/>
        <v>0.12499998000000001</v>
      </c>
      <c r="L189" s="1">
        <f t="shared" si="29"/>
        <v>5.0000000000000001E-4</v>
      </c>
      <c r="M189" s="1">
        <f t="shared" si="30"/>
        <v>0.4467344038629526</v>
      </c>
      <c r="N189" s="1">
        <f t="shared" si="31"/>
        <v>2.0833333333333332E-2</v>
      </c>
      <c r="O189" s="1">
        <v>370</v>
      </c>
      <c r="P189" s="1">
        <v>3</v>
      </c>
      <c r="Q189" s="1">
        <v>4148</v>
      </c>
      <c r="R189" s="1">
        <f>[1]!HeatTransferArea(J189,D189,0.36,L189)</f>
        <v>0.67858390460195328</v>
      </c>
      <c r="S189" s="1">
        <f>[1]!Convection(J189,N189,1000,9*10^-4,L189,0.6,0.36,7)</f>
        <v>20426.113582801609</v>
      </c>
      <c r="U189" s="1">
        <f t="shared" si="32"/>
        <v>0.26140650522878545</v>
      </c>
      <c r="V189" s="1">
        <f t="shared" si="33"/>
        <v>1.4076572072072436E-5</v>
      </c>
      <c r="W189" s="1">
        <f t="shared" si="34"/>
        <v>8.1081081081081082E-7</v>
      </c>
      <c r="X189" s="1">
        <f t="shared" si="35"/>
        <v>4.1666660000000002</v>
      </c>
      <c r="Y189" s="1">
        <f t="shared" si="36"/>
        <v>83.856778307772586</v>
      </c>
      <c r="Z189" s="1">
        <f t="shared" si="37"/>
        <v>6.666666666666667</v>
      </c>
      <c r="AA189" s="1">
        <f t="shared" si="38"/>
        <v>3.5562362760853443E-2</v>
      </c>
    </row>
    <row r="190" spans="1:27" x14ac:dyDescent="0.25">
      <c r="A190" s="1">
        <v>30</v>
      </c>
      <c r="B190" s="1">
        <v>0.5</v>
      </c>
      <c r="C190" s="1">
        <v>4.1666660000000002</v>
      </c>
      <c r="D190" s="1">
        <f t="shared" si="26"/>
        <v>0.12499998000000001</v>
      </c>
      <c r="E190" s="1">
        <v>20</v>
      </c>
      <c r="F190" s="1">
        <v>1.5</v>
      </c>
      <c r="G190" s="1">
        <v>75</v>
      </c>
      <c r="H190" s="1">
        <v>18.019626779999999</v>
      </c>
      <c r="J190" s="1">
        <f t="shared" si="27"/>
        <v>0.03</v>
      </c>
      <c r="K190" s="1">
        <f t="shared" si="28"/>
        <v>0.12499998000000001</v>
      </c>
      <c r="L190" s="1">
        <f t="shared" si="29"/>
        <v>5.0000000000000001E-4</v>
      </c>
      <c r="M190" s="1">
        <f t="shared" si="30"/>
        <v>0.4467344038629526</v>
      </c>
      <c r="N190" s="1">
        <f t="shared" si="31"/>
        <v>2.0833333333333332E-2</v>
      </c>
      <c r="O190" s="1">
        <v>370</v>
      </c>
      <c r="P190" s="1">
        <v>3</v>
      </c>
      <c r="Q190" s="1">
        <v>4148</v>
      </c>
      <c r="R190" s="1">
        <f>[1]!HeatTransferArea(J190,D190,0.36,L190)</f>
        <v>0.67858390460195328</v>
      </c>
      <c r="S190" s="1">
        <f>[1]!Convection(J190,N190,1000,9*10^-4,L190,0.6,0.36,7)</f>
        <v>20426.113582801609</v>
      </c>
      <c r="U190" s="1">
        <f t="shared" si="32"/>
        <v>0.17427100348585695</v>
      </c>
      <c r="V190" s="1">
        <f t="shared" si="33"/>
        <v>2.1114858108108653E-5</v>
      </c>
      <c r="W190" s="1">
        <f t="shared" si="34"/>
        <v>1.2162162162162162E-6</v>
      </c>
      <c r="X190" s="1">
        <f t="shared" si="35"/>
        <v>4.1666660000000002</v>
      </c>
      <c r="Y190" s="1">
        <f t="shared" si="36"/>
        <v>55.904518871848396</v>
      </c>
      <c r="Z190" s="1">
        <f t="shared" si="37"/>
        <v>6.666666666666667</v>
      </c>
      <c r="AA190" s="1">
        <f t="shared" si="38"/>
        <v>2.4226024620183001E-2</v>
      </c>
    </row>
    <row r="191" spans="1:27" x14ac:dyDescent="0.25">
      <c r="A191" s="1">
        <v>30</v>
      </c>
      <c r="B191" s="1">
        <v>0.3</v>
      </c>
      <c r="C191" s="1">
        <v>2.5</v>
      </c>
      <c r="D191" s="1">
        <f t="shared" si="26"/>
        <v>7.4999999999999997E-2</v>
      </c>
      <c r="E191" s="1">
        <v>10</v>
      </c>
      <c r="F191" s="1">
        <v>0.5</v>
      </c>
      <c r="G191" s="1">
        <v>100</v>
      </c>
      <c r="H191" s="1">
        <v>45.945330910000003</v>
      </c>
      <c r="J191" s="1">
        <f t="shared" si="27"/>
        <v>0.03</v>
      </c>
      <c r="K191" s="1">
        <f t="shared" si="28"/>
        <v>7.4999999999999997E-2</v>
      </c>
      <c r="L191" s="1">
        <f t="shared" si="29"/>
        <v>2.9999999999999997E-4</v>
      </c>
      <c r="M191" s="1">
        <f t="shared" si="30"/>
        <v>0.26804068520428115</v>
      </c>
      <c r="N191" s="1">
        <f t="shared" si="31"/>
        <v>2.7777777777777776E-2</v>
      </c>
      <c r="O191" s="1">
        <v>370</v>
      </c>
      <c r="P191" s="1">
        <v>3</v>
      </c>
      <c r="Q191" s="1">
        <v>4148</v>
      </c>
      <c r="R191" s="1">
        <f>[1]!HeatTransferArea(J191,D191,0.36,L191)</f>
        <v>0.6785840131753953</v>
      </c>
      <c r="S191" s="1">
        <f>[1]!Convection(J191,N191,1000,9*10^-4,L191,0.6,0.36,7)</f>
        <v>33843.141604529497</v>
      </c>
      <c r="U191" s="1">
        <f t="shared" si="32"/>
        <v>1.161806504016643</v>
      </c>
      <c r="V191" s="1">
        <f t="shared" si="33"/>
        <v>2.5337837837837837E-6</v>
      </c>
      <c r="W191" s="1">
        <f t="shared" si="34"/>
        <v>4.0540540540540541E-7</v>
      </c>
      <c r="X191" s="1">
        <f t="shared" si="35"/>
        <v>2.5</v>
      </c>
      <c r="Y191" s="1">
        <f t="shared" si="36"/>
        <v>463.12886218993498</v>
      </c>
      <c r="Z191" s="1">
        <f t="shared" si="37"/>
        <v>3.3333333333333335</v>
      </c>
      <c r="AA191" s="1">
        <f t="shared" si="38"/>
        <v>0.30885005369586255</v>
      </c>
    </row>
    <row r="192" spans="1:27" x14ac:dyDescent="0.25">
      <c r="A192" s="1">
        <v>30</v>
      </c>
      <c r="B192" s="1">
        <v>0.3</v>
      </c>
      <c r="C192" s="1">
        <v>2.5</v>
      </c>
      <c r="D192" s="1">
        <f t="shared" si="26"/>
        <v>7.4999999999999997E-2</v>
      </c>
      <c r="E192" s="1">
        <v>10</v>
      </c>
      <c r="F192" s="1">
        <v>1</v>
      </c>
      <c r="G192" s="1">
        <v>100</v>
      </c>
      <c r="H192" s="1">
        <v>51.568294539999997</v>
      </c>
      <c r="J192" s="1">
        <f t="shared" si="27"/>
        <v>0.03</v>
      </c>
      <c r="K192" s="1">
        <f t="shared" si="28"/>
        <v>7.4999999999999997E-2</v>
      </c>
      <c r="L192" s="1">
        <f t="shared" si="29"/>
        <v>2.9999999999999997E-4</v>
      </c>
      <c r="M192" s="1">
        <f t="shared" si="30"/>
        <v>0.26804068520428115</v>
      </c>
      <c r="N192" s="1">
        <f t="shared" si="31"/>
        <v>2.7777777777777776E-2</v>
      </c>
      <c r="O192" s="1">
        <v>370</v>
      </c>
      <c r="P192" s="1">
        <v>3</v>
      </c>
      <c r="Q192" s="1">
        <v>4148</v>
      </c>
      <c r="R192" s="1">
        <f>[1]!HeatTransferArea(J192,D192,0.36,L192)</f>
        <v>0.6785840131753953</v>
      </c>
      <c r="S192" s="1">
        <f>[1]!Convection(J192,N192,1000,9*10^-4,L192,0.6,0.36,7)</f>
        <v>33843.141604529497</v>
      </c>
      <c r="U192" s="1">
        <f t="shared" si="32"/>
        <v>0.58090325200832149</v>
      </c>
      <c r="V192" s="1">
        <f t="shared" si="33"/>
        <v>5.0675675675675673E-6</v>
      </c>
      <c r="W192" s="1">
        <f t="shared" si="34"/>
        <v>8.1081081081081082E-7</v>
      </c>
      <c r="X192" s="1">
        <f t="shared" si="35"/>
        <v>2.5</v>
      </c>
      <c r="Y192" s="1">
        <f t="shared" si="36"/>
        <v>231.56443109496749</v>
      </c>
      <c r="Z192" s="1">
        <f t="shared" si="37"/>
        <v>3.3333333333333335</v>
      </c>
      <c r="AA192" s="1">
        <f t="shared" si="38"/>
        <v>0.17332414656977224</v>
      </c>
    </row>
    <row r="193" spans="1:27" x14ac:dyDescent="0.25">
      <c r="A193" s="1">
        <v>30</v>
      </c>
      <c r="B193" s="1">
        <v>0.3</v>
      </c>
      <c r="C193" s="1">
        <v>2.5</v>
      </c>
      <c r="D193" s="1">
        <f t="shared" si="26"/>
        <v>7.4999999999999997E-2</v>
      </c>
      <c r="E193" s="1">
        <v>10</v>
      </c>
      <c r="F193" s="1">
        <v>1.5</v>
      </c>
      <c r="G193" s="1">
        <v>100</v>
      </c>
      <c r="H193" s="1">
        <v>51.836331540000003</v>
      </c>
      <c r="J193" s="1">
        <f t="shared" si="27"/>
        <v>0.03</v>
      </c>
      <c r="K193" s="1">
        <f t="shared" si="28"/>
        <v>7.4999999999999997E-2</v>
      </c>
      <c r="L193" s="1">
        <f t="shared" si="29"/>
        <v>2.9999999999999997E-4</v>
      </c>
      <c r="M193" s="1">
        <f t="shared" si="30"/>
        <v>0.26804068520428115</v>
      </c>
      <c r="N193" s="1">
        <f t="shared" si="31"/>
        <v>2.7777777777777776E-2</v>
      </c>
      <c r="O193" s="1">
        <v>370</v>
      </c>
      <c r="P193" s="1">
        <v>3</v>
      </c>
      <c r="Q193" s="1">
        <v>4148</v>
      </c>
      <c r="R193" s="1">
        <f>[1]!HeatTransferArea(J193,D193,0.36,L193)</f>
        <v>0.6785840131753953</v>
      </c>
      <c r="S193" s="1">
        <f>[1]!Convection(J193,N193,1000,9*10^-4,L193,0.6,0.36,7)</f>
        <v>33843.141604529497</v>
      </c>
      <c r="U193" s="1">
        <f t="shared" si="32"/>
        <v>0.38726883467221435</v>
      </c>
      <c r="V193" s="1">
        <f t="shared" si="33"/>
        <v>7.6013513513513518E-6</v>
      </c>
      <c r="W193" s="1">
        <f t="shared" si="34"/>
        <v>1.2162162162162162E-6</v>
      </c>
      <c r="X193" s="1">
        <f t="shared" si="35"/>
        <v>2.5</v>
      </c>
      <c r="Y193" s="1">
        <f t="shared" si="36"/>
        <v>154.37628739664501</v>
      </c>
      <c r="Z193" s="1">
        <f t="shared" si="37"/>
        <v>3.3333333333333335</v>
      </c>
      <c r="AA193" s="1">
        <f t="shared" si="38"/>
        <v>0.11615002338965295</v>
      </c>
    </row>
    <row r="194" spans="1:27" x14ac:dyDescent="0.25">
      <c r="A194" s="1">
        <v>30</v>
      </c>
      <c r="B194" s="1">
        <v>0.3</v>
      </c>
      <c r="C194" s="1">
        <v>3.3333333000000001</v>
      </c>
      <c r="D194" s="1">
        <f t="shared" si="26"/>
        <v>9.9999999000000006E-2</v>
      </c>
      <c r="E194" s="1">
        <v>10</v>
      </c>
      <c r="F194" s="1">
        <v>0.5</v>
      </c>
      <c r="G194" s="1">
        <v>100</v>
      </c>
      <c r="H194" s="1">
        <v>49.31204966</v>
      </c>
      <c r="J194" s="1">
        <f t="shared" si="27"/>
        <v>0.03</v>
      </c>
      <c r="K194" s="1">
        <f t="shared" si="28"/>
        <v>9.9999999000000006E-2</v>
      </c>
      <c r="L194" s="1">
        <f t="shared" si="29"/>
        <v>2.9999999999999997E-4</v>
      </c>
      <c r="M194" s="1">
        <f t="shared" si="30"/>
        <v>0.35738757669849908</v>
      </c>
      <c r="N194" s="1">
        <f t="shared" si="31"/>
        <v>2.7777777777777776E-2</v>
      </c>
      <c r="O194" s="1">
        <v>370</v>
      </c>
      <c r="P194" s="1">
        <v>3</v>
      </c>
      <c r="Q194" s="1">
        <v>4148</v>
      </c>
      <c r="R194" s="1">
        <f>[1]!HeatTransferArea(J194,D194,0.36,L194)</f>
        <v>0.90477867518607369</v>
      </c>
      <c r="S194" s="1">
        <f>[1]!Convection(J194,N194,1000,9*10^-4,L194,0.6,0.36,7)</f>
        <v>33843.141604529497</v>
      </c>
      <c r="U194" s="1">
        <f t="shared" si="32"/>
        <v>0.87135488672603112</v>
      </c>
      <c r="V194" s="1">
        <f t="shared" si="33"/>
        <v>4.5045044144144159E-6</v>
      </c>
      <c r="W194" s="1">
        <f t="shared" si="34"/>
        <v>4.0540540540540541E-7</v>
      </c>
      <c r="X194" s="1">
        <f t="shared" si="35"/>
        <v>3.3333333000000001</v>
      </c>
      <c r="Y194" s="1">
        <f t="shared" si="36"/>
        <v>463.12886218993503</v>
      </c>
      <c r="Z194" s="1">
        <f t="shared" si="37"/>
        <v>3.3333333333333335</v>
      </c>
      <c r="AA194" s="1">
        <f t="shared" si="38"/>
        <v>0.24861115976307266</v>
      </c>
    </row>
    <row r="195" spans="1:27" x14ac:dyDescent="0.25">
      <c r="A195" s="1">
        <v>30</v>
      </c>
      <c r="B195" s="1">
        <v>0.3</v>
      </c>
      <c r="C195" s="1">
        <v>3.3333333000000001</v>
      </c>
      <c r="D195" s="1">
        <f t="shared" ref="D195:D258" si="39">C195*A195/1000</f>
        <v>9.9999999000000006E-2</v>
      </c>
      <c r="E195" s="1">
        <v>10</v>
      </c>
      <c r="F195" s="1">
        <v>1</v>
      </c>
      <c r="G195" s="1">
        <v>100</v>
      </c>
      <c r="H195" s="1">
        <v>50.953988719999998</v>
      </c>
      <c r="J195" s="1">
        <f t="shared" ref="J195:J258" si="40">A195/1000</f>
        <v>0.03</v>
      </c>
      <c r="K195" s="1">
        <f t="shared" ref="K195:K258" si="41">D195</f>
        <v>9.9999999000000006E-2</v>
      </c>
      <c r="L195" s="1">
        <f t="shared" ref="L195:L258" si="42">B195/1000</f>
        <v>2.9999999999999997E-4</v>
      </c>
      <c r="M195" s="1">
        <f t="shared" ref="M195:M258" si="43">PI()*J195^2*K195/4*(1-0.36)*7900</f>
        <v>0.35738757669849908</v>
      </c>
      <c r="N195" s="1">
        <f t="shared" ref="N195:N258" si="44">G195/3600</f>
        <v>2.7777777777777776E-2</v>
      </c>
      <c r="O195" s="1">
        <v>370</v>
      </c>
      <c r="P195" s="1">
        <v>3</v>
      </c>
      <c r="Q195" s="1">
        <v>4148</v>
      </c>
      <c r="R195" s="1">
        <f>[1]!HeatTransferArea(J195,D195,0.36,L195)</f>
        <v>0.90477867518607369</v>
      </c>
      <c r="S195" s="1">
        <f>[1]!Convection(J195,N195,1000,9*10^-4,L195,0.6,0.36,7)</f>
        <v>33843.141604529497</v>
      </c>
      <c r="U195" s="1">
        <f t="shared" ref="U195:U258" si="45">N195*Q195/(2*F195*M195*O195)</f>
        <v>0.43567744336301556</v>
      </c>
      <c r="V195" s="1">
        <f t="shared" ref="V195:V258" si="46">K195^2*F195/(O195*P195)</f>
        <v>9.0090088288288318E-6</v>
      </c>
      <c r="W195" s="1">
        <f t="shared" ref="W195:W258" si="47">J195^2*F195/(O195*P195)</f>
        <v>8.1081081081081082E-7</v>
      </c>
      <c r="X195" s="1">
        <f t="shared" ref="X195:X258" si="48">C195</f>
        <v>3.3333333000000001</v>
      </c>
      <c r="Y195" s="1">
        <f t="shared" ref="Y195:Y258" si="49">S195*R195/(F195*M195*O195)</f>
        <v>231.56443109496752</v>
      </c>
      <c r="Z195" s="1">
        <f t="shared" ref="Z195:Z258" si="50">E195/P195</f>
        <v>3.3333333333333335</v>
      </c>
      <c r="AA195" s="1">
        <f t="shared" ref="AA195:AA258" si="51">H195/(M195*F195*O195*P195)</f>
        <v>0.12844457204249296</v>
      </c>
    </row>
    <row r="196" spans="1:27" x14ac:dyDescent="0.25">
      <c r="A196" s="1">
        <v>30</v>
      </c>
      <c r="B196" s="1">
        <v>0.3</v>
      </c>
      <c r="C196" s="1">
        <v>3.3333333000000001</v>
      </c>
      <c r="D196" s="1">
        <f t="shared" si="39"/>
        <v>9.9999999000000006E-2</v>
      </c>
      <c r="E196" s="1">
        <v>10</v>
      </c>
      <c r="F196" s="1">
        <v>1.5</v>
      </c>
      <c r="G196" s="1">
        <v>100</v>
      </c>
      <c r="H196" s="1">
        <v>50.78330424</v>
      </c>
      <c r="J196" s="1">
        <f t="shared" si="40"/>
        <v>0.03</v>
      </c>
      <c r="K196" s="1">
        <f t="shared" si="41"/>
        <v>9.9999999000000006E-2</v>
      </c>
      <c r="L196" s="1">
        <f t="shared" si="42"/>
        <v>2.9999999999999997E-4</v>
      </c>
      <c r="M196" s="1">
        <f t="shared" si="43"/>
        <v>0.35738757669849908</v>
      </c>
      <c r="N196" s="1">
        <f t="shared" si="44"/>
        <v>2.7777777777777776E-2</v>
      </c>
      <c r="O196" s="1">
        <v>370</v>
      </c>
      <c r="P196" s="1">
        <v>3</v>
      </c>
      <c r="Q196" s="1">
        <v>4148</v>
      </c>
      <c r="R196" s="1">
        <f>[1]!HeatTransferArea(J196,D196,0.36,L196)</f>
        <v>0.90477867518607369</v>
      </c>
      <c r="S196" s="1">
        <f>[1]!Convection(J196,N196,1000,9*10^-4,L196,0.6,0.36,7)</f>
        <v>33843.141604529497</v>
      </c>
      <c r="U196" s="1">
        <f t="shared" si="45"/>
        <v>0.29045162890867698</v>
      </c>
      <c r="V196" s="1">
        <f t="shared" si="46"/>
        <v>1.3513513243243247E-5</v>
      </c>
      <c r="W196" s="1">
        <f t="shared" si="47"/>
        <v>1.2162162162162162E-6</v>
      </c>
      <c r="X196" s="1">
        <f t="shared" si="48"/>
        <v>3.3333333000000001</v>
      </c>
      <c r="Y196" s="1">
        <f t="shared" si="49"/>
        <v>154.37628739664498</v>
      </c>
      <c r="Z196" s="1">
        <f t="shared" si="50"/>
        <v>3.3333333333333335</v>
      </c>
      <c r="AA196" s="1">
        <f t="shared" si="51"/>
        <v>8.5342874278917596E-2</v>
      </c>
    </row>
    <row r="197" spans="1:27" x14ac:dyDescent="0.25">
      <c r="A197" s="1">
        <v>30</v>
      </c>
      <c r="B197" s="1">
        <v>0.3</v>
      </c>
      <c r="C197" s="1">
        <v>4.1666666000000001</v>
      </c>
      <c r="D197" s="1">
        <f t="shared" si="39"/>
        <v>0.124999998</v>
      </c>
      <c r="E197" s="1">
        <v>10</v>
      </c>
      <c r="F197" s="1">
        <v>0.5</v>
      </c>
      <c r="G197" s="1">
        <v>100</v>
      </c>
      <c r="H197" s="1">
        <v>49.79081979</v>
      </c>
      <c r="J197" s="1">
        <f t="shared" si="40"/>
        <v>0.03</v>
      </c>
      <c r="K197" s="1">
        <f t="shared" si="41"/>
        <v>0.124999998</v>
      </c>
      <c r="L197" s="1">
        <f t="shared" si="42"/>
        <v>2.9999999999999997E-4</v>
      </c>
      <c r="M197" s="1">
        <f t="shared" si="43"/>
        <v>0.446734468192717</v>
      </c>
      <c r="N197" s="1">
        <f t="shared" si="44"/>
        <v>2.7777777777777776E-2</v>
      </c>
      <c r="O197" s="1">
        <v>370</v>
      </c>
      <c r="P197" s="1">
        <v>3</v>
      </c>
      <c r="Q197" s="1">
        <v>4148</v>
      </c>
      <c r="R197" s="1">
        <f>[1]!HeatTransferArea(J197,D197,0.36,L197)</f>
        <v>1.1309733371967519</v>
      </c>
      <c r="S197" s="1">
        <f>[1]!Convection(J197,N197,1000,9*10^-4,L197,0.6,0.36,7)</f>
        <v>33843.141604529497</v>
      </c>
      <c r="U197" s="1">
        <f t="shared" si="45"/>
        <v>0.69708391356332844</v>
      </c>
      <c r="V197" s="1">
        <f t="shared" si="46"/>
        <v>7.0382880630630646E-6</v>
      </c>
      <c r="W197" s="1">
        <f t="shared" si="47"/>
        <v>4.0540540540540541E-7</v>
      </c>
      <c r="X197" s="1">
        <f t="shared" si="48"/>
        <v>4.1666666000000001</v>
      </c>
      <c r="Y197" s="1">
        <f t="shared" si="49"/>
        <v>463.12886218993498</v>
      </c>
      <c r="Z197" s="1">
        <f t="shared" si="50"/>
        <v>3.3333333333333335</v>
      </c>
      <c r="AA197" s="1">
        <f t="shared" si="51"/>
        <v>0.20081993935625625</v>
      </c>
    </row>
    <row r="198" spans="1:27" x14ac:dyDescent="0.25">
      <c r="A198" s="1">
        <v>30</v>
      </c>
      <c r="B198" s="1">
        <v>0.3</v>
      </c>
      <c r="C198" s="1">
        <v>4.1666666000000001</v>
      </c>
      <c r="D198" s="1">
        <f t="shared" si="39"/>
        <v>0.124999998</v>
      </c>
      <c r="E198" s="1">
        <v>10</v>
      </c>
      <c r="F198" s="1">
        <v>1</v>
      </c>
      <c r="G198" s="1">
        <v>100</v>
      </c>
      <c r="H198" s="1">
        <v>50.104406760000003</v>
      </c>
      <c r="J198" s="1">
        <f t="shared" si="40"/>
        <v>0.03</v>
      </c>
      <c r="K198" s="1">
        <f t="shared" si="41"/>
        <v>0.124999998</v>
      </c>
      <c r="L198" s="1">
        <f t="shared" si="42"/>
        <v>2.9999999999999997E-4</v>
      </c>
      <c r="M198" s="1">
        <f t="shared" si="43"/>
        <v>0.446734468192717</v>
      </c>
      <c r="N198" s="1">
        <f t="shared" si="44"/>
        <v>2.7777777777777776E-2</v>
      </c>
      <c r="O198" s="1">
        <v>370</v>
      </c>
      <c r="P198" s="1">
        <v>3</v>
      </c>
      <c r="Q198" s="1">
        <v>4148</v>
      </c>
      <c r="R198" s="1">
        <f>[1]!HeatTransferArea(J198,D198,0.36,L198)</f>
        <v>1.1309733371967519</v>
      </c>
      <c r="S198" s="1">
        <f>[1]!Convection(J198,N198,1000,9*10^-4,L198,0.6,0.36,7)</f>
        <v>33843.141604529497</v>
      </c>
      <c r="U198" s="1">
        <f t="shared" si="45"/>
        <v>0.34854195678166422</v>
      </c>
      <c r="V198" s="1">
        <f t="shared" si="46"/>
        <v>1.4076576126126129E-5</v>
      </c>
      <c r="W198" s="1">
        <f t="shared" si="47"/>
        <v>8.1081081081081082E-7</v>
      </c>
      <c r="X198" s="1">
        <f t="shared" si="48"/>
        <v>4.1666666000000001</v>
      </c>
      <c r="Y198" s="1">
        <f t="shared" si="49"/>
        <v>231.56443109496749</v>
      </c>
      <c r="Z198" s="1">
        <f t="shared" si="50"/>
        <v>3.3333333333333335</v>
      </c>
      <c r="AA198" s="1">
        <f t="shared" si="51"/>
        <v>0.10104236051406854</v>
      </c>
    </row>
    <row r="199" spans="1:27" x14ac:dyDescent="0.25">
      <c r="A199" s="1">
        <v>30</v>
      </c>
      <c r="B199" s="1">
        <v>0.3</v>
      </c>
      <c r="C199" s="1">
        <v>4.1666666000000001</v>
      </c>
      <c r="D199" s="1">
        <f t="shared" si="39"/>
        <v>0.124999998</v>
      </c>
      <c r="E199" s="1">
        <v>10</v>
      </c>
      <c r="F199" s="1">
        <v>1.5</v>
      </c>
      <c r="G199" s="1">
        <v>100</v>
      </c>
      <c r="H199" s="1">
        <v>49.751842830000001</v>
      </c>
      <c r="J199" s="1">
        <f t="shared" si="40"/>
        <v>0.03</v>
      </c>
      <c r="K199" s="1">
        <f t="shared" si="41"/>
        <v>0.124999998</v>
      </c>
      <c r="L199" s="1">
        <f t="shared" si="42"/>
        <v>2.9999999999999997E-4</v>
      </c>
      <c r="M199" s="1">
        <f t="shared" si="43"/>
        <v>0.446734468192717</v>
      </c>
      <c r="N199" s="1">
        <f t="shared" si="44"/>
        <v>2.7777777777777776E-2</v>
      </c>
      <c r="O199" s="1">
        <v>370</v>
      </c>
      <c r="P199" s="1">
        <v>3</v>
      </c>
      <c r="Q199" s="1">
        <v>4148</v>
      </c>
      <c r="R199" s="1">
        <f>[1]!HeatTransferArea(J199,D199,0.36,L199)</f>
        <v>1.1309733371967519</v>
      </c>
      <c r="S199" s="1">
        <f>[1]!Convection(J199,N199,1000,9*10^-4,L199,0.6,0.36,7)</f>
        <v>33843.141604529497</v>
      </c>
      <c r="U199" s="1">
        <f t="shared" si="45"/>
        <v>0.23236130452110942</v>
      </c>
      <c r="V199" s="1">
        <f t="shared" si="46"/>
        <v>2.1114864189189195E-5</v>
      </c>
      <c r="W199" s="1">
        <f t="shared" si="47"/>
        <v>1.2162162162162162E-6</v>
      </c>
      <c r="X199" s="1">
        <f t="shared" si="48"/>
        <v>4.1666666000000001</v>
      </c>
      <c r="Y199" s="1">
        <f t="shared" si="49"/>
        <v>154.37628739664498</v>
      </c>
      <c r="Z199" s="1">
        <f t="shared" si="50"/>
        <v>3.3333333333333335</v>
      </c>
      <c r="AA199" s="1">
        <f t="shared" si="51"/>
        <v>6.6887578219718455E-2</v>
      </c>
    </row>
    <row r="200" spans="1:27" x14ac:dyDescent="0.25">
      <c r="A200" s="1">
        <v>30</v>
      </c>
      <c r="B200" s="1">
        <v>0.4</v>
      </c>
      <c r="C200" s="1">
        <v>2.5</v>
      </c>
      <c r="D200" s="1">
        <f t="shared" si="39"/>
        <v>7.4999999999999997E-2</v>
      </c>
      <c r="E200" s="1">
        <v>10</v>
      </c>
      <c r="F200" s="1">
        <v>0.5</v>
      </c>
      <c r="G200" s="1">
        <v>100</v>
      </c>
      <c r="H200" s="1">
        <v>45.18005823</v>
      </c>
      <c r="J200" s="1">
        <f t="shared" si="40"/>
        <v>0.03</v>
      </c>
      <c r="K200" s="1">
        <f t="shared" si="41"/>
        <v>7.4999999999999997E-2</v>
      </c>
      <c r="L200" s="1">
        <f t="shared" si="42"/>
        <v>4.0000000000000002E-4</v>
      </c>
      <c r="M200" s="1">
        <f t="shared" si="43"/>
        <v>0.26804068520428115</v>
      </c>
      <c r="N200" s="1">
        <f t="shared" si="44"/>
        <v>2.7777777777777776E-2</v>
      </c>
      <c r="O200" s="1">
        <v>370</v>
      </c>
      <c r="P200" s="1">
        <v>3</v>
      </c>
      <c r="Q200" s="1">
        <v>4148</v>
      </c>
      <c r="R200" s="1">
        <f>[1]!HeatTransferArea(J200,D200,0.36,L200)</f>
        <v>0.50893800988154647</v>
      </c>
      <c r="S200" s="1">
        <f>[1]!Convection(J200,N200,1000,9*10^-4,L200,0.6,0.36,7)</f>
        <v>25579.993831092168</v>
      </c>
      <c r="U200" s="1">
        <f t="shared" si="45"/>
        <v>1.161806504016643</v>
      </c>
      <c r="V200" s="1">
        <f t="shared" si="46"/>
        <v>2.5337837837837837E-6</v>
      </c>
      <c r="W200" s="1">
        <f t="shared" si="47"/>
        <v>4.0540540540540541E-7</v>
      </c>
      <c r="X200" s="1">
        <f t="shared" si="48"/>
        <v>2.5</v>
      </c>
      <c r="Y200" s="1">
        <f t="shared" si="49"/>
        <v>262.53842454080228</v>
      </c>
      <c r="Z200" s="1">
        <f t="shared" si="50"/>
        <v>3.3333333333333335</v>
      </c>
      <c r="AA200" s="1">
        <f t="shared" si="51"/>
        <v>0.30370579847713403</v>
      </c>
    </row>
    <row r="201" spans="1:27" x14ac:dyDescent="0.25">
      <c r="A201" s="1">
        <v>30</v>
      </c>
      <c r="B201" s="1">
        <v>0.4</v>
      </c>
      <c r="C201" s="1">
        <v>2.5</v>
      </c>
      <c r="D201" s="1">
        <f t="shared" si="39"/>
        <v>7.4999999999999997E-2</v>
      </c>
      <c r="E201" s="1">
        <v>10</v>
      </c>
      <c r="F201" s="1">
        <v>1</v>
      </c>
      <c r="G201" s="1">
        <v>100</v>
      </c>
      <c r="H201" s="1">
        <v>51.651993689999998</v>
      </c>
      <c r="J201" s="1">
        <f t="shared" si="40"/>
        <v>0.03</v>
      </c>
      <c r="K201" s="1">
        <f t="shared" si="41"/>
        <v>7.4999999999999997E-2</v>
      </c>
      <c r="L201" s="1">
        <f t="shared" si="42"/>
        <v>4.0000000000000002E-4</v>
      </c>
      <c r="M201" s="1">
        <f t="shared" si="43"/>
        <v>0.26804068520428115</v>
      </c>
      <c r="N201" s="1">
        <f t="shared" si="44"/>
        <v>2.7777777777777776E-2</v>
      </c>
      <c r="O201" s="1">
        <v>370</v>
      </c>
      <c r="P201" s="1">
        <v>3</v>
      </c>
      <c r="Q201" s="1">
        <v>4148</v>
      </c>
      <c r="R201" s="1">
        <f>[1]!HeatTransferArea(J201,D201,0.36,L201)</f>
        <v>0.50893800988154647</v>
      </c>
      <c r="S201" s="1">
        <f>[1]!Convection(J201,N201,1000,9*10^-4,L201,0.6,0.36,7)</f>
        <v>25579.993831092168</v>
      </c>
      <c r="U201" s="1">
        <f t="shared" si="45"/>
        <v>0.58090325200832149</v>
      </c>
      <c r="V201" s="1">
        <f t="shared" si="46"/>
        <v>5.0675675675675673E-6</v>
      </c>
      <c r="W201" s="1">
        <f t="shared" si="47"/>
        <v>8.1081081081081082E-7</v>
      </c>
      <c r="X201" s="1">
        <f t="shared" si="48"/>
        <v>2.5</v>
      </c>
      <c r="Y201" s="1">
        <f t="shared" si="49"/>
        <v>131.26921227040114</v>
      </c>
      <c r="Z201" s="1">
        <f t="shared" si="50"/>
        <v>3.3333333333333335</v>
      </c>
      <c r="AA201" s="1">
        <f t="shared" si="51"/>
        <v>0.17360546445844341</v>
      </c>
    </row>
    <row r="202" spans="1:27" x14ac:dyDescent="0.25">
      <c r="A202" s="1">
        <v>30</v>
      </c>
      <c r="B202" s="1">
        <v>0.4</v>
      </c>
      <c r="C202" s="1">
        <v>2.5</v>
      </c>
      <c r="D202" s="1">
        <f t="shared" si="39"/>
        <v>7.4999999999999997E-2</v>
      </c>
      <c r="E202" s="1">
        <v>10</v>
      </c>
      <c r="F202" s="1">
        <v>1.5</v>
      </c>
      <c r="G202" s="1">
        <v>100</v>
      </c>
      <c r="H202" s="1">
        <v>52.157697689999999</v>
      </c>
      <c r="J202" s="1">
        <f t="shared" si="40"/>
        <v>0.03</v>
      </c>
      <c r="K202" s="1">
        <f t="shared" si="41"/>
        <v>7.4999999999999997E-2</v>
      </c>
      <c r="L202" s="1">
        <f t="shared" si="42"/>
        <v>4.0000000000000002E-4</v>
      </c>
      <c r="M202" s="1">
        <f t="shared" si="43"/>
        <v>0.26804068520428115</v>
      </c>
      <c r="N202" s="1">
        <f t="shared" si="44"/>
        <v>2.7777777777777776E-2</v>
      </c>
      <c r="O202" s="1">
        <v>370</v>
      </c>
      <c r="P202" s="1">
        <v>3</v>
      </c>
      <c r="Q202" s="1">
        <v>4148</v>
      </c>
      <c r="R202" s="1">
        <f>[1]!HeatTransferArea(J202,D202,0.36,L202)</f>
        <v>0.50893800988154647</v>
      </c>
      <c r="S202" s="1">
        <f>[1]!Convection(J202,N202,1000,9*10^-4,L202,0.6,0.36,7)</f>
        <v>25579.993831092168</v>
      </c>
      <c r="U202" s="1">
        <f t="shared" si="45"/>
        <v>0.38726883467221435</v>
      </c>
      <c r="V202" s="1">
        <f t="shared" si="46"/>
        <v>7.6013513513513518E-6</v>
      </c>
      <c r="W202" s="1">
        <f t="shared" si="47"/>
        <v>1.2162162162162162E-6</v>
      </c>
      <c r="X202" s="1">
        <f t="shared" si="48"/>
        <v>2.5</v>
      </c>
      <c r="Y202" s="1">
        <f t="shared" si="49"/>
        <v>87.512808180267427</v>
      </c>
      <c r="Z202" s="1">
        <f t="shared" si="50"/>
        <v>3.3333333333333335</v>
      </c>
      <c r="AA202" s="1">
        <f t="shared" si="51"/>
        <v>0.11687011072473644</v>
      </c>
    </row>
    <row r="203" spans="1:27" x14ac:dyDescent="0.25">
      <c r="A203" s="1">
        <v>30</v>
      </c>
      <c r="B203" s="1">
        <v>0.4</v>
      </c>
      <c r="C203" s="1">
        <v>3.3333333000000001</v>
      </c>
      <c r="D203" s="1">
        <f t="shared" si="39"/>
        <v>9.9999999000000006E-2</v>
      </c>
      <c r="E203" s="1">
        <v>10</v>
      </c>
      <c r="F203" s="1">
        <v>0.5</v>
      </c>
      <c r="G203" s="1">
        <v>100</v>
      </c>
      <c r="H203" s="1">
        <v>49.441919679999998</v>
      </c>
      <c r="J203" s="1">
        <f t="shared" si="40"/>
        <v>0.03</v>
      </c>
      <c r="K203" s="1">
        <f t="shared" si="41"/>
        <v>9.9999999000000006E-2</v>
      </c>
      <c r="L203" s="1">
        <f t="shared" si="42"/>
        <v>4.0000000000000002E-4</v>
      </c>
      <c r="M203" s="1">
        <f t="shared" si="43"/>
        <v>0.35738757669849908</v>
      </c>
      <c r="N203" s="1">
        <f t="shared" si="44"/>
        <v>2.7777777777777776E-2</v>
      </c>
      <c r="O203" s="1">
        <v>370</v>
      </c>
      <c r="P203" s="1">
        <v>3</v>
      </c>
      <c r="Q203" s="1">
        <v>4148</v>
      </c>
      <c r="R203" s="1">
        <f>[1]!HeatTransferArea(J203,D203,0.36,L203)</f>
        <v>0.67858400638955518</v>
      </c>
      <c r="S203" s="1">
        <f>[1]!Convection(J203,N203,1000,9*10^-4,L203,0.6,0.36,7)</f>
        <v>25579.993831092168</v>
      </c>
      <c r="U203" s="1">
        <f t="shared" si="45"/>
        <v>0.87135488672603112</v>
      </c>
      <c r="V203" s="1">
        <f t="shared" si="46"/>
        <v>4.5045044144144159E-6</v>
      </c>
      <c r="W203" s="1">
        <f t="shared" si="47"/>
        <v>4.0540540540540541E-7</v>
      </c>
      <c r="X203" s="1">
        <f t="shared" si="48"/>
        <v>3.3333333000000001</v>
      </c>
      <c r="Y203" s="1">
        <f t="shared" si="49"/>
        <v>262.53842454080228</v>
      </c>
      <c r="Z203" s="1">
        <f t="shared" si="50"/>
        <v>3.3333333333333335</v>
      </c>
      <c r="AA203" s="1">
        <f t="shared" si="51"/>
        <v>0.24926591121861486</v>
      </c>
    </row>
    <row r="204" spans="1:27" x14ac:dyDescent="0.25">
      <c r="A204" s="1">
        <v>30</v>
      </c>
      <c r="B204" s="1">
        <v>0.4</v>
      </c>
      <c r="C204" s="1">
        <v>3.3333333000000001</v>
      </c>
      <c r="D204" s="1">
        <f t="shared" si="39"/>
        <v>9.9999999000000006E-2</v>
      </c>
      <c r="E204" s="1">
        <v>10</v>
      </c>
      <c r="F204" s="1">
        <v>1</v>
      </c>
      <c r="G204" s="1">
        <v>100</v>
      </c>
      <c r="H204" s="1">
        <v>51.58034335</v>
      </c>
      <c r="J204" s="1">
        <f t="shared" si="40"/>
        <v>0.03</v>
      </c>
      <c r="K204" s="1">
        <f t="shared" si="41"/>
        <v>9.9999999000000006E-2</v>
      </c>
      <c r="L204" s="1">
        <f t="shared" si="42"/>
        <v>4.0000000000000002E-4</v>
      </c>
      <c r="M204" s="1">
        <f t="shared" si="43"/>
        <v>0.35738757669849908</v>
      </c>
      <c r="N204" s="1">
        <f t="shared" si="44"/>
        <v>2.7777777777777776E-2</v>
      </c>
      <c r="O204" s="1">
        <v>370</v>
      </c>
      <c r="P204" s="1">
        <v>3</v>
      </c>
      <c r="Q204" s="1">
        <v>4148</v>
      </c>
      <c r="R204" s="1">
        <f>[1]!HeatTransferArea(J204,D204,0.36,L204)</f>
        <v>0.67858400638955518</v>
      </c>
      <c r="S204" s="1">
        <f>[1]!Convection(J204,N204,1000,9*10^-4,L204,0.6,0.36,7)</f>
        <v>25579.993831092168</v>
      </c>
      <c r="U204" s="1">
        <f t="shared" si="45"/>
        <v>0.43567744336301556</v>
      </c>
      <c r="V204" s="1">
        <f t="shared" si="46"/>
        <v>9.0090088288288318E-6</v>
      </c>
      <c r="W204" s="1">
        <f t="shared" si="47"/>
        <v>8.1081081081081082E-7</v>
      </c>
      <c r="X204" s="1">
        <f t="shared" si="48"/>
        <v>3.3333333000000001</v>
      </c>
      <c r="Y204" s="1">
        <f t="shared" si="49"/>
        <v>131.26921227040114</v>
      </c>
      <c r="Z204" s="1">
        <f t="shared" si="50"/>
        <v>3.3333333333333335</v>
      </c>
      <c r="AA204" s="1">
        <f t="shared" si="51"/>
        <v>0.13002348381011297</v>
      </c>
    </row>
    <row r="205" spans="1:27" x14ac:dyDescent="0.25">
      <c r="A205" s="1">
        <v>30</v>
      </c>
      <c r="B205" s="1">
        <v>0.4</v>
      </c>
      <c r="C205" s="1">
        <v>3.3333333000000001</v>
      </c>
      <c r="D205" s="1">
        <f t="shared" si="39"/>
        <v>9.9999999000000006E-2</v>
      </c>
      <c r="E205" s="1">
        <v>10</v>
      </c>
      <c r="F205" s="1">
        <v>1.5</v>
      </c>
      <c r="G205" s="1">
        <v>100</v>
      </c>
      <c r="H205" s="1">
        <v>51.551284850000002</v>
      </c>
      <c r="J205" s="1">
        <f t="shared" si="40"/>
        <v>0.03</v>
      </c>
      <c r="K205" s="1">
        <f t="shared" si="41"/>
        <v>9.9999999000000006E-2</v>
      </c>
      <c r="L205" s="1">
        <f t="shared" si="42"/>
        <v>4.0000000000000002E-4</v>
      </c>
      <c r="M205" s="1">
        <f t="shared" si="43"/>
        <v>0.35738757669849908</v>
      </c>
      <c r="N205" s="1">
        <f t="shared" si="44"/>
        <v>2.7777777777777776E-2</v>
      </c>
      <c r="O205" s="1">
        <v>370</v>
      </c>
      <c r="P205" s="1">
        <v>3</v>
      </c>
      <c r="Q205" s="1">
        <v>4148</v>
      </c>
      <c r="R205" s="1">
        <f>[1]!HeatTransferArea(J205,D205,0.36,L205)</f>
        <v>0.67858400638955518</v>
      </c>
      <c r="S205" s="1">
        <f>[1]!Convection(J205,N205,1000,9*10^-4,L205,0.6,0.36,7)</f>
        <v>25579.993831092168</v>
      </c>
      <c r="U205" s="1">
        <f t="shared" si="45"/>
        <v>0.29045162890867698</v>
      </c>
      <c r="V205" s="1">
        <f t="shared" si="46"/>
        <v>1.3513513243243247E-5</v>
      </c>
      <c r="W205" s="1">
        <f t="shared" si="47"/>
        <v>1.2162162162162162E-6</v>
      </c>
      <c r="X205" s="1">
        <f t="shared" si="48"/>
        <v>3.3333333000000001</v>
      </c>
      <c r="Y205" s="1">
        <f t="shared" si="49"/>
        <v>87.512808180267413</v>
      </c>
      <c r="Z205" s="1">
        <f t="shared" si="50"/>
        <v>3.3333333333333335</v>
      </c>
      <c r="AA205" s="1">
        <f t="shared" si="51"/>
        <v>8.6633488854490084E-2</v>
      </c>
    </row>
    <row r="206" spans="1:27" x14ac:dyDescent="0.25">
      <c r="A206" s="1">
        <v>30</v>
      </c>
      <c r="B206" s="1">
        <v>0.4</v>
      </c>
      <c r="C206" s="1">
        <v>4.1666666000000001</v>
      </c>
      <c r="D206" s="1">
        <f t="shared" si="39"/>
        <v>0.124999998</v>
      </c>
      <c r="E206" s="1">
        <v>10</v>
      </c>
      <c r="F206" s="1">
        <v>0.5</v>
      </c>
      <c r="G206" s="1">
        <v>100</v>
      </c>
      <c r="H206" s="1">
        <v>50.425910039999998</v>
      </c>
      <c r="J206" s="1">
        <f t="shared" si="40"/>
        <v>0.03</v>
      </c>
      <c r="K206" s="1">
        <f t="shared" si="41"/>
        <v>0.124999998</v>
      </c>
      <c r="L206" s="1">
        <f t="shared" si="42"/>
        <v>4.0000000000000002E-4</v>
      </c>
      <c r="M206" s="1">
        <f t="shared" si="43"/>
        <v>0.446734468192717</v>
      </c>
      <c r="N206" s="1">
        <f t="shared" si="44"/>
        <v>2.7777777777777776E-2</v>
      </c>
      <c r="O206" s="1">
        <v>370</v>
      </c>
      <c r="P206" s="1">
        <v>3</v>
      </c>
      <c r="Q206" s="1">
        <v>4148</v>
      </c>
      <c r="R206" s="1">
        <f>[1]!HeatTransferArea(J206,D206,0.36,L206)</f>
        <v>0.84823000289756378</v>
      </c>
      <c r="S206" s="1">
        <f>[1]!Convection(J206,N206,1000,9*10^-4,L206,0.6,0.36,7)</f>
        <v>25579.993831092168</v>
      </c>
      <c r="U206" s="1">
        <f t="shared" si="45"/>
        <v>0.69708391356332844</v>
      </c>
      <c r="V206" s="1">
        <f t="shared" si="46"/>
        <v>7.0382880630630646E-6</v>
      </c>
      <c r="W206" s="1">
        <f t="shared" si="47"/>
        <v>4.0540540540540541E-7</v>
      </c>
      <c r="X206" s="1">
        <f t="shared" si="48"/>
        <v>4.1666666000000001</v>
      </c>
      <c r="Y206" s="1">
        <f t="shared" si="49"/>
        <v>262.53842454080223</v>
      </c>
      <c r="Z206" s="1">
        <f t="shared" si="50"/>
        <v>3.3333333333333335</v>
      </c>
      <c r="AA206" s="1">
        <f t="shared" si="51"/>
        <v>0.2033814313346704</v>
      </c>
    </row>
    <row r="207" spans="1:27" x14ac:dyDescent="0.25">
      <c r="A207" s="1">
        <v>30</v>
      </c>
      <c r="B207" s="1">
        <v>0.4</v>
      </c>
      <c r="C207" s="1">
        <v>4.1666666000000001</v>
      </c>
      <c r="D207" s="1">
        <f t="shared" si="39"/>
        <v>0.124999998</v>
      </c>
      <c r="E207" s="1">
        <v>10</v>
      </c>
      <c r="F207" s="1">
        <v>1</v>
      </c>
      <c r="G207" s="1">
        <v>100</v>
      </c>
      <c r="H207" s="1">
        <v>51.097252169999997</v>
      </c>
      <c r="J207" s="1">
        <f t="shared" si="40"/>
        <v>0.03</v>
      </c>
      <c r="K207" s="1">
        <f t="shared" si="41"/>
        <v>0.124999998</v>
      </c>
      <c r="L207" s="1">
        <f t="shared" si="42"/>
        <v>4.0000000000000002E-4</v>
      </c>
      <c r="M207" s="1">
        <f t="shared" si="43"/>
        <v>0.446734468192717</v>
      </c>
      <c r="N207" s="1">
        <f t="shared" si="44"/>
        <v>2.7777777777777776E-2</v>
      </c>
      <c r="O207" s="1">
        <v>370</v>
      </c>
      <c r="P207" s="1">
        <v>3</v>
      </c>
      <c r="Q207" s="1">
        <v>4148</v>
      </c>
      <c r="R207" s="1">
        <f>[1]!HeatTransferArea(J207,D207,0.36,L207)</f>
        <v>0.84823000289756378</v>
      </c>
      <c r="S207" s="1">
        <f>[1]!Convection(J207,N207,1000,9*10^-4,L207,0.6,0.36,7)</f>
        <v>25579.993831092168</v>
      </c>
      <c r="U207" s="1">
        <f t="shared" si="45"/>
        <v>0.34854195678166422</v>
      </c>
      <c r="V207" s="1">
        <f t="shared" si="46"/>
        <v>1.4076576126126129E-5</v>
      </c>
      <c r="W207" s="1">
        <f t="shared" si="47"/>
        <v>8.1081081081081082E-7</v>
      </c>
      <c r="X207" s="1">
        <f t="shared" si="48"/>
        <v>4.1666666000000001</v>
      </c>
      <c r="Y207" s="1">
        <f t="shared" si="49"/>
        <v>131.26921227040111</v>
      </c>
      <c r="Z207" s="1">
        <f t="shared" si="50"/>
        <v>3.3333333333333335</v>
      </c>
      <c r="AA207" s="1">
        <f t="shared" si="51"/>
        <v>0.10304456851011343</v>
      </c>
    </row>
    <row r="208" spans="1:27" x14ac:dyDescent="0.25">
      <c r="A208" s="1">
        <v>30</v>
      </c>
      <c r="B208" s="1">
        <v>0.4</v>
      </c>
      <c r="C208" s="1">
        <v>4.1666666000000001</v>
      </c>
      <c r="D208" s="1">
        <f t="shared" si="39"/>
        <v>0.124999998</v>
      </c>
      <c r="E208" s="1">
        <v>10</v>
      </c>
      <c r="F208" s="1">
        <v>1.5</v>
      </c>
      <c r="G208" s="1">
        <v>100</v>
      </c>
      <c r="H208" s="1">
        <v>50.845328539999997</v>
      </c>
      <c r="J208" s="1">
        <f t="shared" si="40"/>
        <v>0.03</v>
      </c>
      <c r="K208" s="1">
        <f t="shared" si="41"/>
        <v>0.124999998</v>
      </c>
      <c r="L208" s="1">
        <f t="shared" si="42"/>
        <v>4.0000000000000002E-4</v>
      </c>
      <c r="M208" s="1">
        <f t="shared" si="43"/>
        <v>0.446734468192717</v>
      </c>
      <c r="N208" s="1">
        <f t="shared" si="44"/>
        <v>2.7777777777777776E-2</v>
      </c>
      <c r="O208" s="1">
        <v>370</v>
      </c>
      <c r="P208" s="1">
        <v>3</v>
      </c>
      <c r="Q208" s="1">
        <v>4148</v>
      </c>
      <c r="R208" s="1">
        <f>[1]!HeatTransferArea(J208,D208,0.36,L208)</f>
        <v>0.84823000289756378</v>
      </c>
      <c r="S208" s="1">
        <f>[1]!Convection(J208,N208,1000,9*10^-4,L208,0.6,0.36,7)</f>
        <v>25579.993831092168</v>
      </c>
      <c r="U208" s="1">
        <f t="shared" si="45"/>
        <v>0.23236130452110942</v>
      </c>
      <c r="V208" s="1">
        <f t="shared" si="46"/>
        <v>2.1114864189189195E-5</v>
      </c>
      <c r="W208" s="1">
        <f t="shared" si="47"/>
        <v>1.2162162162162162E-6</v>
      </c>
      <c r="X208" s="1">
        <f t="shared" si="48"/>
        <v>4.1666666000000001</v>
      </c>
      <c r="Y208" s="1">
        <f t="shared" si="49"/>
        <v>87.512808180267399</v>
      </c>
      <c r="Z208" s="1">
        <f t="shared" si="50"/>
        <v>3.3333333333333335</v>
      </c>
      <c r="AA208" s="1">
        <f t="shared" si="51"/>
        <v>6.835768679860442E-2</v>
      </c>
    </row>
    <row r="209" spans="1:27" x14ac:dyDescent="0.25">
      <c r="A209" s="1">
        <v>30</v>
      </c>
      <c r="B209" s="1">
        <v>0.5</v>
      </c>
      <c r="C209" s="1">
        <v>2.5</v>
      </c>
      <c r="D209" s="1">
        <f t="shared" si="39"/>
        <v>7.4999999999999997E-2</v>
      </c>
      <c r="E209" s="1">
        <v>10</v>
      </c>
      <c r="F209" s="1">
        <v>0.5</v>
      </c>
      <c r="G209" s="1">
        <v>100</v>
      </c>
      <c r="H209" s="1">
        <v>43.816696069999999</v>
      </c>
      <c r="J209" s="1">
        <f t="shared" si="40"/>
        <v>0.03</v>
      </c>
      <c r="K209" s="1">
        <f t="shared" si="41"/>
        <v>7.4999999999999997E-2</v>
      </c>
      <c r="L209" s="1">
        <f t="shared" si="42"/>
        <v>5.0000000000000001E-4</v>
      </c>
      <c r="M209" s="1">
        <f t="shared" si="43"/>
        <v>0.26804068520428115</v>
      </c>
      <c r="N209" s="1">
        <f t="shared" si="44"/>
        <v>2.7777777777777776E-2</v>
      </c>
      <c r="O209" s="1">
        <v>370</v>
      </c>
      <c r="P209" s="1">
        <v>3</v>
      </c>
      <c r="Q209" s="1">
        <v>4148</v>
      </c>
      <c r="R209" s="1">
        <f>[1]!HeatTransferArea(J209,D209,0.36,L209)</f>
        <v>0.40715040790523715</v>
      </c>
      <c r="S209" s="1">
        <f>[1]!Convection(J209,N209,1000,9*10^-4,L209,0.6,0.36,7)</f>
        <v>20606.874953993363</v>
      </c>
      <c r="U209" s="1">
        <f t="shared" si="45"/>
        <v>1.161806504016643</v>
      </c>
      <c r="V209" s="1">
        <f t="shared" si="46"/>
        <v>2.5337837837837837E-6</v>
      </c>
      <c r="W209" s="1">
        <f t="shared" si="47"/>
        <v>4.0540540540540541E-7</v>
      </c>
      <c r="X209" s="1">
        <f t="shared" si="48"/>
        <v>2.5</v>
      </c>
      <c r="Y209" s="1">
        <f t="shared" si="49"/>
        <v>169.19774166809469</v>
      </c>
      <c r="Z209" s="1">
        <f t="shared" si="50"/>
        <v>3.3333333333333335</v>
      </c>
      <c r="AA209" s="1">
        <f t="shared" si="51"/>
        <v>0.29454111366622843</v>
      </c>
    </row>
    <row r="210" spans="1:27" x14ac:dyDescent="0.25">
      <c r="A210" s="1">
        <v>30</v>
      </c>
      <c r="B210" s="1">
        <v>0.5</v>
      </c>
      <c r="C210" s="1">
        <v>2.5</v>
      </c>
      <c r="D210" s="1">
        <f t="shared" si="39"/>
        <v>7.4999999999999997E-2</v>
      </c>
      <c r="E210" s="1">
        <v>10</v>
      </c>
      <c r="F210" s="1">
        <v>1</v>
      </c>
      <c r="G210" s="1">
        <v>100</v>
      </c>
      <c r="H210" s="1">
        <v>51.103395550000002</v>
      </c>
      <c r="J210" s="1">
        <f t="shared" si="40"/>
        <v>0.03</v>
      </c>
      <c r="K210" s="1">
        <f t="shared" si="41"/>
        <v>7.4999999999999997E-2</v>
      </c>
      <c r="L210" s="1">
        <f t="shared" si="42"/>
        <v>5.0000000000000001E-4</v>
      </c>
      <c r="M210" s="1">
        <f t="shared" si="43"/>
        <v>0.26804068520428115</v>
      </c>
      <c r="N210" s="1">
        <f t="shared" si="44"/>
        <v>2.7777777777777776E-2</v>
      </c>
      <c r="O210" s="1">
        <v>370</v>
      </c>
      <c r="P210" s="1">
        <v>3</v>
      </c>
      <c r="Q210" s="1">
        <v>4148</v>
      </c>
      <c r="R210" s="1">
        <f>[1]!HeatTransferArea(J210,D210,0.36,L210)</f>
        <v>0.40715040790523715</v>
      </c>
      <c r="S210" s="1">
        <f>[1]!Convection(J210,N210,1000,9*10^-4,L210,0.6,0.36,7)</f>
        <v>20606.874953993363</v>
      </c>
      <c r="U210" s="1">
        <f t="shared" si="45"/>
        <v>0.58090325200832149</v>
      </c>
      <c r="V210" s="1">
        <f t="shared" si="46"/>
        <v>5.0675675675675673E-6</v>
      </c>
      <c r="W210" s="1">
        <f t="shared" si="47"/>
        <v>8.1081081081081082E-7</v>
      </c>
      <c r="X210" s="1">
        <f t="shared" si="48"/>
        <v>2.5</v>
      </c>
      <c r="Y210" s="1">
        <f t="shared" si="49"/>
        <v>84.598870834047347</v>
      </c>
      <c r="Z210" s="1">
        <f t="shared" si="50"/>
        <v>3.3333333333333335</v>
      </c>
      <c r="AA210" s="1">
        <f t="shared" si="51"/>
        <v>0.17176159303951352</v>
      </c>
    </row>
    <row r="211" spans="1:27" x14ac:dyDescent="0.25">
      <c r="A211" s="1">
        <v>30</v>
      </c>
      <c r="B211" s="1">
        <v>0.5</v>
      </c>
      <c r="C211" s="1">
        <v>2.5</v>
      </c>
      <c r="D211" s="1">
        <f t="shared" si="39"/>
        <v>7.4999999999999997E-2</v>
      </c>
      <c r="E211" s="1">
        <v>10</v>
      </c>
      <c r="F211" s="1">
        <v>1.5</v>
      </c>
      <c r="G211" s="1">
        <v>100</v>
      </c>
      <c r="H211" s="1">
        <v>51.800515959999998</v>
      </c>
      <c r="J211" s="1">
        <f t="shared" si="40"/>
        <v>0.03</v>
      </c>
      <c r="K211" s="1">
        <f t="shared" si="41"/>
        <v>7.4999999999999997E-2</v>
      </c>
      <c r="L211" s="1">
        <f t="shared" si="42"/>
        <v>5.0000000000000001E-4</v>
      </c>
      <c r="M211" s="1">
        <f t="shared" si="43"/>
        <v>0.26804068520428115</v>
      </c>
      <c r="N211" s="1">
        <f t="shared" si="44"/>
        <v>2.7777777777777776E-2</v>
      </c>
      <c r="O211" s="1">
        <v>370</v>
      </c>
      <c r="P211" s="1">
        <v>3</v>
      </c>
      <c r="Q211" s="1">
        <v>4148</v>
      </c>
      <c r="R211" s="1">
        <f>[1]!HeatTransferArea(J211,D211,0.36,L211)</f>
        <v>0.40715040790523715</v>
      </c>
      <c r="S211" s="1">
        <f>[1]!Convection(J211,N211,1000,9*10^-4,L211,0.6,0.36,7)</f>
        <v>20606.874953993363</v>
      </c>
      <c r="U211" s="1">
        <f t="shared" si="45"/>
        <v>0.38726883467221435</v>
      </c>
      <c r="V211" s="1">
        <f t="shared" si="46"/>
        <v>7.6013513513513518E-6</v>
      </c>
      <c r="W211" s="1">
        <f t="shared" si="47"/>
        <v>1.2162162162162162E-6</v>
      </c>
      <c r="X211" s="1">
        <f t="shared" si="48"/>
        <v>2.5</v>
      </c>
      <c r="Y211" s="1">
        <f t="shared" si="49"/>
        <v>56.399247222698229</v>
      </c>
      <c r="Z211" s="1">
        <f t="shared" si="50"/>
        <v>3.3333333333333335</v>
      </c>
      <c r="AA211" s="1">
        <f t="shared" si="51"/>
        <v>0.11606977117405193</v>
      </c>
    </row>
    <row r="212" spans="1:27" x14ac:dyDescent="0.25">
      <c r="A212" s="1">
        <v>30</v>
      </c>
      <c r="B212" s="1">
        <v>0.5</v>
      </c>
      <c r="C212" s="1">
        <v>3.3333333000000001</v>
      </c>
      <c r="D212" s="1">
        <f t="shared" si="39"/>
        <v>9.9999999000000006E-2</v>
      </c>
      <c r="E212" s="1">
        <v>10</v>
      </c>
      <c r="F212" s="1">
        <v>0.5</v>
      </c>
      <c r="G212" s="1">
        <v>100</v>
      </c>
      <c r="H212" s="1">
        <v>48.982912630000001</v>
      </c>
      <c r="J212" s="1">
        <f t="shared" si="40"/>
        <v>0.03</v>
      </c>
      <c r="K212" s="1">
        <f t="shared" si="41"/>
        <v>9.9999999000000006E-2</v>
      </c>
      <c r="L212" s="1">
        <f t="shared" si="42"/>
        <v>5.0000000000000001E-4</v>
      </c>
      <c r="M212" s="1">
        <f t="shared" si="43"/>
        <v>0.35738757669849908</v>
      </c>
      <c r="N212" s="1">
        <f t="shared" si="44"/>
        <v>2.7777777777777776E-2</v>
      </c>
      <c r="O212" s="1">
        <v>370</v>
      </c>
      <c r="P212" s="1">
        <v>3</v>
      </c>
      <c r="Q212" s="1">
        <v>4148</v>
      </c>
      <c r="R212" s="1">
        <f>[1]!HeatTransferArea(J212,D212,0.36,L212)</f>
        <v>0.54286720511164421</v>
      </c>
      <c r="S212" s="1">
        <f>[1]!Convection(J212,N212,1000,9*10^-4,L212,0.6,0.36,7)</f>
        <v>20606.874953993363</v>
      </c>
      <c r="U212" s="1">
        <f t="shared" si="45"/>
        <v>0.87135488672603112</v>
      </c>
      <c r="V212" s="1">
        <f t="shared" si="46"/>
        <v>4.5045044144144159E-6</v>
      </c>
      <c r="W212" s="1">
        <f t="shared" si="47"/>
        <v>4.0540540540540541E-7</v>
      </c>
      <c r="X212" s="1">
        <f t="shared" si="48"/>
        <v>3.3333333000000001</v>
      </c>
      <c r="Y212" s="1">
        <f t="shared" si="49"/>
        <v>169.19774166809469</v>
      </c>
      <c r="Z212" s="1">
        <f t="shared" si="50"/>
        <v>3.3333333333333335</v>
      </c>
      <c r="AA212" s="1">
        <f t="shared" si="51"/>
        <v>0.24695178564835912</v>
      </c>
    </row>
    <row r="213" spans="1:27" x14ac:dyDescent="0.25">
      <c r="A213" s="1">
        <v>30</v>
      </c>
      <c r="B213" s="1">
        <v>0.5</v>
      </c>
      <c r="C213" s="1">
        <v>3.3333333000000001</v>
      </c>
      <c r="D213" s="1">
        <f t="shared" si="39"/>
        <v>9.9999999000000006E-2</v>
      </c>
      <c r="E213" s="1">
        <v>10</v>
      </c>
      <c r="F213" s="1">
        <v>1</v>
      </c>
      <c r="G213" s="1">
        <v>100</v>
      </c>
      <c r="H213" s="1">
        <v>51.548897879999998</v>
      </c>
      <c r="J213" s="1">
        <f t="shared" si="40"/>
        <v>0.03</v>
      </c>
      <c r="K213" s="1">
        <f t="shared" si="41"/>
        <v>9.9999999000000006E-2</v>
      </c>
      <c r="L213" s="1">
        <f t="shared" si="42"/>
        <v>5.0000000000000001E-4</v>
      </c>
      <c r="M213" s="1">
        <f t="shared" si="43"/>
        <v>0.35738757669849908</v>
      </c>
      <c r="N213" s="1">
        <f t="shared" si="44"/>
        <v>2.7777777777777776E-2</v>
      </c>
      <c r="O213" s="1">
        <v>370</v>
      </c>
      <c r="P213" s="1">
        <v>3</v>
      </c>
      <c r="Q213" s="1">
        <v>4148</v>
      </c>
      <c r="R213" s="1">
        <f>[1]!HeatTransferArea(J213,D213,0.36,L213)</f>
        <v>0.54286720511164421</v>
      </c>
      <c r="S213" s="1">
        <f>[1]!Convection(J213,N213,1000,9*10^-4,L213,0.6,0.36,7)</f>
        <v>20606.874953993363</v>
      </c>
      <c r="U213" s="1">
        <f t="shared" si="45"/>
        <v>0.43567744336301556</v>
      </c>
      <c r="V213" s="1">
        <f t="shared" si="46"/>
        <v>9.0090088288288318E-6</v>
      </c>
      <c r="W213" s="1">
        <f t="shared" si="47"/>
        <v>8.1081081081081082E-7</v>
      </c>
      <c r="X213" s="1">
        <f t="shared" si="48"/>
        <v>3.3333333000000001</v>
      </c>
      <c r="Y213" s="1">
        <f t="shared" si="49"/>
        <v>84.598870834047347</v>
      </c>
      <c r="Z213" s="1">
        <f t="shared" si="50"/>
        <v>3.3333333333333335</v>
      </c>
      <c r="AA213" s="1">
        <f t="shared" si="51"/>
        <v>0.12994421621912966</v>
      </c>
    </row>
    <row r="214" spans="1:27" x14ac:dyDescent="0.25">
      <c r="A214" s="1">
        <v>30</v>
      </c>
      <c r="B214" s="1">
        <v>0.5</v>
      </c>
      <c r="C214" s="1">
        <v>3.3333333000000001</v>
      </c>
      <c r="D214" s="1">
        <f t="shared" si="39"/>
        <v>9.9999999000000006E-2</v>
      </c>
      <c r="E214" s="1">
        <v>10</v>
      </c>
      <c r="F214" s="1">
        <v>1.5</v>
      </c>
      <c r="G214" s="1">
        <v>100</v>
      </c>
      <c r="H214" s="1">
        <v>51.61479671</v>
      </c>
      <c r="J214" s="1">
        <f t="shared" si="40"/>
        <v>0.03</v>
      </c>
      <c r="K214" s="1">
        <f t="shared" si="41"/>
        <v>9.9999999000000006E-2</v>
      </c>
      <c r="L214" s="1">
        <f t="shared" si="42"/>
        <v>5.0000000000000001E-4</v>
      </c>
      <c r="M214" s="1">
        <f t="shared" si="43"/>
        <v>0.35738757669849908</v>
      </c>
      <c r="N214" s="1">
        <f t="shared" si="44"/>
        <v>2.7777777777777776E-2</v>
      </c>
      <c r="O214" s="1">
        <v>370</v>
      </c>
      <c r="P214" s="1">
        <v>3</v>
      </c>
      <c r="Q214" s="1">
        <v>4148</v>
      </c>
      <c r="R214" s="1">
        <f>[1]!HeatTransferArea(J214,D214,0.36,L214)</f>
        <v>0.54286720511164421</v>
      </c>
      <c r="S214" s="1">
        <f>[1]!Convection(J214,N214,1000,9*10^-4,L214,0.6,0.36,7)</f>
        <v>20606.874953993363</v>
      </c>
      <c r="U214" s="1">
        <f t="shared" si="45"/>
        <v>0.29045162890867698</v>
      </c>
      <c r="V214" s="1">
        <f t="shared" si="46"/>
        <v>1.3513513243243247E-5</v>
      </c>
      <c r="W214" s="1">
        <f t="shared" si="47"/>
        <v>1.2162162162162162E-6</v>
      </c>
      <c r="X214" s="1">
        <f t="shared" si="48"/>
        <v>3.3333333000000001</v>
      </c>
      <c r="Y214" s="1">
        <f t="shared" si="49"/>
        <v>56.399247222698229</v>
      </c>
      <c r="Z214" s="1">
        <f t="shared" si="50"/>
        <v>3.3333333333333335</v>
      </c>
      <c r="AA214" s="1">
        <f t="shared" si="51"/>
        <v>8.6740222450586629E-2</v>
      </c>
    </row>
    <row r="215" spans="1:27" x14ac:dyDescent="0.25">
      <c r="A215" s="1">
        <v>30</v>
      </c>
      <c r="B215" s="1">
        <v>0.5</v>
      </c>
      <c r="C215" s="1">
        <v>4.1666666000000001</v>
      </c>
      <c r="D215" s="1">
        <f t="shared" si="39"/>
        <v>0.124999998</v>
      </c>
      <c r="E215" s="1">
        <v>10</v>
      </c>
      <c r="F215" s="1">
        <v>0.5</v>
      </c>
      <c r="G215" s="1">
        <v>100</v>
      </c>
      <c r="H215" s="1">
        <v>50.417093659999999</v>
      </c>
      <c r="J215" s="1">
        <f t="shared" si="40"/>
        <v>0.03</v>
      </c>
      <c r="K215" s="1">
        <f t="shared" si="41"/>
        <v>0.124999998</v>
      </c>
      <c r="L215" s="1">
        <f t="shared" si="42"/>
        <v>5.0000000000000001E-4</v>
      </c>
      <c r="M215" s="1">
        <f t="shared" si="43"/>
        <v>0.446734468192717</v>
      </c>
      <c r="N215" s="1">
        <f t="shared" si="44"/>
        <v>2.7777777777777776E-2</v>
      </c>
      <c r="O215" s="1">
        <v>370</v>
      </c>
      <c r="P215" s="1">
        <v>3</v>
      </c>
      <c r="Q215" s="1">
        <v>4148</v>
      </c>
      <c r="R215" s="1">
        <f>[1]!HeatTransferArea(J215,D215,0.36,L215)</f>
        <v>0.67858400231805105</v>
      </c>
      <c r="S215" s="1">
        <f>[1]!Convection(J215,N215,1000,9*10^-4,L215,0.6,0.36,7)</f>
        <v>20606.874953993363</v>
      </c>
      <c r="U215" s="1">
        <f t="shared" si="45"/>
        <v>0.69708391356332844</v>
      </c>
      <c r="V215" s="1">
        <f t="shared" si="46"/>
        <v>7.0382880630630646E-6</v>
      </c>
      <c r="W215" s="1">
        <f t="shared" si="47"/>
        <v>4.0540540540540541E-7</v>
      </c>
      <c r="X215" s="1">
        <f t="shared" si="48"/>
        <v>4.1666666000000001</v>
      </c>
      <c r="Y215" s="1">
        <f t="shared" si="49"/>
        <v>169.19774166809466</v>
      </c>
      <c r="Z215" s="1">
        <f t="shared" si="50"/>
        <v>3.3333333333333335</v>
      </c>
      <c r="AA215" s="1">
        <f t="shared" si="51"/>
        <v>0.20334587247252656</v>
      </c>
    </row>
    <row r="216" spans="1:27" x14ac:dyDescent="0.25">
      <c r="A216" s="1">
        <v>30</v>
      </c>
      <c r="B216" s="1">
        <v>0.5</v>
      </c>
      <c r="C216" s="1">
        <v>4.1666666000000001</v>
      </c>
      <c r="D216" s="1">
        <f t="shared" si="39"/>
        <v>0.124999998</v>
      </c>
      <c r="E216" s="1">
        <v>10</v>
      </c>
      <c r="F216" s="1">
        <v>1</v>
      </c>
      <c r="G216" s="1">
        <v>100</v>
      </c>
      <c r="H216" s="1">
        <v>51.36212106</v>
      </c>
      <c r="J216" s="1">
        <f t="shared" si="40"/>
        <v>0.03</v>
      </c>
      <c r="K216" s="1">
        <f t="shared" si="41"/>
        <v>0.124999998</v>
      </c>
      <c r="L216" s="1">
        <f t="shared" si="42"/>
        <v>5.0000000000000001E-4</v>
      </c>
      <c r="M216" s="1">
        <f t="shared" si="43"/>
        <v>0.446734468192717</v>
      </c>
      <c r="N216" s="1">
        <f t="shared" si="44"/>
        <v>2.7777777777777776E-2</v>
      </c>
      <c r="O216" s="1">
        <v>370</v>
      </c>
      <c r="P216" s="1">
        <v>3</v>
      </c>
      <c r="Q216" s="1">
        <v>4148</v>
      </c>
      <c r="R216" s="1">
        <f>[1]!HeatTransferArea(J216,D216,0.36,L216)</f>
        <v>0.67858400231805105</v>
      </c>
      <c r="S216" s="1">
        <f>[1]!Convection(J216,N216,1000,9*10^-4,L216,0.6,0.36,7)</f>
        <v>20606.874953993363</v>
      </c>
      <c r="U216" s="1">
        <f t="shared" si="45"/>
        <v>0.34854195678166422</v>
      </c>
      <c r="V216" s="1">
        <f t="shared" si="46"/>
        <v>1.4076576126126129E-5</v>
      </c>
      <c r="W216" s="1">
        <f t="shared" si="47"/>
        <v>8.1081081081081082E-7</v>
      </c>
      <c r="X216" s="1">
        <f t="shared" si="48"/>
        <v>4.1666666000000001</v>
      </c>
      <c r="Y216" s="1">
        <f t="shared" si="49"/>
        <v>84.598870834047332</v>
      </c>
      <c r="Z216" s="1">
        <f t="shared" si="50"/>
        <v>3.3333333333333335</v>
      </c>
      <c r="AA216" s="1">
        <f t="shared" si="51"/>
        <v>0.10357871270227073</v>
      </c>
    </row>
    <row r="217" spans="1:27" x14ac:dyDescent="0.25">
      <c r="A217" s="1">
        <v>30</v>
      </c>
      <c r="B217" s="1">
        <v>0.5</v>
      </c>
      <c r="C217" s="1">
        <v>4.1666666000000001</v>
      </c>
      <c r="D217" s="1">
        <f t="shared" si="39"/>
        <v>0.124999998</v>
      </c>
      <c r="E217" s="1">
        <v>10</v>
      </c>
      <c r="F217" s="1">
        <v>1.5</v>
      </c>
      <c r="G217" s="1">
        <v>100</v>
      </c>
      <c r="H217" s="1">
        <v>51.155702499999997</v>
      </c>
      <c r="J217" s="1">
        <f t="shared" si="40"/>
        <v>0.03</v>
      </c>
      <c r="K217" s="1">
        <f t="shared" si="41"/>
        <v>0.124999998</v>
      </c>
      <c r="L217" s="1">
        <f t="shared" si="42"/>
        <v>5.0000000000000001E-4</v>
      </c>
      <c r="M217" s="1">
        <f t="shared" si="43"/>
        <v>0.446734468192717</v>
      </c>
      <c r="N217" s="1">
        <f t="shared" si="44"/>
        <v>2.7777777777777776E-2</v>
      </c>
      <c r="O217" s="1">
        <v>370</v>
      </c>
      <c r="P217" s="1">
        <v>3</v>
      </c>
      <c r="Q217" s="1">
        <v>4148</v>
      </c>
      <c r="R217" s="1">
        <f>[1]!HeatTransferArea(J217,D217,0.36,L217)</f>
        <v>0.67858400231805105</v>
      </c>
      <c r="S217" s="1">
        <f>[1]!Convection(J217,N217,1000,9*10^-4,L217,0.6,0.36,7)</f>
        <v>20606.874953993363</v>
      </c>
      <c r="U217" s="1">
        <f t="shared" si="45"/>
        <v>0.23236130452110942</v>
      </c>
      <c r="V217" s="1">
        <f t="shared" si="46"/>
        <v>2.1114864189189195E-5</v>
      </c>
      <c r="W217" s="1">
        <f t="shared" si="47"/>
        <v>1.2162162162162162E-6</v>
      </c>
      <c r="X217" s="1">
        <f t="shared" si="48"/>
        <v>4.1666666000000001</v>
      </c>
      <c r="Y217" s="1">
        <f t="shared" si="49"/>
        <v>56.399247222698214</v>
      </c>
      <c r="Z217" s="1">
        <f t="shared" si="50"/>
        <v>3.3333333333333335</v>
      </c>
      <c r="AA217" s="1">
        <f t="shared" si="51"/>
        <v>6.8774961041044053E-2</v>
      </c>
    </row>
    <row r="218" spans="1:27" x14ac:dyDescent="0.25">
      <c r="A218" s="1">
        <f>35</f>
        <v>35</v>
      </c>
      <c r="B218" s="1">
        <v>0.3</v>
      </c>
      <c r="C218" s="1">
        <v>2.152857</v>
      </c>
      <c r="D218" s="1">
        <f t="shared" si="39"/>
        <v>7.5349995000000003E-2</v>
      </c>
      <c r="E218" s="1">
        <v>10</v>
      </c>
      <c r="F218" s="1">
        <v>0.5</v>
      </c>
      <c r="G218" s="1">
        <v>75</v>
      </c>
      <c r="H218" s="1">
        <v>39.208646260000002</v>
      </c>
      <c r="J218" s="1">
        <f t="shared" si="40"/>
        <v>3.5000000000000003E-2</v>
      </c>
      <c r="K218" s="1">
        <f t="shared" si="41"/>
        <v>7.5349995000000003E-2</v>
      </c>
      <c r="L218" s="1">
        <f t="shared" si="42"/>
        <v>2.9999999999999997E-4</v>
      </c>
      <c r="M218" s="1">
        <f t="shared" si="43"/>
        <v>0.36653568526185887</v>
      </c>
      <c r="N218" s="1">
        <f t="shared" si="44"/>
        <v>2.0833333333333332E-2</v>
      </c>
      <c r="O218" s="1">
        <v>370</v>
      </c>
      <c r="P218" s="1">
        <v>3</v>
      </c>
      <c r="Q218" s="1">
        <v>4148</v>
      </c>
      <c r="R218" s="1">
        <f>[1]!HeatTransferArea(J218,D218,0.36,L218)</f>
        <v>0.92793844370090861</v>
      </c>
      <c r="S218" s="1">
        <f>[1]!Convection(J218,N218,1000,9*10^-4,L218,0.6,0.36,7)</f>
        <v>33422.636887896355</v>
      </c>
      <c r="U218" s="1">
        <f t="shared" si="45"/>
        <v>0.63720551081322585</v>
      </c>
      <c r="V218" s="1">
        <f t="shared" si="46"/>
        <v>2.5574872731982099E-6</v>
      </c>
      <c r="W218" s="1">
        <f t="shared" si="47"/>
        <v>5.5180180180180184E-7</v>
      </c>
      <c r="X218" s="1">
        <f t="shared" si="48"/>
        <v>2.152857</v>
      </c>
      <c r="Y218" s="1">
        <f t="shared" si="49"/>
        <v>457.37443568794203</v>
      </c>
      <c r="Z218" s="1">
        <f t="shared" si="50"/>
        <v>3.3333333333333335</v>
      </c>
      <c r="AA218" s="1">
        <f t="shared" si="51"/>
        <v>0.19274033148234046</v>
      </c>
    </row>
    <row r="219" spans="1:27" x14ac:dyDescent="0.25">
      <c r="A219" s="1">
        <f>35</f>
        <v>35</v>
      </c>
      <c r="B219" s="1">
        <v>0.3</v>
      </c>
      <c r="C219" s="1">
        <v>2.152857</v>
      </c>
      <c r="D219" s="1">
        <f t="shared" si="39"/>
        <v>7.5349995000000003E-2</v>
      </c>
      <c r="E219" s="1">
        <v>10</v>
      </c>
      <c r="F219" s="1">
        <v>1</v>
      </c>
      <c r="G219" s="1">
        <v>75</v>
      </c>
      <c r="H219" s="1">
        <v>39.341806849999998</v>
      </c>
      <c r="J219" s="1">
        <f t="shared" si="40"/>
        <v>3.5000000000000003E-2</v>
      </c>
      <c r="K219" s="1">
        <f t="shared" si="41"/>
        <v>7.5349995000000003E-2</v>
      </c>
      <c r="L219" s="1">
        <f t="shared" si="42"/>
        <v>2.9999999999999997E-4</v>
      </c>
      <c r="M219" s="1">
        <f t="shared" si="43"/>
        <v>0.36653568526185887</v>
      </c>
      <c r="N219" s="1">
        <f t="shared" si="44"/>
        <v>2.0833333333333332E-2</v>
      </c>
      <c r="O219" s="1">
        <v>370</v>
      </c>
      <c r="P219" s="1">
        <v>3</v>
      </c>
      <c r="Q219" s="1">
        <v>4148</v>
      </c>
      <c r="R219" s="1">
        <f>[1]!HeatTransferArea(J219,D219,0.36,L219)</f>
        <v>0.92793844370090861</v>
      </c>
      <c r="S219" s="1">
        <f>[1]!Convection(J219,N219,1000,9*10^-4,L219,0.6,0.36,7)</f>
        <v>33422.636887896355</v>
      </c>
      <c r="U219" s="1">
        <f t="shared" si="45"/>
        <v>0.31860275540661293</v>
      </c>
      <c r="V219" s="1">
        <f t="shared" si="46"/>
        <v>5.1149745463964198E-6</v>
      </c>
      <c r="W219" s="1">
        <f t="shared" si="47"/>
        <v>1.1036036036036037E-6</v>
      </c>
      <c r="X219" s="1">
        <f t="shared" si="48"/>
        <v>2.152857</v>
      </c>
      <c r="Y219" s="1">
        <f t="shared" si="49"/>
        <v>228.68721784397101</v>
      </c>
      <c r="Z219" s="1">
        <f t="shared" si="50"/>
        <v>3.3333333333333335</v>
      </c>
      <c r="AA219" s="1">
        <f t="shared" si="51"/>
        <v>9.6697458554173651E-2</v>
      </c>
    </row>
    <row r="220" spans="1:27" x14ac:dyDescent="0.25">
      <c r="A220" s="1">
        <f>35</f>
        <v>35</v>
      </c>
      <c r="B220" s="1">
        <v>0.3</v>
      </c>
      <c r="C220" s="1">
        <v>2.152857</v>
      </c>
      <c r="D220" s="1">
        <f t="shared" si="39"/>
        <v>7.5349995000000003E-2</v>
      </c>
      <c r="E220" s="1">
        <v>10</v>
      </c>
      <c r="F220" s="1">
        <v>1.5</v>
      </c>
      <c r="G220" s="1">
        <v>75</v>
      </c>
      <c r="H220" s="1">
        <v>39.054236549999999</v>
      </c>
      <c r="J220" s="1">
        <f t="shared" si="40"/>
        <v>3.5000000000000003E-2</v>
      </c>
      <c r="K220" s="1">
        <f t="shared" si="41"/>
        <v>7.5349995000000003E-2</v>
      </c>
      <c r="L220" s="1">
        <f t="shared" si="42"/>
        <v>2.9999999999999997E-4</v>
      </c>
      <c r="M220" s="1">
        <f t="shared" si="43"/>
        <v>0.36653568526185887</v>
      </c>
      <c r="N220" s="1">
        <f t="shared" si="44"/>
        <v>2.0833333333333332E-2</v>
      </c>
      <c r="O220" s="1">
        <v>370</v>
      </c>
      <c r="P220" s="1">
        <v>3</v>
      </c>
      <c r="Q220" s="1">
        <v>4148</v>
      </c>
      <c r="R220" s="1">
        <f>[1]!HeatTransferArea(J220,D220,0.36,L220)</f>
        <v>0.92793844370090861</v>
      </c>
      <c r="S220" s="1">
        <f>[1]!Convection(J220,N220,1000,9*10^-4,L220,0.6,0.36,7)</f>
        <v>33422.636887896355</v>
      </c>
      <c r="U220" s="1">
        <f t="shared" si="45"/>
        <v>0.21240183693774192</v>
      </c>
      <c r="V220" s="1">
        <f t="shared" si="46"/>
        <v>7.6724618195946293E-6</v>
      </c>
      <c r="W220" s="1">
        <f t="shared" si="47"/>
        <v>1.6554054054054055E-6</v>
      </c>
      <c r="X220" s="1">
        <f t="shared" si="48"/>
        <v>2.152857</v>
      </c>
      <c r="Y220" s="1">
        <f t="shared" si="49"/>
        <v>152.458145229314</v>
      </c>
      <c r="Z220" s="1">
        <f t="shared" si="50"/>
        <v>3.3333333333333335</v>
      </c>
      <c r="AA220" s="1">
        <f t="shared" si="51"/>
        <v>6.3993763420799238E-2</v>
      </c>
    </row>
    <row r="221" spans="1:27" x14ac:dyDescent="0.25">
      <c r="A221" s="1">
        <f>35</f>
        <v>35</v>
      </c>
      <c r="B221" s="1">
        <v>0.3</v>
      </c>
      <c r="C221" s="1">
        <v>2.867143</v>
      </c>
      <c r="D221" s="1">
        <f t="shared" si="39"/>
        <v>0.10035000499999999</v>
      </c>
      <c r="E221" s="1">
        <v>10</v>
      </c>
      <c r="F221" s="1">
        <v>0.5</v>
      </c>
      <c r="G221" s="1">
        <v>75</v>
      </c>
      <c r="H221" s="1">
        <v>38.945402870000002</v>
      </c>
      <c r="J221" s="1">
        <f t="shared" si="40"/>
        <v>3.5000000000000003E-2</v>
      </c>
      <c r="K221" s="1">
        <f t="shared" si="41"/>
        <v>0.10035000499999999</v>
      </c>
      <c r="L221" s="1">
        <f t="shared" si="42"/>
        <v>2.9999999999999997E-4</v>
      </c>
      <c r="M221" s="1">
        <f t="shared" si="43"/>
        <v>0.48814678552674029</v>
      </c>
      <c r="N221" s="1">
        <f t="shared" si="44"/>
        <v>2.0833333333333332E-2</v>
      </c>
      <c r="O221" s="1">
        <v>370</v>
      </c>
      <c r="P221" s="1">
        <v>3</v>
      </c>
      <c r="Q221" s="1">
        <v>4148</v>
      </c>
      <c r="R221" s="1">
        <f>[1]!HeatTransferArea(J221,D221,0.36,L221)</f>
        <v>1.2358146469031404</v>
      </c>
      <c r="S221" s="1">
        <f>[1]!Convection(J221,N221,1000,9*10^-4,L221,0.6,0.36,7)</f>
        <v>33422.636887896355</v>
      </c>
      <c r="U221" s="1">
        <f t="shared" si="45"/>
        <v>0.47845968770752945</v>
      </c>
      <c r="V221" s="1">
        <f t="shared" si="46"/>
        <v>4.5360916682432538E-6</v>
      </c>
      <c r="W221" s="1">
        <f t="shared" si="47"/>
        <v>5.5180180180180184E-7</v>
      </c>
      <c r="X221" s="1">
        <f t="shared" si="48"/>
        <v>2.867143</v>
      </c>
      <c r="Y221" s="1">
        <f t="shared" si="49"/>
        <v>457.37443568794203</v>
      </c>
      <c r="Z221" s="1">
        <f t="shared" si="50"/>
        <v>3.3333333333333335</v>
      </c>
      <c r="AA221" s="1">
        <f t="shared" si="51"/>
        <v>0.14375163197549953</v>
      </c>
    </row>
    <row r="222" spans="1:27" x14ac:dyDescent="0.25">
      <c r="A222" s="1">
        <f>35</f>
        <v>35</v>
      </c>
      <c r="B222" s="1">
        <v>0.3</v>
      </c>
      <c r="C222" s="1">
        <v>2.867143</v>
      </c>
      <c r="D222" s="1">
        <f t="shared" si="39"/>
        <v>0.10035000499999999</v>
      </c>
      <c r="E222" s="1">
        <v>10</v>
      </c>
      <c r="F222" s="1">
        <v>1</v>
      </c>
      <c r="G222" s="1">
        <v>75</v>
      </c>
      <c r="H222" s="1">
        <v>38.564374360000002</v>
      </c>
      <c r="J222" s="1">
        <f t="shared" si="40"/>
        <v>3.5000000000000003E-2</v>
      </c>
      <c r="K222" s="1">
        <f t="shared" si="41"/>
        <v>0.10035000499999999</v>
      </c>
      <c r="L222" s="1">
        <f t="shared" si="42"/>
        <v>2.9999999999999997E-4</v>
      </c>
      <c r="M222" s="1">
        <f t="shared" si="43"/>
        <v>0.48814678552674029</v>
      </c>
      <c r="N222" s="1">
        <f t="shared" si="44"/>
        <v>2.0833333333333332E-2</v>
      </c>
      <c r="O222" s="1">
        <v>370</v>
      </c>
      <c r="P222" s="1">
        <v>3</v>
      </c>
      <c r="Q222" s="1">
        <v>4148</v>
      </c>
      <c r="R222" s="1">
        <f>[1]!HeatTransferArea(J222,D222,0.36,L222)</f>
        <v>1.2358146469031404</v>
      </c>
      <c r="S222" s="1">
        <f>[1]!Convection(J222,N222,1000,9*10^-4,L222,0.6,0.36,7)</f>
        <v>33422.636887896355</v>
      </c>
      <c r="U222" s="1">
        <f t="shared" si="45"/>
        <v>0.23922984385376472</v>
      </c>
      <c r="V222" s="1">
        <f t="shared" si="46"/>
        <v>9.0721833364865076E-6</v>
      </c>
      <c r="W222" s="1">
        <f t="shared" si="47"/>
        <v>1.1036036036036037E-6</v>
      </c>
      <c r="X222" s="1">
        <f t="shared" si="48"/>
        <v>2.867143</v>
      </c>
      <c r="Y222" s="1">
        <f t="shared" si="49"/>
        <v>228.68721784397101</v>
      </c>
      <c r="Z222" s="1">
        <f t="shared" si="50"/>
        <v>3.3333333333333335</v>
      </c>
      <c r="AA222" s="1">
        <f t="shared" si="51"/>
        <v>7.1172607571540453E-2</v>
      </c>
    </row>
    <row r="223" spans="1:27" x14ac:dyDescent="0.25">
      <c r="A223" s="1">
        <f>35</f>
        <v>35</v>
      </c>
      <c r="B223" s="1">
        <v>0.3</v>
      </c>
      <c r="C223" s="1">
        <v>2.867143</v>
      </c>
      <c r="D223" s="1">
        <f t="shared" si="39"/>
        <v>0.10035000499999999</v>
      </c>
      <c r="E223" s="1">
        <v>10</v>
      </c>
      <c r="F223" s="1">
        <v>1.5</v>
      </c>
      <c r="G223" s="1">
        <v>75</v>
      </c>
      <c r="H223" s="1">
        <v>38.145007790000001</v>
      </c>
      <c r="J223" s="1">
        <f t="shared" si="40"/>
        <v>3.5000000000000003E-2</v>
      </c>
      <c r="K223" s="1">
        <f t="shared" si="41"/>
        <v>0.10035000499999999</v>
      </c>
      <c r="L223" s="1">
        <f t="shared" si="42"/>
        <v>2.9999999999999997E-4</v>
      </c>
      <c r="M223" s="1">
        <f t="shared" si="43"/>
        <v>0.48814678552674029</v>
      </c>
      <c r="N223" s="1">
        <f t="shared" si="44"/>
        <v>2.0833333333333332E-2</v>
      </c>
      <c r="O223" s="1">
        <v>370</v>
      </c>
      <c r="P223" s="1">
        <v>3</v>
      </c>
      <c r="Q223" s="1">
        <v>4148</v>
      </c>
      <c r="R223" s="1">
        <f>[1]!HeatTransferArea(J223,D223,0.36,L223)</f>
        <v>1.2358146469031404</v>
      </c>
      <c r="S223" s="1">
        <f>[1]!Convection(J223,N223,1000,9*10^-4,L223,0.6,0.36,7)</f>
        <v>33422.636887896355</v>
      </c>
      <c r="U223" s="1">
        <f t="shared" si="45"/>
        <v>0.15948656256917651</v>
      </c>
      <c r="V223" s="1">
        <f t="shared" si="46"/>
        <v>1.3608275004729761E-5</v>
      </c>
      <c r="W223" s="1">
        <f t="shared" si="47"/>
        <v>1.6554054054054055E-6</v>
      </c>
      <c r="X223" s="1">
        <f t="shared" si="48"/>
        <v>2.867143</v>
      </c>
      <c r="Y223" s="1">
        <f t="shared" si="49"/>
        <v>152.45814522931403</v>
      </c>
      <c r="Z223" s="1">
        <f t="shared" si="50"/>
        <v>3.3333333333333335</v>
      </c>
      <c r="AA223" s="1">
        <f t="shared" si="51"/>
        <v>4.6932429481979253E-2</v>
      </c>
    </row>
    <row r="224" spans="1:27" x14ac:dyDescent="0.25">
      <c r="A224" s="1">
        <f>35</f>
        <v>35</v>
      </c>
      <c r="B224" s="1">
        <v>0.3</v>
      </c>
      <c r="C224" s="1">
        <v>3.581429</v>
      </c>
      <c r="D224" s="1">
        <f t="shared" si="39"/>
        <v>0.12535001500000001</v>
      </c>
      <c r="E224" s="1">
        <v>10</v>
      </c>
      <c r="F224" s="1">
        <v>0.5</v>
      </c>
      <c r="G224" s="1">
        <v>75</v>
      </c>
      <c r="H224" s="1">
        <v>38.478744200000001</v>
      </c>
      <c r="J224" s="1">
        <f t="shared" si="40"/>
        <v>3.5000000000000003E-2</v>
      </c>
      <c r="K224" s="1">
        <f t="shared" si="41"/>
        <v>0.12535001500000001</v>
      </c>
      <c r="L224" s="1">
        <f t="shared" si="42"/>
        <v>2.9999999999999997E-4</v>
      </c>
      <c r="M224" s="1">
        <f t="shared" si="43"/>
        <v>0.60975788579162205</v>
      </c>
      <c r="N224" s="1">
        <f t="shared" si="44"/>
        <v>2.0833333333333332E-2</v>
      </c>
      <c r="O224" s="1">
        <v>370</v>
      </c>
      <c r="P224" s="1">
        <v>3</v>
      </c>
      <c r="Q224" s="1">
        <v>4148</v>
      </c>
      <c r="R224" s="1">
        <f>[1]!HeatTransferArea(J224,D224,0.36,L224)</f>
        <v>1.5436908501053723</v>
      </c>
      <c r="S224" s="1">
        <f>[1]!Convection(J224,N224,1000,9*10^-4,L224,0.6,0.36,7)</f>
        <v>33422.636887896355</v>
      </c>
      <c r="U224" s="1">
        <f t="shared" si="45"/>
        <v>0.38303491271021389</v>
      </c>
      <c r="V224" s="1">
        <f t="shared" si="46"/>
        <v>7.0777595768019032E-6</v>
      </c>
      <c r="W224" s="1">
        <f t="shared" si="47"/>
        <v>5.5180180180180184E-7</v>
      </c>
      <c r="X224" s="1">
        <f t="shared" si="48"/>
        <v>3.581429</v>
      </c>
      <c r="Y224" s="1">
        <f t="shared" si="49"/>
        <v>457.37443568794197</v>
      </c>
      <c r="Z224" s="1">
        <f t="shared" si="50"/>
        <v>3.3333333333333335</v>
      </c>
      <c r="AA224" s="1">
        <f t="shared" si="51"/>
        <v>0.11370262237875141</v>
      </c>
    </row>
    <row r="225" spans="1:27" x14ac:dyDescent="0.25">
      <c r="A225" s="1">
        <f>35</f>
        <v>35</v>
      </c>
      <c r="B225" s="1">
        <v>0.3</v>
      </c>
      <c r="C225" s="1">
        <v>3.581429</v>
      </c>
      <c r="D225" s="1">
        <f t="shared" si="39"/>
        <v>0.12535001500000001</v>
      </c>
      <c r="E225" s="1">
        <v>10</v>
      </c>
      <c r="F225" s="1">
        <v>1</v>
      </c>
      <c r="G225" s="1">
        <v>75</v>
      </c>
      <c r="H225" s="1">
        <v>37.865846980000001</v>
      </c>
      <c r="J225" s="1">
        <f t="shared" si="40"/>
        <v>3.5000000000000003E-2</v>
      </c>
      <c r="K225" s="1">
        <f t="shared" si="41"/>
        <v>0.12535001500000001</v>
      </c>
      <c r="L225" s="1">
        <f t="shared" si="42"/>
        <v>2.9999999999999997E-4</v>
      </c>
      <c r="M225" s="1">
        <f t="shared" si="43"/>
        <v>0.60975788579162205</v>
      </c>
      <c r="N225" s="1">
        <f t="shared" si="44"/>
        <v>2.0833333333333332E-2</v>
      </c>
      <c r="O225" s="1">
        <v>370</v>
      </c>
      <c r="P225" s="1">
        <v>3</v>
      </c>
      <c r="Q225" s="1">
        <v>4148</v>
      </c>
      <c r="R225" s="1">
        <f>[1]!HeatTransferArea(J225,D225,0.36,L225)</f>
        <v>1.5436908501053723</v>
      </c>
      <c r="S225" s="1">
        <f>[1]!Convection(J225,N225,1000,9*10^-4,L225,0.6,0.36,7)</f>
        <v>33422.636887896355</v>
      </c>
      <c r="U225" s="1">
        <f t="shared" si="45"/>
        <v>0.19151745635510695</v>
      </c>
      <c r="V225" s="1">
        <f t="shared" si="46"/>
        <v>1.4155519153603806E-5</v>
      </c>
      <c r="W225" s="1">
        <f t="shared" si="47"/>
        <v>1.1036036036036037E-6</v>
      </c>
      <c r="X225" s="1">
        <f t="shared" si="48"/>
        <v>3.581429</v>
      </c>
      <c r="Y225" s="1">
        <f t="shared" si="49"/>
        <v>228.68721784397098</v>
      </c>
      <c r="Z225" s="1">
        <f t="shared" si="50"/>
        <v>3.3333333333333335</v>
      </c>
      <c r="AA225" s="1">
        <f t="shared" si="51"/>
        <v>5.5945772006490334E-2</v>
      </c>
    </row>
    <row r="226" spans="1:27" x14ac:dyDescent="0.25">
      <c r="A226" s="1">
        <f>35</f>
        <v>35</v>
      </c>
      <c r="B226" s="1">
        <v>0.3</v>
      </c>
      <c r="C226" s="1">
        <v>3.581429</v>
      </c>
      <c r="D226" s="1">
        <f t="shared" si="39"/>
        <v>0.12535001500000001</v>
      </c>
      <c r="E226" s="1">
        <v>10</v>
      </c>
      <c r="F226" s="1">
        <v>1.5</v>
      </c>
      <c r="G226" s="1">
        <v>75</v>
      </c>
      <c r="H226" s="1">
        <v>37.356741919999997</v>
      </c>
      <c r="J226" s="1">
        <f t="shared" si="40"/>
        <v>3.5000000000000003E-2</v>
      </c>
      <c r="K226" s="1">
        <f t="shared" si="41"/>
        <v>0.12535001500000001</v>
      </c>
      <c r="L226" s="1">
        <f t="shared" si="42"/>
        <v>2.9999999999999997E-4</v>
      </c>
      <c r="M226" s="1">
        <f t="shared" si="43"/>
        <v>0.60975788579162205</v>
      </c>
      <c r="N226" s="1">
        <f t="shared" si="44"/>
        <v>2.0833333333333332E-2</v>
      </c>
      <c r="O226" s="1">
        <v>370</v>
      </c>
      <c r="P226" s="1">
        <v>3</v>
      </c>
      <c r="Q226" s="1">
        <v>4148</v>
      </c>
      <c r="R226" s="1">
        <f>[1]!HeatTransferArea(J226,D226,0.36,L226)</f>
        <v>1.5436908501053723</v>
      </c>
      <c r="S226" s="1">
        <f>[1]!Convection(J226,N226,1000,9*10^-4,L226,0.6,0.36,7)</f>
        <v>33422.636887896355</v>
      </c>
      <c r="U226" s="1">
        <f t="shared" si="45"/>
        <v>0.12767830423673798</v>
      </c>
      <c r="V226" s="1">
        <f t="shared" si="46"/>
        <v>2.1233278730405711E-5</v>
      </c>
      <c r="W226" s="1">
        <f t="shared" si="47"/>
        <v>1.6554054054054055E-6</v>
      </c>
      <c r="X226" s="1">
        <f t="shared" si="48"/>
        <v>3.581429</v>
      </c>
      <c r="Y226" s="1">
        <f t="shared" si="49"/>
        <v>152.458145229314</v>
      </c>
      <c r="Z226" s="1">
        <f t="shared" si="50"/>
        <v>3.3333333333333335</v>
      </c>
      <c r="AA226" s="1">
        <f t="shared" si="51"/>
        <v>3.6795721968409356E-2</v>
      </c>
    </row>
    <row r="227" spans="1:27" x14ac:dyDescent="0.25">
      <c r="A227" s="1">
        <f>35</f>
        <v>35</v>
      </c>
      <c r="B227" s="1">
        <v>0.4</v>
      </c>
      <c r="C227" s="1">
        <v>2.152857</v>
      </c>
      <c r="D227" s="1">
        <f t="shared" si="39"/>
        <v>7.5349995000000003E-2</v>
      </c>
      <c r="E227" s="1">
        <v>10</v>
      </c>
      <c r="F227" s="1">
        <v>0.5</v>
      </c>
      <c r="G227" s="1">
        <v>75</v>
      </c>
      <c r="H227" s="1">
        <v>39.262245829999998</v>
      </c>
      <c r="J227" s="1">
        <f t="shared" si="40"/>
        <v>3.5000000000000003E-2</v>
      </c>
      <c r="K227" s="1">
        <f t="shared" si="41"/>
        <v>7.5349995000000003E-2</v>
      </c>
      <c r="L227" s="1">
        <f t="shared" si="42"/>
        <v>4.0000000000000002E-4</v>
      </c>
      <c r="M227" s="1">
        <f t="shared" si="43"/>
        <v>0.36653568526185887</v>
      </c>
      <c r="N227" s="1">
        <f t="shared" si="44"/>
        <v>2.0833333333333332E-2</v>
      </c>
      <c r="O227" s="1">
        <v>370</v>
      </c>
      <c r="P227" s="1">
        <v>3</v>
      </c>
      <c r="Q227" s="1">
        <v>4148</v>
      </c>
      <c r="R227" s="1">
        <f>[1]!HeatTransferArea(J227,D227,0.36,L227)</f>
        <v>0.69595383277568135</v>
      </c>
      <c r="S227" s="1">
        <f>[1]!Convection(J227,N227,1000,9*10^-4,L227,0.6,0.36,7)</f>
        <v>25205.197460363899</v>
      </c>
      <c r="U227" s="1">
        <f t="shared" si="45"/>
        <v>0.63720551081322585</v>
      </c>
      <c r="V227" s="1">
        <f t="shared" si="46"/>
        <v>2.5574872731982099E-6</v>
      </c>
      <c r="W227" s="1">
        <f t="shared" si="47"/>
        <v>5.5180180180180184E-7</v>
      </c>
      <c r="X227" s="1">
        <f t="shared" si="48"/>
        <v>2.152857</v>
      </c>
      <c r="Y227" s="1">
        <f t="shared" si="49"/>
        <v>258.6917289808132</v>
      </c>
      <c r="Z227" s="1">
        <f t="shared" si="50"/>
        <v>3.3333333333333335</v>
      </c>
      <c r="AA227" s="1">
        <f t="shared" si="51"/>
        <v>0.19300381415451956</v>
      </c>
    </row>
    <row r="228" spans="1:27" x14ac:dyDescent="0.25">
      <c r="A228" s="1">
        <f>35</f>
        <v>35</v>
      </c>
      <c r="B228" s="1">
        <v>0.4</v>
      </c>
      <c r="C228" s="1">
        <v>2.152857</v>
      </c>
      <c r="D228" s="1">
        <f t="shared" si="39"/>
        <v>7.5349995000000003E-2</v>
      </c>
      <c r="E228" s="1">
        <v>10</v>
      </c>
      <c r="F228" s="1">
        <v>1</v>
      </c>
      <c r="G228" s="1">
        <v>75</v>
      </c>
      <c r="H228" s="1">
        <v>39.596818489999997</v>
      </c>
      <c r="J228" s="1">
        <f t="shared" si="40"/>
        <v>3.5000000000000003E-2</v>
      </c>
      <c r="K228" s="1">
        <f t="shared" si="41"/>
        <v>7.5349995000000003E-2</v>
      </c>
      <c r="L228" s="1">
        <f t="shared" si="42"/>
        <v>4.0000000000000002E-4</v>
      </c>
      <c r="M228" s="1">
        <f t="shared" si="43"/>
        <v>0.36653568526185887</v>
      </c>
      <c r="N228" s="1">
        <f t="shared" si="44"/>
        <v>2.0833333333333332E-2</v>
      </c>
      <c r="O228" s="1">
        <v>370</v>
      </c>
      <c r="P228" s="1">
        <v>3</v>
      </c>
      <c r="Q228" s="1">
        <v>4148</v>
      </c>
      <c r="R228" s="1">
        <f>[1]!HeatTransferArea(J228,D228,0.36,L228)</f>
        <v>0.69595383277568135</v>
      </c>
      <c r="S228" s="1">
        <f>[1]!Convection(J228,N228,1000,9*10^-4,L228,0.6,0.36,7)</f>
        <v>25205.197460363899</v>
      </c>
      <c r="U228" s="1">
        <f t="shared" si="45"/>
        <v>0.31860275540661293</v>
      </c>
      <c r="V228" s="1">
        <f t="shared" si="46"/>
        <v>5.1149745463964198E-6</v>
      </c>
      <c r="W228" s="1">
        <f t="shared" si="47"/>
        <v>1.1036036036036037E-6</v>
      </c>
      <c r="X228" s="1">
        <f t="shared" si="48"/>
        <v>2.152857</v>
      </c>
      <c r="Y228" s="1">
        <f t="shared" si="49"/>
        <v>129.3458644904066</v>
      </c>
      <c r="Z228" s="1">
        <f t="shared" si="50"/>
        <v>3.3333333333333335</v>
      </c>
      <c r="AA228" s="1">
        <f t="shared" si="51"/>
        <v>9.7324246682734955E-2</v>
      </c>
    </row>
    <row r="229" spans="1:27" x14ac:dyDescent="0.25">
      <c r="A229" s="1">
        <f>35</f>
        <v>35</v>
      </c>
      <c r="B229" s="1">
        <v>0.4</v>
      </c>
      <c r="C229" s="1">
        <v>2.152857</v>
      </c>
      <c r="D229" s="1">
        <f t="shared" si="39"/>
        <v>7.5349995000000003E-2</v>
      </c>
      <c r="E229" s="1">
        <v>10</v>
      </c>
      <c r="F229" s="1">
        <v>1.5</v>
      </c>
      <c r="G229" s="1">
        <v>75</v>
      </c>
      <c r="H229" s="1">
        <v>39.364683620000001</v>
      </c>
      <c r="J229" s="1">
        <f t="shared" si="40"/>
        <v>3.5000000000000003E-2</v>
      </c>
      <c r="K229" s="1">
        <f t="shared" si="41"/>
        <v>7.5349995000000003E-2</v>
      </c>
      <c r="L229" s="1">
        <f t="shared" si="42"/>
        <v>4.0000000000000002E-4</v>
      </c>
      <c r="M229" s="1">
        <f t="shared" si="43"/>
        <v>0.36653568526185887</v>
      </c>
      <c r="N229" s="1">
        <f t="shared" si="44"/>
        <v>2.0833333333333332E-2</v>
      </c>
      <c r="O229" s="1">
        <v>370</v>
      </c>
      <c r="P229" s="1">
        <v>3</v>
      </c>
      <c r="Q229" s="1">
        <v>4148</v>
      </c>
      <c r="R229" s="1">
        <f>[1]!HeatTransferArea(J229,D229,0.36,L229)</f>
        <v>0.69595383277568135</v>
      </c>
      <c r="S229" s="1">
        <f>[1]!Convection(J229,N229,1000,9*10^-4,L229,0.6,0.36,7)</f>
        <v>25205.197460363899</v>
      </c>
      <c r="U229" s="1">
        <f t="shared" si="45"/>
        <v>0.21240183693774192</v>
      </c>
      <c r="V229" s="1">
        <f t="shared" si="46"/>
        <v>7.6724618195946293E-6</v>
      </c>
      <c r="W229" s="1">
        <f t="shared" si="47"/>
        <v>1.6554054054054055E-6</v>
      </c>
      <c r="X229" s="1">
        <f t="shared" si="48"/>
        <v>2.152857</v>
      </c>
      <c r="Y229" s="1">
        <f t="shared" si="49"/>
        <v>86.230576326937737</v>
      </c>
      <c r="Z229" s="1">
        <f t="shared" si="50"/>
        <v>3.3333333333333335</v>
      </c>
      <c r="AA229" s="1">
        <f t="shared" si="51"/>
        <v>6.4502457946854719E-2</v>
      </c>
    </row>
    <row r="230" spans="1:27" x14ac:dyDescent="0.25">
      <c r="A230" s="1">
        <f>35</f>
        <v>35</v>
      </c>
      <c r="B230" s="1">
        <v>0.4</v>
      </c>
      <c r="C230" s="1">
        <v>2.867143</v>
      </c>
      <c r="D230" s="1">
        <f t="shared" si="39"/>
        <v>0.10035000499999999</v>
      </c>
      <c r="E230" s="1">
        <v>10</v>
      </c>
      <c r="F230" s="1">
        <v>0.5</v>
      </c>
      <c r="G230" s="1">
        <v>75</v>
      </c>
      <c r="H230" s="1">
        <v>39.247410469999998</v>
      </c>
      <c r="J230" s="1">
        <f t="shared" si="40"/>
        <v>3.5000000000000003E-2</v>
      </c>
      <c r="K230" s="1">
        <f t="shared" si="41"/>
        <v>0.10035000499999999</v>
      </c>
      <c r="L230" s="1">
        <f t="shared" si="42"/>
        <v>4.0000000000000002E-4</v>
      </c>
      <c r="M230" s="1">
        <f t="shared" si="43"/>
        <v>0.48814678552674029</v>
      </c>
      <c r="N230" s="1">
        <f t="shared" si="44"/>
        <v>2.0833333333333332E-2</v>
      </c>
      <c r="O230" s="1">
        <v>370</v>
      </c>
      <c r="P230" s="1">
        <v>3</v>
      </c>
      <c r="Q230" s="1">
        <v>4148</v>
      </c>
      <c r="R230" s="1">
        <f>[1]!HeatTransferArea(J230,D230,0.36,L230)</f>
        <v>0.92686098517735516</v>
      </c>
      <c r="S230" s="1">
        <f>[1]!Convection(J230,N230,1000,9*10^-4,L230,0.6,0.36,7)</f>
        <v>25205.197460363899</v>
      </c>
      <c r="U230" s="1">
        <f t="shared" si="45"/>
        <v>0.47845968770752945</v>
      </c>
      <c r="V230" s="1">
        <f t="shared" si="46"/>
        <v>4.5360916682432538E-6</v>
      </c>
      <c r="W230" s="1">
        <f t="shared" si="47"/>
        <v>5.5180180180180184E-7</v>
      </c>
      <c r="X230" s="1">
        <f t="shared" si="48"/>
        <v>2.867143</v>
      </c>
      <c r="Y230" s="1">
        <f t="shared" si="49"/>
        <v>258.6917289808132</v>
      </c>
      <c r="Z230" s="1">
        <f t="shared" si="50"/>
        <v>3.3333333333333335</v>
      </c>
      <c r="AA230" s="1">
        <f t="shared" si="51"/>
        <v>0.14486637420872073</v>
      </c>
    </row>
    <row r="231" spans="1:27" x14ac:dyDescent="0.25">
      <c r="A231" s="1">
        <f>35</f>
        <v>35</v>
      </c>
      <c r="B231" s="1">
        <v>0.4</v>
      </c>
      <c r="C231" s="1">
        <v>2.867143</v>
      </c>
      <c r="D231" s="1">
        <f t="shared" si="39"/>
        <v>0.10035000499999999</v>
      </c>
      <c r="E231" s="1">
        <v>10</v>
      </c>
      <c r="F231" s="1">
        <v>1</v>
      </c>
      <c r="G231" s="1">
        <v>75</v>
      </c>
      <c r="H231" s="1">
        <v>38.994966910000002</v>
      </c>
      <c r="J231" s="1">
        <f t="shared" si="40"/>
        <v>3.5000000000000003E-2</v>
      </c>
      <c r="K231" s="1">
        <f t="shared" si="41"/>
        <v>0.10035000499999999</v>
      </c>
      <c r="L231" s="1">
        <f t="shared" si="42"/>
        <v>4.0000000000000002E-4</v>
      </c>
      <c r="M231" s="1">
        <f t="shared" si="43"/>
        <v>0.48814678552674029</v>
      </c>
      <c r="N231" s="1">
        <f t="shared" si="44"/>
        <v>2.0833333333333332E-2</v>
      </c>
      <c r="O231" s="1">
        <v>370</v>
      </c>
      <c r="P231" s="1">
        <v>3</v>
      </c>
      <c r="Q231" s="1">
        <v>4148</v>
      </c>
      <c r="R231" s="1">
        <f>[1]!HeatTransferArea(J231,D231,0.36,L231)</f>
        <v>0.92686098517735516</v>
      </c>
      <c r="S231" s="1">
        <f>[1]!Convection(J231,N231,1000,9*10^-4,L231,0.6,0.36,7)</f>
        <v>25205.197460363899</v>
      </c>
      <c r="U231" s="1">
        <f t="shared" si="45"/>
        <v>0.23922984385376472</v>
      </c>
      <c r="V231" s="1">
        <f t="shared" si="46"/>
        <v>9.0721833364865076E-6</v>
      </c>
      <c r="W231" s="1">
        <f t="shared" si="47"/>
        <v>1.1036036036036037E-6</v>
      </c>
      <c r="X231" s="1">
        <f t="shared" si="48"/>
        <v>2.867143</v>
      </c>
      <c r="Y231" s="1">
        <f t="shared" si="49"/>
        <v>129.3458644904066</v>
      </c>
      <c r="Z231" s="1">
        <f t="shared" si="50"/>
        <v>3.3333333333333335</v>
      </c>
      <c r="AA231" s="1">
        <f t="shared" si="51"/>
        <v>7.1967289064316486E-2</v>
      </c>
    </row>
    <row r="232" spans="1:27" x14ac:dyDescent="0.25">
      <c r="A232" s="1">
        <f>35</f>
        <v>35</v>
      </c>
      <c r="B232" s="1">
        <v>0.4</v>
      </c>
      <c r="C232" s="1">
        <v>2.867143</v>
      </c>
      <c r="D232" s="1">
        <f t="shared" si="39"/>
        <v>0.10035000499999999</v>
      </c>
      <c r="E232" s="1">
        <v>10</v>
      </c>
      <c r="F232" s="1">
        <v>1.5</v>
      </c>
      <c r="G232" s="1">
        <v>75</v>
      </c>
      <c r="H232" s="1">
        <v>38.623086630000003</v>
      </c>
      <c r="J232" s="1">
        <f t="shared" si="40"/>
        <v>3.5000000000000003E-2</v>
      </c>
      <c r="K232" s="1">
        <f t="shared" si="41"/>
        <v>0.10035000499999999</v>
      </c>
      <c r="L232" s="1">
        <f t="shared" si="42"/>
        <v>4.0000000000000002E-4</v>
      </c>
      <c r="M232" s="1">
        <f t="shared" si="43"/>
        <v>0.48814678552674029</v>
      </c>
      <c r="N232" s="1">
        <f t="shared" si="44"/>
        <v>2.0833333333333332E-2</v>
      </c>
      <c r="O232" s="1">
        <v>370</v>
      </c>
      <c r="P232" s="1">
        <v>3</v>
      </c>
      <c r="Q232" s="1">
        <v>4148</v>
      </c>
      <c r="R232" s="1">
        <f>[1]!HeatTransferArea(J232,D232,0.36,L232)</f>
        <v>0.92686098517735516</v>
      </c>
      <c r="S232" s="1">
        <f>[1]!Convection(J232,N232,1000,9*10^-4,L232,0.6,0.36,7)</f>
        <v>25205.197460363899</v>
      </c>
      <c r="U232" s="1">
        <f t="shared" si="45"/>
        <v>0.15948656256917651</v>
      </c>
      <c r="V232" s="1">
        <f t="shared" si="46"/>
        <v>1.3608275004729761E-5</v>
      </c>
      <c r="W232" s="1">
        <f t="shared" si="47"/>
        <v>1.6554054054054055E-6</v>
      </c>
      <c r="X232" s="1">
        <f t="shared" si="48"/>
        <v>2.867143</v>
      </c>
      <c r="Y232" s="1">
        <f t="shared" si="49"/>
        <v>86.230576326937751</v>
      </c>
      <c r="Z232" s="1">
        <f t="shared" si="50"/>
        <v>3.3333333333333335</v>
      </c>
      <c r="AA232" s="1">
        <f t="shared" si="51"/>
        <v>4.752064279599013E-2</v>
      </c>
    </row>
    <row r="233" spans="1:27" x14ac:dyDescent="0.25">
      <c r="A233" s="1">
        <f>35</f>
        <v>35</v>
      </c>
      <c r="B233" s="1">
        <v>0.4</v>
      </c>
      <c r="C233" s="1">
        <v>3.581429</v>
      </c>
      <c r="D233" s="1">
        <f t="shared" si="39"/>
        <v>0.12535001500000001</v>
      </c>
      <c r="E233" s="1">
        <v>10</v>
      </c>
      <c r="F233" s="1">
        <v>0.5</v>
      </c>
      <c r="G233" s="1">
        <v>75</v>
      </c>
      <c r="H233" s="1">
        <v>38.945282319999997</v>
      </c>
      <c r="J233" s="1">
        <f t="shared" si="40"/>
        <v>3.5000000000000003E-2</v>
      </c>
      <c r="K233" s="1">
        <f t="shared" si="41"/>
        <v>0.12535001500000001</v>
      </c>
      <c r="L233" s="1">
        <f t="shared" si="42"/>
        <v>4.0000000000000002E-4</v>
      </c>
      <c r="M233" s="1">
        <f t="shared" si="43"/>
        <v>0.60975788579162205</v>
      </c>
      <c r="N233" s="1">
        <f t="shared" si="44"/>
        <v>2.0833333333333332E-2</v>
      </c>
      <c r="O233" s="1">
        <v>370</v>
      </c>
      <c r="P233" s="1">
        <v>3</v>
      </c>
      <c r="Q233" s="1">
        <v>4148</v>
      </c>
      <c r="R233" s="1">
        <f>[1]!HeatTransferArea(J233,D233,0.36,L233)</f>
        <v>1.1577681375790292</v>
      </c>
      <c r="S233" s="1">
        <f>[1]!Convection(J233,N233,1000,9*10^-4,L233,0.6,0.36,7)</f>
        <v>25205.197460363899</v>
      </c>
      <c r="U233" s="1">
        <f t="shared" si="45"/>
        <v>0.38303491271021389</v>
      </c>
      <c r="V233" s="1">
        <f t="shared" si="46"/>
        <v>7.0777595768019032E-6</v>
      </c>
      <c r="W233" s="1">
        <f t="shared" si="47"/>
        <v>5.5180180180180184E-7</v>
      </c>
      <c r="X233" s="1">
        <f t="shared" si="48"/>
        <v>3.581429</v>
      </c>
      <c r="Y233" s="1">
        <f t="shared" si="49"/>
        <v>258.6917289808132</v>
      </c>
      <c r="Z233" s="1">
        <f t="shared" si="50"/>
        <v>3.3333333333333335</v>
      </c>
      <c r="AA233" s="1">
        <f t="shared" si="51"/>
        <v>0.11508121746511736</v>
      </c>
    </row>
    <row r="234" spans="1:27" x14ac:dyDescent="0.25">
      <c r="A234" s="1">
        <f>35</f>
        <v>35</v>
      </c>
      <c r="B234" s="1">
        <v>0.4</v>
      </c>
      <c r="C234" s="1">
        <v>3.581429</v>
      </c>
      <c r="D234" s="1">
        <f t="shared" si="39"/>
        <v>0.12535001500000001</v>
      </c>
      <c r="E234" s="1">
        <v>10</v>
      </c>
      <c r="F234" s="1">
        <v>1</v>
      </c>
      <c r="G234" s="1">
        <v>75</v>
      </c>
      <c r="H234" s="1">
        <v>38.439520209999998</v>
      </c>
      <c r="J234" s="1">
        <f t="shared" si="40"/>
        <v>3.5000000000000003E-2</v>
      </c>
      <c r="K234" s="1">
        <f t="shared" si="41"/>
        <v>0.12535001500000001</v>
      </c>
      <c r="L234" s="1">
        <f t="shared" si="42"/>
        <v>4.0000000000000002E-4</v>
      </c>
      <c r="M234" s="1">
        <f t="shared" si="43"/>
        <v>0.60975788579162205</v>
      </c>
      <c r="N234" s="1">
        <f t="shared" si="44"/>
        <v>2.0833333333333332E-2</v>
      </c>
      <c r="O234" s="1">
        <v>370</v>
      </c>
      <c r="P234" s="1">
        <v>3</v>
      </c>
      <c r="Q234" s="1">
        <v>4148</v>
      </c>
      <c r="R234" s="1">
        <f>[1]!HeatTransferArea(J234,D234,0.36,L234)</f>
        <v>1.1577681375790292</v>
      </c>
      <c r="S234" s="1">
        <f>[1]!Convection(J234,N234,1000,9*10^-4,L234,0.6,0.36,7)</f>
        <v>25205.197460363899</v>
      </c>
      <c r="U234" s="1">
        <f t="shared" si="45"/>
        <v>0.19151745635510695</v>
      </c>
      <c r="V234" s="1">
        <f t="shared" si="46"/>
        <v>1.4155519153603806E-5</v>
      </c>
      <c r="W234" s="1">
        <f t="shared" si="47"/>
        <v>1.1036036036036037E-6</v>
      </c>
      <c r="X234" s="1">
        <f t="shared" si="48"/>
        <v>3.581429</v>
      </c>
      <c r="Y234" s="1">
        <f t="shared" si="49"/>
        <v>129.3458644904066</v>
      </c>
      <c r="Z234" s="1">
        <f t="shared" si="50"/>
        <v>3.3333333333333335</v>
      </c>
      <c r="AA234" s="1">
        <f t="shared" si="51"/>
        <v>5.679335879753078E-2</v>
      </c>
    </row>
    <row r="235" spans="1:27" x14ac:dyDescent="0.25">
      <c r="A235" s="1">
        <f>35</f>
        <v>35</v>
      </c>
      <c r="B235" s="1">
        <v>0.4</v>
      </c>
      <c r="C235" s="1">
        <v>3.581429</v>
      </c>
      <c r="D235" s="1">
        <f t="shared" si="39"/>
        <v>0.12535001500000001</v>
      </c>
      <c r="E235" s="1">
        <v>10</v>
      </c>
      <c r="F235" s="1">
        <v>1.5</v>
      </c>
      <c r="G235" s="1">
        <v>75</v>
      </c>
      <c r="H235" s="1">
        <v>37.971214060000001</v>
      </c>
      <c r="J235" s="1">
        <f t="shared" si="40"/>
        <v>3.5000000000000003E-2</v>
      </c>
      <c r="K235" s="1">
        <f t="shared" si="41"/>
        <v>0.12535001500000001</v>
      </c>
      <c r="L235" s="1">
        <f t="shared" si="42"/>
        <v>4.0000000000000002E-4</v>
      </c>
      <c r="M235" s="1">
        <f t="shared" si="43"/>
        <v>0.60975788579162205</v>
      </c>
      <c r="N235" s="1">
        <f t="shared" si="44"/>
        <v>2.0833333333333332E-2</v>
      </c>
      <c r="O235" s="1">
        <v>370</v>
      </c>
      <c r="P235" s="1">
        <v>3</v>
      </c>
      <c r="Q235" s="1">
        <v>4148</v>
      </c>
      <c r="R235" s="1">
        <f>[1]!HeatTransferArea(J235,D235,0.36,L235)</f>
        <v>1.1577681375790292</v>
      </c>
      <c r="S235" s="1">
        <f>[1]!Convection(J235,N235,1000,9*10^-4,L235,0.6,0.36,7)</f>
        <v>25205.197460363899</v>
      </c>
      <c r="U235" s="1">
        <f t="shared" si="45"/>
        <v>0.12767830423673798</v>
      </c>
      <c r="V235" s="1">
        <f t="shared" si="46"/>
        <v>2.1233278730405711E-5</v>
      </c>
      <c r="W235" s="1">
        <f t="shared" si="47"/>
        <v>1.6554054054054055E-6</v>
      </c>
      <c r="X235" s="1">
        <f t="shared" si="48"/>
        <v>3.581429</v>
      </c>
      <c r="Y235" s="1">
        <f t="shared" si="49"/>
        <v>86.230576326937737</v>
      </c>
      <c r="Z235" s="1">
        <f t="shared" si="50"/>
        <v>3.3333333333333335</v>
      </c>
      <c r="AA235" s="1">
        <f t="shared" si="51"/>
        <v>3.7400966025002765E-2</v>
      </c>
    </row>
    <row r="236" spans="1:27" x14ac:dyDescent="0.25">
      <c r="A236" s="1">
        <f>35</f>
        <v>35</v>
      </c>
      <c r="B236" s="1">
        <v>0.5</v>
      </c>
      <c r="C236" s="1">
        <v>2.152857</v>
      </c>
      <c r="D236" s="1">
        <f t="shared" si="39"/>
        <v>7.5349995000000003E-2</v>
      </c>
      <c r="E236" s="1">
        <v>10</v>
      </c>
      <c r="F236" s="1">
        <v>0.5</v>
      </c>
      <c r="G236" s="1">
        <v>75</v>
      </c>
      <c r="H236" s="1">
        <v>39.058623439999998</v>
      </c>
      <c r="J236" s="1">
        <f t="shared" si="40"/>
        <v>3.5000000000000003E-2</v>
      </c>
      <c r="K236" s="1">
        <f t="shared" si="41"/>
        <v>7.5349995000000003E-2</v>
      </c>
      <c r="L236" s="1">
        <f t="shared" si="42"/>
        <v>5.0000000000000001E-4</v>
      </c>
      <c r="M236" s="1">
        <f t="shared" si="43"/>
        <v>0.36653568526185887</v>
      </c>
      <c r="N236" s="1">
        <f t="shared" si="44"/>
        <v>2.0833333333333332E-2</v>
      </c>
      <c r="O236" s="1">
        <v>370</v>
      </c>
      <c r="P236" s="1">
        <v>3</v>
      </c>
      <c r="Q236" s="1">
        <v>4148</v>
      </c>
      <c r="R236" s="1">
        <f>[1]!HeatTransferArea(J236,D236,0.36,L236)</f>
        <v>0.55676306622054517</v>
      </c>
      <c r="S236" s="1">
        <f>[1]!Convection(J236,N236,1000,9*10^-4,L236,0.6,0.36,7)</f>
        <v>20264.082406437239</v>
      </c>
      <c r="U236" s="1">
        <f t="shared" si="45"/>
        <v>0.63720551081322585</v>
      </c>
      <c r="V236" s="1">
        <f t="shared" si="46"/>
        <v>2.5574872731982099E-6</v>
      </c>
      <c r="W236" s="1">
        <f t="shared" si="47"/>
        <v>5.5180180180180184E-7</v>
      </c>
      <c r="X236" s="1">
        <f t="shared" si="48"/>
        <v>2.152857</v>
      </c>
      <c r="Y236" s="1">
        <f t="shared" si="49"/>
        <v>166.38316036759966</v>
      </c>
      <c r="Z236" s="1">
        <f t="shared" si="50"/>
        <v>3.3333333333333335</v>
      </c>
      <c r="AA236" s="1">
        <f t="shared" si="51"/>
        <v>0.19200285516487281</v>
      </c>
    </row>
    <row r="237" spans="1:27" x14ac:dyDescent="0.25">
      <c r="A237" s="1">
        <f>35</f>
        <v>35</v>
      </c>
      <c r="B237" s="1">
        <v>0.5</v>
      </c>
      <c r="C237" s="1">
        <v>2.152857</v>
      </c>
      <c r="D237" s="1">
        <f t="shared" si="39"/>
        <v>7.5349995000000003E-2</v>
      </c>
      <c r="E237" s="1">
        <v>10</v>
      </c>
      <c r="F237" s="1">
        <v>1</v>
      </c>
      <c r="G237" s="1">
        <v>75</v>
      </c>
      <c r="H237" s="1">
        <v>39.548520510000003</v>
      </c>
      <c r="J237" s="1">
        <f t="shared" si="40"/>
        <v>3.5000000000000003E-2</v>
      </c>
      <c r="K237" s="1">
        <f t="shared" si="41"/>
        <v>7.5349995000000003E-2</v>
      </c>
      <c r="L237" s="1">
        <f t="shared" si="42"/>
        <v>5.0000000000000001E-4</v>
      </c>
      <c r="M237" s="1">
        <f t="shared" si="43"/>
        <v>0.36653568526185887</v>
      </c>
      <c r="N237" s="1">
        <f t="shared" si="44"/>
        <v>2.0833333333333332E-2</v>
      </c>
      <c r="O237" s="1">
        <v>370</v>
      </c>
      <c r="P237" s="1">
        <v>3</v>
      </c>
      <c r="Q237" s="1">
        <v>4148</v>
      </c>
      <c r="R237" s="1">
        <f>[1]!HeatTransferArea(J237,D237,0.36,L237)</f>
        <v>0.55676306622054517</v>
      </c>
      <c r="S237" s="1">
        <f>[1]!Convection(J237,N237,1000,9*10^-4,L237,0.6,0.36,7)</f>
        <v>20264.082406437239</v>
      </c>
      <c r="U237" s="1">
        <f t="shared" si="45"/>
        <v>0.31860275540661293</v>
      </c>
      <c r="V237" s="1">
        <f t="shared" si="46"/>
        <v>5.1149745463964198E-6</v>
      </c>
      <c r="W237" s="1">
        <f t="shared" si="47"/>
        <v>1.1036036036036037E-6</v>
      </c>
      <c r="X237" s="1">
        <f t="shared" si="48"/>
        <v>2.152857</v>
      </c>
      <c r="Y237" s="1">
        <f t="shared" si="49"/>
        <v>83.191580183799829</v>
      </c>
      <c r="Z237" s="1">
        <f t="shared" si="50"/>
        <v>3.3333333333333335</v>
      </c>
      <c r="AA237" s="1">
        <f t="shared" si="51"/>
        <v>9.7205536021145206E-2</v>
      </c>
    </row>
    <row r="238" spans="1:27" x14ac:dyDescent="0.25">
      <c r="A238" s="1">
        <f>35</f>
        <v>35</v>
      </c>
      <c r="B238" s="1">
        <v>0.5</v>
      </c>
      <c r="C238" s="1">
        <v>2.152857</v>
      </c>
      <c r="D238" s="1">
        <f t="shared" si="39"/>
        <v>7.5349995000000003E-2</v>
      </c>
      <c r="E238" s="1">
        <v>10</v>
      </c>
      <c r="F238" s="1">
        <v>1.5</v>
      </c>
      <c r="G238" s="1">
        <v>75</v>
      </c>
      <c r="H238" s="1">
        <v>39.335542940000003</v>
      </c>
      <c r="J238" s="1">
        <f t="shared" si="40"/>
        <v>3.5000000000000003E-2</v>
      </c>
      <c r="K238" s="1">
        <f t="shared" si="41"/>
        <v>7.5349995000000003E-2</v>
      </c>
      <c r="L238" s="1">
        <f t="shared" si="42"/>
        <v>5.0000000000000001E-4</v>
      </c>
      <c r="M238" s="1">
        <f t="shared" si="43"/>
        <v>0.36653568526185887</v>
      </c>
      <c r="N238" s="1">
        <f t="shared" si="44"/>
        <v>2.0833333333333332E-2</v>
      </c>
      <c r="O238" s="1">
        <v>370</v>
      </c>
      <c r="P238" s="1">
        <v>3</v>
      </c>
      <c r="Q238" s="1">
        <v>4148</v>
      </c>
      <c r="R238" s="1">
        <f>[1]!HeatTransferArea(J238,D238,0.36,L238)</f>
        <v>0.55676306622054517</v>
      </c>
      <c r="S238" s="1">
        <f>[1]!Convection(J238,N238,1000,9*10^-4,L238,0.6,0.36,7)</f>
        <v>20264.082406437239</v>
      </c>
      <c r="U238" s="1">
        <f t="shared" si="45"/>
        <v>0.21240183693774192</v>
      </c>
      <c r="V238" s="1">
        <f t="shared" si="46"/>
        <v>7.6724618195946293E-6</v>
      </c>
      <c r="W238" s="1">
        <f t="shared" si="47"/>
        <v>1.6554054054054055E-6</v>
      </c>
      <c r="X238" s="1">
        <f t="shared" si="48"/>
        <v>2.152857</v>
      </c>
      <c r="Y238" s="1">
        <f t="shared" si="49"/>
        <v>55.461053455866555</v>
      </c>
      <c r="Z238" s="1">
        <f t="shared" si="50"/>
        <v>3.3333333333333335</v>
      </c>
      <c r="AA238" s="1">
        <f t="shared" si="51"/>
        <v>6.4454708408095876E-2</v>
      </c>
    </row>
    <row r="239" spans="1:27" x14ac:dyDescent="0.25">
      <c r="A239" s="1">
        <f>35</f>
        <v>35</v>
      </c>
      <c r="B239" s="1">
        <v>0.5</v>
      </c>
      <c r="C239" s="1">
        <v>2.867143</v>
      </c>
      <c r="D239" s="1">
        <f t="shared" si="39"/>
        <v>0.10035000499999999</v>
      </c>
      <c r="E239" s="1">
        <v>10</v>
      </c>
      <c r="F239" s="1">
        <v>0.5</v>
      </c>
      <c r="G239" s="1">
        <v>75</v>
      </c>
      <c r="H239" s="1">
        <v>39.288059560000001</v>
      </c>
      <c r="J239" s="1">
        <f t="shared" si="40"/>
        <v>3.5000000000000003E-2</v>
      </c>
      <c r="K239" s="1">
        <f t="shared" si="41"/>
        <v>0.10035000499999999</v>
      </c>
      <c r="L239" s="1">
        <f t="shared" si="42"/>
        <v>5.0000000000000001E-4</v>
      </c>
      <c r="M239" s="1">
        <f t="shared" si="43"/>
        <v>0.48814678552674029</v>
      </c>
      <c r="N239" s="1">
        <f t="shared" si="44"/>
        <v>2.0833333333333332E-2</v>
      </c>
      <c r="O239" s="1">
        <v>370</v>
      </c>
      <c r="P239" s="1">
        <v>3</v>
      </c>
      <c r="Q239" s="1">
        <v>4148</v>
      </c>
      <c r="R239" s="1">
        <f>[1]!HeatTransferArea(J239,D239,0.36,L239)</f>
        <v>0.74148878814188413</v>
      </c>
      <c r="S239" s="1">
        <f>[1]!Convection(J239,N239,1000,9*10^-4,L239,0.6,0.36,7)</f>
        <v>20264.082406437239</v>
      </c>
      <c r="U239" s="1">
        <f t="shared" si="45"/>
        <v>0.47845968770752945</v>
      </c>
      <c r="V239" s="1">
        <f t="shared" si="46"/>
        <v>4.5360916682432538E-6</v>
      </c>
      <c r="W239" s="1">
        <f t="shared" si="47"/>
        <v>5.5180180180180184E-7</v>
      </c>
      <c r="X239" s="1">
        <f t="shared" si="48"/>
        <v>2.867143</v>
      </c>
      <c r="Y239" s="1">
        <f t="shared" si="49"/>
        <v>166.38316036759966</v>
      </c>
      <c r="Z239" s="1">
        <f t="shared" si="50"/>
        <v>3.3333333333333335</v>
      </c>
      <c r="AA239" s="1">
        <f t="shared" si="51"/>
        <v>0.14501641433143622</v>
      </c>
    </row>
    <row r="240" spans="1:27" x14ac:dyDescent="0.25">
      <c r="A240" s="1">
        <f>35</f>
        <v>35</v>
      </c>
      <c r="B240" s="1">
        <v>0.5</v>
      </c>
      <c r="C240" s="1">
        <v>2.867143</v>
      </c>
      <c r="D240" s="1">
        <f t="shared" si="39"/>
        <v>0.10035000499999999</v>
      </c>
      <c r="E240" s="1">
        <v>10</v>
      </c>
      <c r="F240" s="1">
        <v>1</v>
      </c>
      <c r="G240" s="1">
        <v>75</v>
      </c>
      <c r="H240" s="1">
        <v>39.103740999999999</v>
      </c>
      <c r="J240" s="1">
        <f t="shared" si="40"/>
        <v>3.5000000000000003E-2</v>
      </c>
      <c r="K240" s="1">
        <f t="shared" si="41"/>
        <v>0.10035000499999999</v>
      </c>
      <c r="L240" s="1">
        <f t="shared" si="42"/>
        <v>5.0000000000000001E-4</v>
      </c>
      <c r="M240" s="1">
        <f t="shared" si="43"/>
        <v>0.48814678552674029</v>
      </c>
      <c r="N240" s="1">
        <f t="shared" si="44"/>
        <v>2.0833333333333332E-2</v>
      </c>
      <c r="O240" s="1">
        <v>370</v>
      </c>
      <c r="P240" s="1">
        <v>3</v>
      </c>
      <c r="Q240" s="1">
        <v>4148</v>
      </c>
      <c r="R240" s="1">
        <f>[1]!HeatTransferArea(J240,D240,0.36,L240)</f>
        <v>0.74148878814188413</v>
      </c>
      <c r="S240" s="1">
        <f>[1]!Convection(J240,N240,1000,9*10^-4,L240,0.6,0.36,7)</f>
        <v>20264.082406437239</v>
      </c>
      <c r="U240" s="1">
        <f t="shared" si="45"/>
        <v>0.23922984385376472</v>
      </c>
      <c r="V240" s="1">
        <f t="shared" si="46"/>
        <v>9.0721833364865076E-6</v>
      </c>
      <c r="W240" s="1">
        <f t="shared" si="47"/>
        <v>1.1036036036036037E-6</v>
      </c>
      <c r="X240" s="1">
        <f t="shared" si="48"/>
        <v>2.867143</v>
      </c>
      <c r="Y240" s="1">
        <f t="shared" si="49"/>
        <v>83.191580183799829</v>
      </c>
      <c r="Z240" s="1">
        <f t="shared" si="50"/>
        <v>3.3333333333333335</v>
      </c>
      <c r="AA240" s="1">
        <f t="shared" si="51"/>
        <v>7.2168037442839422E-2</v>
      </c>
    </row>
    <row r="241" spans="1:27" x14ac:dyDescent="0.25">
      <c r="A241" s="1">
        <f>35</f>
        <v>35</v>
      </c>
      <c r="B241" s="1">
        <v>0.5</v>
      </c>
      <c r="C241" s="1">
        <v>2.867143</v>
      </c>
      <c r="D241" s="1">
        <f t="shared" si="39"/>
        <v>0.10035000499999999</v>
      </c>
      <c r="E241" s="1">
        <v>10</v>
      </c>
      <c r="F241" s="1">
        <v>1.5</v>
      </c>
      <c r="G241" s="1">
        <v>75</v>
      </c>
      <c r="H241" s="1">
        <v>38.726431839999996</v>
      </c>
      <c r="J241" s="1">
        <f t="shared" si="40"/>
        <v>3.5000000000000003E-2</v>
      </c>
      <c r="K241" s="1">
        <f t="shared" si="41"/>
        <v>0.10035000499999999</v>
      </c>
      <c r="L241" s="1">
        <f t="shared" si="42"/>
        <v>5.0000000000000001E-4</v>
      </c>
      <c r="M241" s="1">
        <f t="shared" si="43"/>
        <v>0.48814678552674029</v>
      </c>
      <c r="N241" s="1">
        <f t="shared" si="44"/>
        <v>2.0833333333333332E-2</v>
      </c>
      <c r="O241" s="1">
        <v>370</v>
      </c>
      <c r="P241" s="1">
        <v>3</v>
      </c>
      <c r="Q241" s="1">
        <v>4148</v>
      </c>
      <c r="R241" s="1">
        <f>[1]!HeatTransferArea(J241,D241,0.36,L241)</f>
        <v>0.74148878814188413</v>
      </c>
      <c r="S241" s="1">
        <f>[1]!Convection(J241,N241,1000,9*10^-4,L241,0.6,0.36,7)</f>
        <v>20264.082406437239</v>
      </c>
      <c r="U241" s="1">
        <f t="shared" si="45"/>
        <v>0.15948656256917651</v>
      </c>
      <c r="V241" s="1">
        <f t="shared" si="46"/>
        <v>1.3608275004729761E-5</v>
      </c>
      <c r="W241" s="1">
        <f t="shared" si="47"/>
        <v>1.6554054054054055E-6</v>
      </c>
      <c r="X241" s="1">
        <f t="shared" si="48"/>
        <v>2.867143</v>
      </c>
      <c r="Y241" s="1">
        <f t="shared" si="49"/>
        <v>55.461053455866555</v>
      </c>
      <c r="Z241" s="1">
        <f t="shared" si="50"/>
        <v>3.3333333333333335</v>
      </c>
      <c r="AA241" s="1">
        <f t="shared" si="51"/>
        <v>4.7647795523480106E-2</v>
      </c>
    </row>
    <row r="242" spans="1:27" x14ac:dyDescent="0.25">
      <c r="A242" s="1">
        <f>35</f>
        <v>35</v>
      </c>
      <c r="B242" s="1">
        <v>0.5</v>
      </c>
      <c r="C242" s="1">
        <v>3.581429</v>
      </c>
      <c r="D242" s="1">
        <f t="shared" si="39"/>
        <v>0.12535001500000001</v>
      </c>
      <c r="E242" s="1">
        <v>10</v>
      </c>
      <c r="F242" s="1">
        <v>0.5</v>
      </c>
      <c r="G242" s="1">
        <v>75</v>
      </c>
      <c r="H242" s="1">
        <v>39.117715709999999</v>
      </c>
      <c r="J242" s="1">
        <f t="shared" si="40"/>
        <v>3.5000000000000003E-2</v>
      </c>
      <c r="K242" s="1">
        <f t="shared" si="41"/>
        <v>0.12535001500000001</v>
      </c>
      <c r="L242" s="1">
        <f t="shared" si="42"/>
        <v>5.0000000000000001E-4</v>
      </c>
      <c r="M242" s="1">
        <f t="shared" si="43"/>
        <v>0.60975788579162205</v>
      </c>
      <c r="N242" s="1">
        <f t="shared" si="44"/>
        <v>2.0833333333333332E-2</v>
      </c>
      <c r="O242" s="1">
        <v>370</v>
      </c>
      <c r="P242" s="1">
        <v>3</v>
      </c>
      <c r="Q242" s="1">
        <v>4148</v>
      </c>
      <c r="R242" s="1">
        <f>[1]!HeatTransferArea(J242,D242,0.36,L242)</f>
        <v>0.92621451006322331</v>
      </c>
      <c r="S242" s="1">
        <f>[1]!Convection(J242,N242,1000,9*10^-4,L242,0.6,0.36,7)</f>
        <v>20264.082406437239</v>
      </c>
      <c r="U242" s="1">
        <f t="shared" si="45"/>
        <v>0.38303491271021389</v>
      </c>
      <c r="V242" s="1">
        <f t="shared" si="46"/>
        <v>7.0777595768019032E-6</v>
      </c>
      <c r="W242" s="1">
        <f t="shared" si="47"/>
        <v>5.5180180180180184E-7</v>
      </c>
      <c r="X242" s="1">
        <f t="shared" si="48"/>
        <v>3.581429</v>
      </c>
      <c r="Y242" s="1">
        <f t="shared" si="49"/>
        <v>166.38316036759966</v>
      </c>
      <c r="Z242" s="1">
        <f t="shared" si="50"/>
        <v>3.3333333333333335</v>
      </c>
      <c r="AA242" s="1">
        <f t="shared" si="51"/>
        <v>0.11559074887099567</v>
      </c>
    </row>
    <row r="243" spans="1:27" x14ac:dyDescent="0.25">
      <c r="A243" s="1">
        <f>35</f>
        <v>35</v>
      </c>
      <c r="B243" s="1">
        <v>0.5</v>
      </c>
      <c r="C243" s="1">
        <v>3.581429</v>
      </c>
      <c r="D243" s="1">
        <f t="shared" si="39"/>
        <v>0.12535001500000001</v>
      </c>
      <c r="E243" s="1">
        <v>10</v>
      </c>
      <c r="F243" s="1">
        <v>1</v>
      </c>
      <c r="G243" s="1">
        <v>75</v>
      </c>
      <c r="H243" s="1">
        <v>38.645210030000001</v>
      </c>
      <c r="J243" s="1">
        <f t="shared" si="40"/>
        <v>3.5000000000000003E-2</v>
      </c>
      <c r="K243" s="1">
        <f t="shared" si="41"/>
        <v>0.12535001500000001</v>
      </c>
      <c r="L243" s="1">
        <f t="shared" si="42"/>
        <v>5.0000000000000001E-4</v>
      </c>
      <c r="M243" s="1">
        <f t="shared" si="43"/>
        <v>0.60975788579162205</v>
      </c>
      <c r="N243" s="1">
        <f t="shared" si="44"/>
        <v>2.0833333333333332E-2</v>
      </c>
      <c r="O243" s="1">
        <v>370</v>
      </c>
      <c r="P243" s="1">
        <v>3</v>
      </c>
      <c r="Q243" s="1">
        <v>4148</v>
      </c>
      <c r="R243" s="1">
        <f>[1]!HeatTransferArea(J243,D243,0.36,L243)</f>
        <v>0.92621451006322331</v>
      </c>
      <c r="S243" s="1">
        <f>[1]!Convection(J243,N243,1000,9*10^-4,L243,0.6,0.36,7)</f>
        <v>20264.082406437239</v>
      </c>
      <c r="U243" s="1">
        <f t="shared" si="45"/>
        <v>0.19151745635510695</v>
      </c>
      <c r="V243" s="1">
        <f t="shared" si="46"/>
        <v>1.4155519153603806E-5</v>
      </c>
      <c r="W243" s="1">
        <f t="shared" si="47"/>
        <v>1.1036036036036037E-6</v>
      </c>
      <c r="X243" s="1">
        <f t="shared" si="48"/>
        <v>3.581429</v>
      </c>
      <c r="Y243" s="1">
        <f t="shared" si="49"/>
        <v>83.191580183799829</v>
      </c>
      <c r="Z243" s="1">
        <f t="shared" si="50"/>
        <v>3.3333333333333335</v>
      </c>
      <c r="AA243" s="1">
        <f t="shared" si="51"/>
        <v>5.7097259982676701E-2</v>
      </c>
    </row>
    <row r="244" spans="1:27" x14ac:dyDescent="0.25">
      <c r="A244" s="1">
        <f>35</f>
        <v>35</v>
      </c>
      <c r="B244" s="1">
        <v>0.5</v>
      </c>
      <c r="C244" s="1">
        <v>3.581429</v>
      </c>
      <c r="D244" s="1">
        <f t="shared" si="39"/>
        <v>0.12535001500000001</v>
      </c>
      <c r="E244" s="1">
        <v>10</v>
      </c>
      <c r="F244" s="1">
        <v>1.5</v>
      </c>
      <c r="G244" s="1">
        <v>75</v>
      </c>
      <c r="H244" s="1">
        <v>38.164356730000002</v>
      </c>
      <c r="J244" s="1">
        <f t="shared" si="40"/>
        <v>3.5000000000000003E-2</v>
      </c>
      <c r="K244" s="1">
        <f t="shared" si="41"/>
        <v>0.12535001500000001</v>
      </c>
      <c r="L244" s="1">
        <f t="shared" si="42"/>
        <v>5.0000000000000001E-4</v>
      </c>
      <c r="M244" s="1">
        <f t="shared" si="43"/>
        <v>0.60975788579162205</v>
      </c>
      <c r="N244" s="1">
        <f t="shared" si="44"/>
        <v>2.0833333333333332E-2</v>
      </c>
      <c r="O244" s="1">
        <v>370</v>
      </c>
      <c r="P244" s="1">
        <v>3</v>
      </c>
      <c r="Q244" s="1">
        <v>4148</v>
      </c>
      <c r="R244" s="1">
        <f>[1]!HeatTransferArea(J244,D244,0.36,L244)</f>
        <v>0.92621451006322331</v>
      </c>
      <c r="S244" s="1">
        <f>[1]!Convection(J244,N244,1000,9*10^-4,L244,0.6,0.36,7)</f>
        <v>20264.082406437239</v>
      </c>
      <c r="U244" s="1">
        <f t="shared" si="45"/>
        <v>0.12767830423673798</v>
      </c>
      <c r="V244" s="1">
        <f t="shared" si="46"/>
        <v>2.1233278730405711E-5</v>
      </c>
      <c r="W244" s="1">
        <f t="shared" si="47"/>
        <v>1.6554054054054055E-6</v>
      </c>
      <c r="X244" s="1">
        <f t="shared" si="48"/>
        <v>3.581429</v>
      </c>
      <c r="Y244" s="1">
        <f t="shared" si="49"/>
        <v>55.461053455866548</v>
      </c>
      <c r="Z244" s="1">
        <f t="shared" si="50"/>
        <v>3.3333333333333335</v>
      </c>
      <c r="AA244" s="1">
        <f t="shared" si="51"/>
        <v>3.7591208096990077E-2</v>
      </c>
    </row>
    <row r="245" spans="1:27" x14ac:dyDescent="0.25">
      <c r="A245" s="1">
        <f>35</f>
        <v>35</v>
      </c>
      <c r="B245" s="1">
        <v>0.3</v>
      </c>
      <c r="C245" s="1">
        <v>2.1428569999999998</v>
      </c>
      <c r="D245" s="1">
        <f t="shared" si="39"/>
        <v>7.4999995E-2</v>
      </c>
      <c r="E245" s="1">
        <v>10</v>
      </c>
      <c r="F245" s="1">
        <v>0.5</v>
      </c>
      <c r="G245" s="1">
        <v>100</v>
      </c>
      <c r="H245" s="1">
        <v>50.838586280000001</v>
      </c>
      <c r="J245" s="1">
        <f t="shared" si="40"/>
        <v>3.5000000000000003E-2</v>
      </c>
      <c r="K245" s="1">
        <f t="shared" si="41"/>
        <v>7.4999995E-2</v>
      </c>
      <c r="L245" s="1">
        <f t="shared" si="42"/>
        <v>2.9999999999999997E-4</v>
      </c>
      <c r="M245" s="1">
        <f t="shared" si="43"/>
        <v>0.36483313053917238</v>
      </c>
      <c r="N245" s="1">
        <f t="shared" si="44"/>
        <v>2.7777777777777776E-2</v>
      </c>
      <c r="O245" s="1">
        <v>370</v>
      </c>
      <c r="P245" s="1">
        <v>3</v>
      </c>
      <c r="Q245" s="1">
        <v>4148</v>
      </c>
      <c r="R245" s="1">
        <f>[1]!HeatTransferArea(J245,D245,0.36,L245)</f>
        <v>0.92362817858018342</v>
      </c>
      <c r="S245" s="1">
        <f>[1]!Convection(J245,N245,1000,9*10^-4,L245,0.6,0.36,7)</f>
        <v>33606.929947151868</v>
      </c>
      <c r="U245" s="1">
        <f t="shared" si="45"/>
        <v>0.85357218230479459</v>
      </c>
      <c r="V245" s="1">
        <f t="shared" si="46"/>
        <v>2.5337834459459573E-6</v>
      </c>
      <c r="W245" s="1">
        <f t="shared" si="47"/>
        <v>5.5180180180180184E-7</v>
      </c>
      <c r="X245" s="1">
        <f t="shared" si="48"/>
        <v>2.1428569999999998</v>
      </c>
      <c r="Y245" s="1">
        <f t="shared" si="49"/>
        <v>459.89640707700136</v>
      </c>
      <c r="Z245" s="1">
        <f t="shared" si="50"/>
        <v>3.3333333333333335</v>
      </c>
      <c r="AA245" s="1">
        <f t="shared" si="51"/>
        <v>0.25107658458810139</v>
      </c>
    </row>
    <row r="246" spans="1:27" x14ac:dyDescent="0.25">
      <c r="A246" s="1">
        <f>35</f>
        <v>35</v>
      </c>
      <c r="B246" s="1">
        <v>0.3</v>
      </c>
      <c r="C246" s="1">
        <v>2.1428569999999998</v>
      </c>
      <c r="D246" s="1">
        <f t="shared" si="39"/>
        <v>7.4999995E-2</v>
      </c>
      <c r="E246" s="1">
        <v>10</v>
      </c>
      <c r="F246" s="1">
        <v>1</v>
      </c>
      <c r="G246" s="1">
        <v>100</v>
      </c>
      <c r="H246" s="1">
        <v>52.449575510000003</v>
      </c>
      <c r="J246" s="1">
        <f t="shared" si="40"/>
        <v>3.5000000000000003E-2</v>
      </c>
      <c r="K246" s="1">
        <f t="shared" si="41"/>
        <v>7.4999995E-2</v>
      </c>
      <c r="L246" s="1">
        <f t="shared" si="42"/>
        <v>2.9999999999999997E-4</v>
      </c>
      <c r="M246" s="1">
        <f t="shared" si="43"/>
        <v>0.36483313053917238</v>
      </c>
      <c r="N246" s="1">
        <f t="shared" si="44"/>
        <v>2.7777777777777776E-2</v>
      </c>
      <c r="O246" s="1">
        <v>370</v>
      </c>
      <c r="P246" s="1">
        <v>3</v>
      </c>
      <c r="Q246" s="1">
        <v>4148</v>
      </c>
      <c r="R246" s="1">
        <f>[1]!HeatTransferArea(J246,D246,0.36,L246)</f>
        <v>0.92362817858018342</v>
      </c>
      <c r="S246" s="1">
        <f>[1]!Convection(J246,N246,1000,9*10^-4,L246,0.6,0.36,7)</f>
        <v>33606.929947151868</v>
      </c>
      <c r="U246" s="1">
        <f t="shared" si="45"/>
        <v>0.4267860911523973</v>
      </c>
      <c r="V246" s="1">
        <f t="shared" si="46"/>
        <v>5.0675668918919145E-6</v>
      </c>
      <c r="W246" s="1">
        <f t="shared" si="47"/>
        <v>1.1036036036036037E-6</v>
      </c>
      <c r="X246" s="1">
        <f t="shared" si="48"/>
        <v>2.1428569999999998</v>
      </c>
      <c r="Y246" s="1">
        <f t="shared" si="49"/>
        <v>229.94820353850068</v>
      </c>
      <c r="Z246" s="1">
        <f t="shared" si="50"/>
        <v>3.3333333333333335</v>
      </c>
      <c r="AA246" s="1">
        <f t="shared" si="51"/>
        <v>0.1295163894764633</v>
      </c>
    </row>
    <row r="247" spans="1:27" x14ac:dyDescent="0.25">
      <c r="A247" s="1">
        <f>35</f>
        <v>35</v>
      </c>
      <c r="B247" s="1">
        <v>0.3</v>
      </c>
      <c r="C247" s="1">
        <v>2.1428569999999998</v>
      </c>
      <c r="D247" s="1">
        <f t="shared" si="39"/>
        <v>7.4999995E-2</v>
      </c>
      <c r="E247" s="1">
        <v>10</v>
      </c>
      <c r="F247" s="1">
        <v>1.5</v>
      </c>
      <c r="G247" s="1">
        <v>100</v>
      </c>
      <c r="H247" s="1">
        <v>52.289904890000003</v>
      </c>
      <c r="J247" s="1">
        <f t="shared" si="40"/>
        <v>3.5000000000000003E-2</v>
      </c>
      <c r="K247" s="1">
        <f t="shared" si="41"/>
        <v>7.4999995E-2</v>
      </c>
      <c r="L247" s="1">
        <f t="shared" si="42"/>
        <v>2.9999999999999997E-4</v>
      </c>
      <c r="M247" s="1">
        <f t="shared" si="43"/>
        <v>0.36483313053917238</v>
      </c>
      <c r="N247" s="1">
        <f t="shared" si="44"/>
        <v>2.7777777777777776E-2</v>
      </c>
      <c r="O247" s="1">
        <v>370</v>
      </c>
      <c r="P247" s="1">
        <v>3</v>
      </c>
      <c r="Q247" s="1">
        <v>4148</v>
      </c>
      <c r="R247" s="1">
        <f>[1]!HeatTransferArea(J247,D247,0.36,L247)</f>
        <v>0.92362817858018342</v>
      </c>
      <c r="S247" s="1">
        <f>[1]!Convection(J247,N247,1000,9*10^-4,L247,0.6,0.36,7)</f>
        <v>33606.929947151868</v>
      </c>
      <c r="U247" s="1">
        <f t="shared" si="45"/>
        <v>0.28452406076826486</v>
      </c>
      <c r="V247" s="1">
        <f t="shared" si="46"/>
        <v>7.6013503378378718E-6</v>
      </c>
      <c r="W247" s="1">
        <f t="shared" si="47"/>
        <v>1.6554054054054055E-6</v>
      </c>
      <c r="X247" s="1">
        <f t="shared" si="48"/>
        <v>2.1428569999999998</v>
      </c>
      <c r="Y247" s="1">
        <f t="shared" si="49"/>
        <v>153.29880235900046</v>
      </c>
      <c r="Z247" s="1">
        <f t="shared" si="50"/>
        <v>3.3333333333333335</v>
      </c>
      <c r="AA247" s="1">
        <f t="shared" si="51"/>
        <v>8.6081404492704836E-2</v>
      </c>
    </row>
    <row r="248" spans="1:27" x14ac:dyDescent="0.25">
      <c r="A248" s="1">
        <f>35</f>
        <v>35</v>
      </c>
      <c r="B248" s="1">
        <v>0.3</v>
      </c>
      <c r="C248" s="1">
        <v>2.8571430000000002</v>
      </c>
      <c r="D248" s="1">
        <f t="shared" si="39"/>
        <v>0.100000005</v>
      </c>
      <c r="E248" s="1">
        <v>10</v>
      </c>
      <c r="F248" s="1">
        <v>0.5</v>
      </c>
      <c r="G248" s="1">
        <v>100</v>
      </c>
      <c r="H248" s="1">
        <v>51.391766480000001</v>
      </c>
      <c r="J248" s="1">
        <f t="shared" si="40"/>
        <v>3.5000000000000003E-2</v>
      </c>
      <c r="K248" s="1">
        <f t="shared" si="41"/>
        <v>0.100000005</v>
      </c>
      <c r="L248" s="1">
        <f t="shared" si="42"/>
        <v>2.9999999999999997E-4</v>
      </c>
      <c r="M248" s="1">
        <f t="shared" si="43"/>
        <v>0.48644423080405397</v>
      </c>
      <c r="N248" s="1">
        <f t="shared" si="44"/>
        <v>2.7777777777777776E-2</v>
      </c>
      <c r="O248" s="1">
        <v>370</v>
      </c>
      <c r="P248" s="1">
        <v>3</v>
      </c>
      <c r="Q248" s="1">
        <v>4148</v>
      </c>
      <c r="R248" s="1">
        <f>[1]!HeatTransferArea(J248,D248,0.36,L248)</f>
        <v>1.2315043817824152</v>
      </c>
      <c r="S248" s="1">
        <f>[1]!Convection(J248,N248,1000,9*10^-4,L248,0.6,0.36,7)</f>
        <v>33606.929947151868</v>
      </c>
      <c r="U248" s="1">
        <f t="shared" si="45"/>
        <v>0.6401790620410337</v>
      </c>
      <c r="V248" s="1">
        <f t="shared" si="46"/>
        <v>4.5045049549549668E-6</v>
      </c>
      <c r="W248" s="1">
        <f t="shared" si="47"/>
        <v>5.5180180180180184E-7</v>
      </c>
      <c r="X248" s="1">
        <f t="shared" si="48"/>
        <v>2.8571430000000002</v>
      </c>
      <c r="Y248" s="1">
        <f t="shared" si="49"/>
        <v>459.8964070770013</v>
      </c>
      <c r="Z248" s="1">
        <f t="shared" si="50"/>
        <v>3.3333333333333335</v>
      </c>
      <c r="AA248" s="1">
        <f t="shared" si="51"/>
        <v>0.19035641000076126</v>
      </c>
    </row>
    <row r="249" spans="1:27" x14ac:dyDescent="0.25">
      <c r="A249" s="1">
        <f>35</f>
        <v>35</v>
      </c>
      <c r="B249" s="1">
        <v>0.3</v>
      </c>
      <c r="C249" s="1">
        <v>2.8571430000000002</v>
      </c>
      <c r="D249" s="1">
        <f t="shared" si="39"/>
        <v>0.100000005</v>
      </c>
      <c r="E249" s="1">
        <v>10</v>
      </c>
      <c r="F249" s="1">
        <v>1</v>
      </c>
      <c r="G249" s="1">
        <v>100</v>
      </c>
      <c r="H249" s="1">
        <v>51.511282309999999</v>
      </c>
      <c r="J249" s="1">
        <f t="shared" si="40"/>
        <v>3.5000000000000003E-2</v>
      </c>
      <c r="K249" s="1">
        <f t="shared" si="41"/>
        <v>0.100000005</v>
      </c>
      <c r="L249" s="1">
        <f t="shared" si="42"/>
        <v>2.9999999999999997E-4</v>
      </c>
      <c r="M249" s="1">
        <f t="shared" si="43"/>
        <v>0.48644423080405397</v>
      </c>
      <c r="N249" s="1">
        <f t="shared" si="44"/>
        <v>2.7777777777777776E-2</v>
      </c>
      <c r="O249" s="1">
        <v>370</v>
      </c>
      <c r="P249" s="1">
        <v>3</v>
      </c>
      <c r="Q249" s="1">
        <v>4148</v>
      </c>
      <c r="R249" s="1">
        <f>[1]!HeatTransferArea(J249,D249,0.36,L249)</f>
        <v>1.2315043817824152</v>
      </c>
      <c r="S249" s="1">
        <f>[1]!Convection(J249,N249,1000,9*10^-4,L249,0.6,0.36,7)</f>
        <v>33606.929947151868</v>
      </c>
      <c r="U249" s="1">
        <f t="shared" si="45"/>
        <v>0.32008953102051685</v>
      </c>
      <c r="V249" s="1">
        <f t="shared" si="46"/>
        <v>9.0090099099099335E-6</v>
      </c>
      <c r="W249" s="1">
        <f t="shared" si="47"/>
        <v>1.1036036036036037E-6</v>
      </c>
      <c r="X249" s="1">
        <f t="shared" si="48"/>
        <v>2.8571430000000002</v>
      </c>
      <c r="Y249" s="1">
        <f t="shared" si="49"/>
        <v>229.94820353850065</v>
      </c>
      <c r="Z249" s="1">
        <f t="shared" si="50"/>
        <v>3.3333333333333335</v>
      </c>
      <c r="AA249" s="1">
        <f t="shared" si="51"/>
        <v>9.5399549837261399E-2</v>
      </c>
    </row>
    <row r="250" spans="1:27" x14ac:dyDescent="0.25">
      <c r="A250" s="1">
        <f>35</f>
        <v>35</v>
      </c>
      <c r="B250" s="1">
        <v>0.3</v>
      </c>
      <c r="C250" s="1">
        <v>2.8571430000000002</v>
      </c>
      <c r="D250" s="1">
        <f t="shared" si="39"/>
        <v>0.100000005</v>
      </c>
      <c r="E250" s="1">
        <v>10</v>
      </c>
      <c r="F250" s="1">
        <v>1.5</v>
      </c>
      <c r="G250" s="1">
        <v>100</v>
      </c>
      <c r="H250" s="1">
        <v>51.123868620000003</v>
      </c>
      <c r="J250" s="1">
        <f t="shared" si="40"/>
        <v>3.5000000000000003E-2</v>
      </c>
      <c r="K250" s="1">
        <f t="shared" si="41"/>
        <v>0.100000005</v>
      </c>
      <c r="L250" s="1">
        <f t="shared" si="42"/>
        <v>2.9999999999999997E-4</v>
      </c>
      <c r="M250" s="1">
        <f t="shared" si="43"/>
        <v>0.48644423080405397</v>
      </c>
      <c r="N250" s="1">
        <f t="shared" si="44"/>
        <v>2.7777777777777776E-2</v>
      </c>
      <c r="O250" s="1">
        <v>370</v>
      </c>
      <c r="P250" s="1">
        <v>3</v>
      </c>
      <c r="Q250" s="1">
        <v>4148</v>
      </c>
      <c r="R250" s="1">
        <f>[1]!HeatTransferArea(J250,D250,0.36,L250)</f>
        <v>1.2315043817824152</v>
      </c>
      <c r="S250" s="1">
        <f>[1]!Convection(J250,N250,1000,9*10^-4,L250,0.6,0.36,7)</f>
        <v>33606.929947151868</v>
      </c>
      <c r="U250" s="1">
        <f t="shared" si="45"/>
        <v>0.2133930206803446</v>
      </c>
      <c r="V250" s="1">
        <f t="shared" si="46"/>
        <v>1.35135148648649E-5</v>
      </c>
      <c r="W250" s="1">
        <f t="shared" si="47"/>
        <v>1.6554054054054055E-6</v>
      </c>
      <c r="X250" s="1">
        <f t="shared" si="48"/>
        <v>2.8571430000000002</v>
      </c>
      <c r="Y250" s="1">
        <f t="shared" si="49"/>
        <v>153.29880235900046</v>
      </c>
      <c r="Z250" s="1">
        <f t="shared" si="50"/>
        <v>3.3333333333333335</v>
      </c>
      <c r="AA250" s="1">
        <f t="shared" si="51"/>
        <v>6.3121369838111174E-2</v>
      </c>
    </row>
    <row r="251" spans="1:27" x14ac:dyDescent="0.25">
      <c r="A251" s="1">
        <f>35</f>
        <v>35</v>
      </c>
      <c r="B251" s="1">
        <v>0.3</v>
      </c>
      <c r="C251" s="1">
        <v>3.5714290000000002</v>
      </c>
      <c r="D251" s="1">
        <f t="shared" si="39"/>
        <v>0.12500001499999999</v>
      </c>
      <c r="E251" s="1">
        <v>10</v>
      </c>
      <c r="F251" s="1">
        <v>0.5</v>
      </c>
      <c r="G251" s="1">
        <v>100</v>
      </c>
      <c r="H251" s="1">
        <v>51.0283935</v>
      </c>
      <c r="J251" s="1">
        <f t="shared" si="40"/>
        <v>3.5000000000000003E-2</v>
      </c>
      <c r="K251" s="1">
        <f t="shared" si="41"/>
        <v>0.12500001499999999</v>
      </c>
      <c r="L251" s="1">
        <f t="shared" si="42"/>
        <v>2.9999999999999997E-4</v>
      </c>
      <c r="M251" s="1">
        <f t="shared" si="43"/>
        <v>0.6080553310689355</v>
      </c>
      <c r="N251" s="1">
        <f t="shared" si="44"/>
        <v>2.7777777777777776E-2</v>
      </c>
      <c r="O251" s="1">
        <v>370</v>
      </c>
      <c r="P251" s="1">
        <v>3</v>
      </c>
      <c r="Q251" s="1">
        <v>4148</v>
      </c>
      <c r="R251" s="1">
        <f>[1]!HeatTransferArea(J251,D251,0.36,L251)</f>
        <v>1.5393805849846469</v>
      </c>
      <c r="S251" s="1">
        <f>[1]!Convection(J251,N251,1000,9*10^-4,L251,0.6,0.36,7)</f>
        <v>33606.929947151868</v>
      </c>
      <c r="U251" s="1">
        <f t="shared" si="45"/>
        <v>0.51214321378280381</v>
      </c>
      <c r="V251" s="1">
        <f t="shared" si="46"/>
        <v>7.0382899774775779E-6</v>
      </c>
      <c r="W251" s="1">
        <f t="shared" si="47"/>
        <v>5.5180180180180184E-7</v>
      </c>
      <c r="X251" s="1">
        <f t="shared" si="48"/>
        <v>3.5714290000000002</v>
      </c>
      <c r="Y251" s="1">
        <f t="shared" si="49"/>
        <v>459.8964070770013</v>
      </c>
      <c r="Z251" s="1">
        <f t="shared" si="50"/>
        <v>3.3333333333333335</v>
      </c>
      <c r="AA251" s="1">
        <f t="shared" si="51"/>
        <v>0.15120836320885361</v>
      </c>
    </row>
    <row r="252" spans="1:27" x14ac:dyDescent="0.25">
      <c r="A252" s="1">
        <f>35</f>
        <v>35</v>
      </c>
      <c r="B252" s="1">
        <v>0.3</v>
      </c>
      <c r="C252" s="1">
        <v>3.5714290000000002</v>
      </c>
      <c r="D252" s="1">
        <f t="shared" si="39"/>
        <v>0.12500001499999999</v>
      </c>
      <c r="E252" s="1">
        <v>10</v>
      </c>
      <c r="F252" s="1">
        <v>1</v>
      </c>
      <c r="G252" s="1">
        <v>100</v>
      </c>
      <c r="H252" s="1">
        <v>50.592781309999999</v>
      </c>
      <c r="J252" s="1">
        <f t="shared" si="40"/>
        <v>3.5000000000000003E-2</v>
      </c>
      <c r="K252" s="1">
        <f t="shared" si="41"/>
        <v>0.12500001499999999</v>
      </c>
      <c r="L252" s="1">
        <f t="shared" si="42"/>
        <v>2.9999999999999997E-4</v>
      </c>
      <c r="M252" s="1">
        <f t="shared" si="43"/>
        <v>0.6080553310689355</v>
      </c>
      <c r="N252" s="1">
        <f t="shared" si="44"/>
        <v>2.7777777777777776E-2</v>
      </c>
      <c r="O252" s="1">
        <v>370</v>
      </c>
      <c r="P252" s="1">
        <v>3</v>
      </c>
      <c r="Q252" s="1">
        <v>4148</v>
      </c>
      <c r="R252" s="1">
        <f>[1]!HeatTransferArea(J252,D252,0.36,L252)</f>
        <v>1.5393805849846469</v>
      </c>
      <c r="S252" s="1">
        <f>[1]!Convection(J252,N252,1000,9*10^-4,L252,0.6,0.36,7)</f>
        <v>33606.929947151868</v>
      </c>
      <c r="U252" s="1">
        <f t="shared" si="45"/>
        <v>0.2560716068914019</v>
      </c>
      <c r="V252" s="1">
        <f t="shared" si="46"/>
        <v>1.4076579954955156E-5</v>
      </c>
      <c r="W252" s="1">
        <f t="shared" si="47"/>
        <v>1.1036036036036037E-6</v>
      </c>
      <c r="X252" s="1">
        <f t="shared" si="48"/>
        <v>3.5714290000000002</v>
      </c>
      <c r="Y252" s="1">
        <f t="shared" si="49"/>
        <v>229.94820353850065</v>
      </c>
      <c r="Z252" s="1">
        <f t="shared" si="50"/>
        <v>3.3333333333333335</v>
      </c>
      <c r="AA252" s="1">
        <f t="shared" si="51"/>
        <v>7.4958774197629613E-2</v>
      </c>
    </row>
    <row r="253" spans="1:27" x14ac:dyDescent="0.25">
      <c r="A253" s="1">
        <f>35</f>
        <v>35</v>
      </c>
      <c r="B253" s="1">
        <v>0.3</v>
      </c>
      <c r="C253" s="1">
        <v>3.5714290000000002</v>
      </c>
      <c r="D253" s="1">
        <f t="shared" si="39"/>
        <v>0.12500001499999999</v>
      </c>
      <c r="E253" s="1">
        <v>10</v>
      </c>
      <c r="F253" s="1">
        <v>1.5</v>
      </c>
      <c r="G253" s="1">
        <v>100</v>
      </c>
      <c r="H253" s="1">
        <v>50.084168079999998</v>
      </c>
      <c r="J253" s="1">
        <f t="shared" si="40"/>
        <v>3.5000000000000003E-2</v>
      </c>
      <c r="K253" s="1">
        <f t="shared" si="41"/>
        <v>0.12500001499999999</v>
      </c>
      <c r="L253" s="1">
        <f t="shared" si="42"/>
        <v>2.9999999999999997E-4</v>
      </c>
      <c r="M253" s="1">
        <f t="shared" si="43"/>
        <v>0.6080553310689355</v>
      </c>
      <c r="N253" s="1">
        <f t="shared" si="44"/>
        <v>2.7777777777777776E-2</v>
      </c>
      <c r="O253" s="1">
        <v>370</v>
      </c>
      <c r="P253" s="1">
        <v>3</v>
      </c>
      <c r="Q253" s="1">
        <v>4148</v>
      </c>
      <c r="R253" s="1">
        <f>[1]!HeatTransferArea(J253,D253,0.36,L253)</f>
        <v>1.5393805849846469</v>
      </c>
      <c r="S253" s="1">
        <f>[1]!Convection(J253,N253,1000,9*10^-4,L253,0.6,0.36,7)</f>
        <v>33606.929947151868</v>
      </c>
      <c r="U253" s="1">
        <f t="shared" si="45"/>
        <v>0.17071440459426795</v>
      </c>
      <c r="V253" s="1">
        <f t="shared" si="46"/>
        <v>2.1114869932432732E-5</v>
      </c>
      <c r="W253" s="1">
        <f t="shared" si="47"/>
        <v>1.6554054054054055E-6</v>
      </c>
      <c r="X253" s="1">
        <f t="shared" si="48"/>
        <v>3.5714290000000002</v>
      </c>
      <c r="Y253" s="1">
        <f t="shared" si="49"/>
        <v>153.29880235900043</v>
      </c>
      <c r="Z253" s="1">
        <f t="shared" si="50"/>
        <v>3.3333333333333335</v>
      </c>
      <c r="AA253" s="1">
        <f t="shared" si="51"/>
        <v>4.9470138476623564E-2</v>
      </c>
    </row>
    <row r="254" spans="1:27" x14ac:dyDescent="0.25">
      <c r="A254" s="1">
        <f>35</f>
        <v>35</v>
      </c>
      <c r="B254" s="1">
        <v>0.4</v>
      </c>
      <c r="C254" s="1">
        <v>2.1428569999999998</v>
      </c>
      <c r="D254" s="1">
        <f t="shared" si="39"/>
        <v>7.4999995E-2</v>
      </c>
      <c r="E254" s="1">
        <v>10</v>
      </c>
      <c r="F254" s="1">
        <v>0.5</v>
      </c>
      <c r="G254" s="1">
        <v>100</v>
      </c>
      <c r="H254" s="1">
        <v>50.64453305</v>
      </c>
      <c r="J254" s="1">
        <f t="shared" si="40"/>
        <v>3.5000000000000003E-2</v>
      </c>
      <c r="K254" s="1">
        <f t="shared" si="41"/>
        <v>7.4999995E-2</v>
      </c>
      <c r="L254" s="1">
        <f t="shared" si="42"/>
        <v>4.0000000000000002E-4</v>
      </c>
      <c r="M254" s="1">
        <f t="shared" si="43"/>
        <v>0.36483313053917238</v>
      </c>
      <c r="N254" s="1">
        <f t="shared" si="44"/>
        <v>2.7777777777777776E-2</v>
      </c>
      <c r="O254" s="1">
        <v>370</v>
      </c>
      <c r="P254" s="1">
        <v>3</v>
      </c>
      <c r="Q254" s="1">
        <v>4148</v>
      </c>
      <c r="R254" s="1">
        <f>[1]!HeatTransferArea(J254,D254,0.36,L254)</f>
        <v>0.69272113393513746</v>
      </c>
      <c r="S254" s="1">
        <f>[1]!Convection(J254,N254,1000,9*10^-4,L254,0.6,0.36,7)</f>
        <v>25369.458090571381</v>
      </c>
      <c r="U254" s="1">
        <f t="shared" si="45"/>
        <v>0.85357218230479459</v>
      </c>
      <c r="V254" s="1">
        <f t="shared" si="46"/>
        <v>2.5337834459459573E-6</v>
      </c>
      <c r="W254" s="1">
        <f t="shared" si="47"/>
        <v>5.5180180180180184E-7</v>
      </c>
      <c r="X254" s="1">
        <f t="shared" si="48"/>
        <v>2.1428569999999998</v>
      </c>
      <c r="Y254" s="1">
        <f t="shared" si="49"/>
        <v>260.37760612970965</v>
      </c>
      <c r="Z254" s="1">
        <f t="shared" si="50"/>
        <v>3.3333333333333335</v>
      </c>
      <c r="AA254" s="1">
        <f t="shared" si="51"/>
        <v>0.25011821367769987</v>
      </c>
    </row>
    <row r="255" spans="1:27" x14ac:dyDescent="0.25">
      <c r="A255" s="1">
        <f>35</f>
        <v>35</v>
      </c>
      <c r="B255" s="1">
        <v>0.4</v>
      </c>
      <c r="C255" s="1">
        <v>2.1428569999999998</v>
      </c>
      <c r="D255" s="1">
        <f t="shared" si="39"/>
        <v>7.4999995E-2</v>
      </c>
      <c r="E255" s="1">
        <v>10</v>
      </c>
      <c r="F255" s="1">
        <v>1</v>
      </c>
      <c r="G255" s="1">
        <v>100</v>
      </c>
      <c r="H255" s="1">
        <v>52.70776463</v>
      </c>
      <c r="J255" s="1">
        <f t="shared" si="40"/>
        <v>3.5000000000000003E-2</v>
      </c>
      <c r="K255" s="1">
        <f t="shared" si="41"/>
        <v>7.4999995E-2</v>
      </c>
      <c r="L255" s="1">
        <f t="shared" si="42"/>
        <v>4.0000000000000002E-4</v>
      </c>
      <c r="M255" s="1">
        <f t="shared" si="43"/>
        <v>0.36483313053917238</v>
      </c>
      <c r="N255" s="1">
        <f t="shared" si="44"/>
        <v>2.7777777777777776E-2</v>
      </c>
      <c r="O255" s="1">
        <v>370</v>
      </c>
      <c r="P255" s="1">
        <v>3</v>
      </c>
      <c r="Q255" s="1">
        <v>4148</v>
      </c>
      <c r="R255" s="1">
        <f>[1]!HeatTransferArea(J255,D255,0.36,L255)</f>
        <v>0.69272113393513746</v>
      </c>
      <c r="S255" s="1">
        <f>[1]!Convection(J255,N255,1000,9*10^-4,L255,0.6,0.36,7)</f>
        <v>25369.458090571381</v>
      </c>
      <c r="U255" s="1">
        <f t="shared" si="45"/>
        <v>0.4267860911523973</v>
      </c>
      <c r="V255" s="1">
        <f t="shared" si="46"/>
        <v>5.0675668918919145E-6</v>
      </c>
      <c r="W255" s="1">
        <f t="shared" si="47"/>
        <v>1.1036036036036037E-6</v>
      </c>
      <c r="X255" s="1">
        <f t="shared" si="48"/>
        <v>2.1428569999999998</v>
      </c>
      <c r="Y255" s="1">
        <f t="shared" si="49"/>
        <v>130.18880306485482</v>
      </c>
      <c r="Z255" s="1">
        <f t="shared" si="50"/>
        <v>3.3333333333333335</v>
      </c>
      <c r="AA255" s="1">
        <f t="shared" si="51"/>
        <v>0.13015394892855323</v>
      </c>
    </row>
    <row r="256" spans="1:27" x14ac:dyDescent="0.25">
      <c r="A256" s="1">
        <f>35</f>
        <v>35</v>
      </c>
      <c r="B256" s="1">
        <v>0.4</v>
      </c>
      <c r="C256" s="1">
        <v>2.1428569999999998</v>
      </c>
      <c r="D256" s="1">
        <f t="shared" si="39"/>
        <v>7.4999995E-2</v>
      </c>
      <c r="E256" s="1">
        <v>10</v>
      </c>
      <c r="F256" s="1">
        <v>1.5</v>
      </c>
      <c r="G256" s="1">
        <v>100</v>
      </c>
      <c r="H256" s="1">
        <v>52.675263299999997</v>
      </c>
      <c r="J256" s="1">
        <f t="shared" si="40"/>
        <v>3.5000000000000003E-2</v>
      </c>
      <c r="K256" s="1">
        <f t="shared" si="41"/>
        <v>7.4999995E-2</v>
      </c>
      <c r="L256" s="1">
        <f t="shared" si="42"/>
        <v>4.0000000000000002E-4</v>
      </c>
      <c r="M256" s="1">
        <f t="shared" si="43"/>
        <v>0.36483313053917238</v>
      </c>
      <c r="N256" s="1">
        <f t="shared" si="44"/>
        <v>2.7777777777777776E-2</v>
      </c>
      <c r="O256" s="1">
        <v>370</v>
      </c>
      <c r="P256" s="1">
        <v>3</v>
      </c>
      <c r="Q256" s="1">
        <v>4148</v>
      </c>
      <c r="R256" s="1">
        <f>[1]!HeatTransferArea(J256,D256,0.36,L256)</f>
        <v>0.69272113393513746</v>
      </c>
      <c r="S256" s="1">
        <f>[1]!Convection(J256,N256,1000,9*10^-4,L256,0.6,0.36,7)</f>
        <v>25369.458090571381</v>
      </c>
      <c r="U256" s="1">
        <f t="shared" si="45"/>
        <v>0.28452406076826486</v>
      </c>
      <c r="V256" s="1">
        <f t="shared" si="46"/>
        <v>7.6013503378378718E-6</v>
      </c>
      <c r="W256" s="1">
        <f t="shared" si="47"/>
        <v>1.6554054054054055E-6</v>
      </c>
      <c r="X256" s="1">
        <f t="shared" si="48"/>
        <v>2.1428569999999998</v>
      </c>
      <c r="Y256" s="1">
        <f t="shared" si="49"/>
        <v>86.792535376569887</v>
      </c>
      <c r="Z256" s="1">
        <f t="shared" si="50"/>
        <v>3.3333333333333335</v>
      </c>
      <c r="AA256" s="1">
        <f t="shared" si="51"/>
        <v>8.6715794500406285E-2</v>
      </c>
    </row>
    <row r="257" spans="1:27" x14ac:dyDescent="0.25">
      <c r="A257" s="1">
        <f>35</f>
        <v>35</v>
      </c>
      <c r="B257" s="1">
        <v>0.4</v>
      </c>
      <c r="C257" s="1">
        <v>2.8571430000000002</v>
      </c>
      <c r="D257" s="1">
        <f t="shared" si="39"/>
        <v>0.100000005</v>
      </c>
      <c r="E257" s="1">
        <v>10</v>
      </c>
      <c r="F257" s="1">
        <v>0.5</v>
      </c>
      <c r="G257" s="1">
        <v>100</v>
      </c>
      <c r="H257" s="1">
        <v>51.718320380000002</v>
      </c>
      <c r="J257" s="1">
        <f t="shared" si="40"/>
        <v>3.5000000000000003E-2</v>
      </c>
      <c r="K257" s="1">
        <f t="shared" si="41"/>
        <v>0.100000005</v>
      </c>
      <c r="L257" s="1">
        <f t="shared" si="42"/>
        <v>4.0000000000000002E-4</v>
      </c>
      <c r="M257" s="1">
        <f t="shared" si="43"/>
        <v>0.48644423080405397</v>
      </c>
      <c r="N257" s="1">
        <f t="shared" si="44"/>
        <v>2.7777777777777776E-2</v>
      </c>
      <c r="O257" s="1">
        <v>370</v>
      </c>
      <c r="P257" s="1">
        <v>3</v>
      </c>
      <c r="Q257" s="1">
        <v>4148</v>
      </c>
      <c r="R257" s="1">
        <f>[1]!HeatTransferArea(J257,D257,0.36,L257)</f>
        <v>0.92362828633681127</v>
      </c>
      <c r="S257" s="1">
        <f>[1]!Convection(J257,N257,1000,9*10^-4,L257,0.6,0.36,7)</f>
        <v>25369.458090571381</v>
      </c>
      <c r="U257" s="1">
        <f t="shared" si="45"/>
        <v>0.6401790620410337</v>
      </c>
      <c r="V257" s="1">
        <f t="shared" si="46"/>
        <v>4.5045049549549668E-6</v>
      </c>
      <c r="W257" s="1">
        <f t="shared" si="47"/>
        <v>5.5180180180180184E-7</v>
      </c>
      <c r="X257" s="1">
        <f t="shared" si="48"/>
        <v>2.8571430000000002</v>
      </c>
      <c r="Y257" s="1">
        <f t="shared" si="49"/>
        <v>260.37760612970965</v>
      </c>
      <c r="Z257" s="1">
        <f t="shared" si="50"/>
        <v>3.3333333333333335</v>
      </c>
      <c r="AA257" s="1">
        <f t="shared" si="51"/>
        <v>0.19156597395104771</v>
      </c>
    </row>
    <row r="258" spans="1:27" x14ac:dyDescent="0.25">
      <c r="A258" s="1">
        <f>35</f>
        <v>35</v>
      </c>
      <c r="B258" s="1">
        <v>0.4</v>
      </c>
      <c r="C258" s="1">
        <v>2.8571430000000002</v>
      </c>
      <c r="D258" s="1">
        <f t="shared" si="39"/>
        <v>0.100000005</v>
      </c>
      <c r="E258" s="1">
        <v>10</v>
      </c>
      <c r="F258" s="1">
        <v>1</v>
      </c>
      <c r="G258" s="1">
        <v>100</v>
      </c>
      <c r="H258" s="1">
        <v>52.113577769999999</v>
      </c>
      <c r="J258" s="1">
        <f t="shared" si="40"/>
        <v>3.5000000000000003E-2</v>
      </c>
      <c r="K258" s="1">
        <f t="shared" si="41"/>
        <v>0.100000005</v>
      </c>
      <c r="L258" s="1">
        <f t="shared" si="42"/>
        <v>4.0000000000000002E-4</v>
      </c>
      <c r="M258" s="1">
        <f t="shared" si="43"/>
        <v>0.48644423080405397</v>
      </c>
      <c r="N258" s="1">
        <f t="shared" si="44"/>
        <v>2.7777777777777776E-2</v>
      </c>
      <c r="O258" s="1">
        <v>370</v>
      </c>
      <c r="P258" s="1">
        <v>3</v>
      </c>
      <c r="Q258" s="1">
        <v>4148</v>
      </c>
      <c r="R258" s="1">
        <f>[1]!HeatTransferArea(J258,D258,0.36,L258)</f>
        <v>0.92362828633681127</v>
      </c>
      <c r="S258" s="1">
        <f>[1]!Convection(J258,N258,1000,9*10^-4,L258,0.6,0.36,7)</f>
        <v>25369.458090571381</v>
      </c>
      <c r="U258" s="1">
        <f t="shared" si="45"/>
        <v>0.32008953102051685</v>
      </c>
      <c r="V258" s="1">
        <f t="shared" si="46"/>
        <v>9.0090099099099335E-6</v>
      </c>
      <c r="W258" s="1">
        <f t="shared" si="47"/>
        <v>1.1036036036036037E-6</v>
      </c>
      <c r="X258" s="1">
        <f t="shared" si="48"/>
        <v>2.8571430000000002</v>
      </c>
      <c r="Y258" s="1">
        <f t="shared" si="49"/>
        <v>130.18880306485482</v>
      </c>
      <c r="Z258" s="1">
        <f t="shared" si="50"/>
        <v>3.3333333333333335</v>
      </c>
      <c r="AA258" s="1">
        <f t="shared" si="51"/>
        <v>9.6515008687756212E-2</v>
      </c>
    </row>
    <row r="259" spans="1:27" x14ac:dyDescent="0.25">
      <c r="A259" s="1">
        <f>35</f>
        <v>35</v>
      </c>
      <c r="B259" s="1">
        <v>0.4</v>
      </c>
      <c r="C259" s="1">
        <v>2.8571430000000002</v>
      </c>
      <c r="D259" s="1">
        <f t="shared" ref="D259:D322" si="52">C259*A259/1000</f>
        <v>0.100000005</v>
      </c>
      <c r="E259" s="1">
        <v>10</v>
      </c>
      <c r="F259" s="1">
        <v>1.5</v>
      </c>
      <c r="G259" s="1">
        <v>100</v>
      </c>
      <c r="H259" s="1">
        <v>51.806515529999999</v>
      </c>
      <c r="J259" s="1">
        <f t="shared" ref="J259:J322" si="53">A259/1000</f>
        <v>3.5000000000000003E-2</v>
      </c>
      <c r="K259" s="1">
        <f t="shared" ref="K259:K322" si="54">D259</f>
        <v>0.100000005</v>
      </c>
      <c r="L259" s="1">
        <f t="shared" ref="L259:L322" si="55">B259/1000</f>
        <v>4.0000000000000002E-4</v>
      </c>
      <c r="M259" s="1">
        <f t="shared" ref="M259:M322" si="56">PI()*J259^2*K259/4*(1-0.36)*7900</f>
        <v>0.48644423080405397</v>
      </c>
      <c r="N259" s="1">
        <f t="shared" ref="N259:N322" si="57">G259/3600</f>
        <v>2.7777777777777776E-2</v>
      </c>
      <c r="O259" s="1">
        <v>370</v>
      </c>
      <c r="P259" s="1">
        <v>3</v>
      </c>
      <c r="Q259" s="1">
        <v>4148</v>
      </c>
      <c r="R259" s="1">
        <f>[1]!HeatTransferArea(J259,D259,0.36,L259)</f>
        <v>0.92362828633681127</v>
      </c>
      <c r="S259" s="1">
        <f>[1]!Convection(J259,N259,1000,9*10^-4,L259,0.6,0.36,7)</f>
        <v>25369.458090571381</v>
      </c>
      <c r="U259" s="1">
        <f t="shared" ref="U259:U322" si="58">N259*Q259/(2*F259*M259*O259)</f>
        <v>0.2133930206803446</v>
      </c>
      <c r="V259" s="1">
        <f t="shared" ref="V259:V322" si="59">K259^2*F259/(O259*P259)</f>
        <v>1.35135148648649E-5</v>
      </c>
      <c r="W259" s="1">
        <f t="shared" ref="W259:W322" si="60">J259^2*F259/(O259*P259)</f>
        <v>1.6554054054054055E-6</v>
      </c>
      <c r="X259" s="1">
        <f t="shared" ref="X259:X322" si="61">C259</f>
        <v>2.8571430000000002</v>
      </c>
      <c r="Y259" s="1">
        <f t="shared" ref="Y259:Y322" si="62">S259*R259/(F259*M259*O259)</f>
        <v>86.792535376569901</v>
      </c>
      <c r="Z259" s="1">
        <f t="shared" ref="Z259:Z322" si="63">E259/P259</f>
        <v>3.3333333333333335</v>
      </c>
      <c r="AA259" s="1">
        <f t="shared" ref="AA259:AA322" si="64">H259/(M259*F259*O259*P259)</f>
        <v>6.3964217009854676E-2</v>
      </c>
    </row>
    <row r="260" spans="1:27" x14ac:dyDescent="0.25">
      <c r="A260" s="1">
        <f>35</f>
        <v>35</v>
      </c>
      <c r="B260" s="1">
        <v>0.4</v>
      </c>
      <c r="C260" s="1">
        <v>3.5714290000000002</v>
      </c>
      <c r="D260" s="1">
        <f t="shared" si="52"/>
        <v>0.12500001499999999</v>
      </c>
      <c r="E260" s="1">
        <v>10</v>
      </c>
      <c r="F260" s="1">
        <v>0.5</v>
      </c>
      <c r="G260" s="1">
        <v>100</v>
      </c>
      <c r="H260" s="1">
        <v>51.68147081</v>
      </c>
      <c r="J260" s="1">
        <f t="shared" si="53"/>
        <v>3.5000000000000003E-2</v>
      </c>
      <c r="K260" s="1">
        <f t="shared" si="54"/>
        <v>0.12500001499999999</v>
      </c>
      <c r="L260" s="1">
        <f t="shared" si="55"/>
        <v>4.0000000000000002E-4</v>
      </c>
      <c r="M260" s="1">
        <f t="shared" si="56"/>
        <v>0.6080553310689355</v>
      </c>
      <c r="N260" s="1">
        <f t="shared" si="57"/>
        <v>2.7777777777777776E-2</v>
      </c>
      <c r="O260" s="1">
        <v>370</v>
      </c>
      <c r="P260" s="1">
        <v>3</v>
      </c>
      <c r="Q260" s="1">
        <v>4148</v>
      </c>
      <c r="R260" s="1">
        <f>[1]!HeatTransferArea(J260,D260,0.36,L260)</f>
        <v>1.154535438738485</v>
      </c>
      <c r="S260" s="1">
        <f>[1]!Convection(J260,N260,1000,9*10^-4,L260,0.6,0.36,7)</f>
        <v>25369.458090571381</v>
      </c>
      <c r="U260" s="1">
        <f t="shared" si="58"/>
        <v>0.51214321378280381</v>
      </c>
      <c r="V260" s="1">
        <f t="shared" si="59"/>
        <v>7.0382899774775779E-6</v>
      </c>
      <c r="W260" s="1">
        <f t="shared" si="60"/>
        <v>5.5180180180180184E-7</v>
      </c>
      <c r="X260" s="1">
        <f t="shared" si="61"/>
        <v>3.5714290000000002</v>
      </c>
      <c r="Y260" s="1">
        <f t="shared" si="62"/>
        <v>260.37760612970965</v>
      </c>
      <c r="Z260" s="1">
        <f t="shared" si="63"/>
        <v>3.3333333333333335</v>
      </c>
      <c r="AA260" s="1">
        <f t="shared" si="64"/>
        <v>0.1531435750452588</v>
      </c>
    </row>
    <row r="261" spans="1:27" x14ac:dyDescent="0.25">
      <c r="A261" s="1">
        <f>35</f>
        <v>35</v>
      </c>
      <c r="B261" s="1">
        <v>0.4</v>
      </c>
      <c r="C261" s="1">
        <v>3.5714290000000002</v>
      </c>
      <c r="D261" s="1">
        <f t="shared" si="52"/>
        <v>0.12500001499999999</v>
      </c>
      <c r="E261" s="1">
        <v>10</v>
      </c>
      <c r="F261" s="1">
        <v>1</v>
      </c>
      <c r="G261" s="1">
        <v>100</v>
      </c>
      <c r="H261" s="1">
        <v>51.447401599999999</v>
      </c>
      <c r="J261" s="1">
        <f t="shared" si="53"/>
        <v>3.5000000000000003E-2</v>
      </c>
      <c r="K261" s="1">
        <f t="shared" si="54"/>
        <v>0.12500001499999999</v>
      </c>
      <c r="L261" s="1">
        <f t="shared" si="55"/>
        <v>4.0000000000000002E-4</v>
      </c>
      <c r="M261" s="1">
        <f t="shared" si="56"/>
        <v>0.6080553310689355</v>
      </c>
      <c r="N261" s="1">
        <f t="shared" si="57"/>
        <v>2.7777777777777776E-2</v>
      </c>
      <c r="O261" s="1">
        <v>370</v>
      </c>
      <c r="P261" s="1">
        <v>3</v>
      </c>
      <c r="Q261" s="1">
        <v>4148</v>
      </c>
      <c r="R261" s="1">
        <f>[1]!HeatTransferArea(J261,D261,0.36,L261)</f>
        <v>1.154535438738485</v>
      </c>
      <c r="S261" s="1">
        <f>[1]!Convection(J261,N261,1000,9*10^-4,L261,0.6,0.36,7)</f>
        <v>25369.458090571381</v>
      </c>
      <c r="U261" s="1">
        <f t="shared" si="58"/>
        <v>0.2560716068914019</v>
      </c>
      <c r="V261" s="1">
        <f t="shared" si="59"/>
        <v>1.4076579954955156E-5</v>
      </c>
      <c r="W261" s="1">
        <f t="shared" si="60"/>
        <v>1.1036036036036037E-6</v>
      </c>
      <c r="X261" s="1">
        <f t="shared" si="61"/>
        <v>3.5714290000000002</v>
      </c>
      <c r="Y261" s="1">
        <f t="shared" si="62"/>
        <v>130.18880306485482</v>
      </c>
      <c r="Z261" s="1">
        <f t="shared" si="63"/>
        <v>3.3333333333333335</v>
      </c>
      <c r="AA261" s="1">
        <f t="shared" si="64"/>
        <v>7.62249882242967E-2</v>
      </c>
    </row>
    <row r="262" spans="1:27" x14ac:dyDescent="0.25">
      <c r="A262" s="1">
        <f>35</f>
        <v>35</v>
      </c>
      <c r="B262" s="1">
        <v>0.4</v>
      </c>
      <c r="C262" s="1">
        <v>3.5714290000000002</v>
      </c>
      <c r="D262" s="1">
        <f t="shared" si="52"/>
        <v>0.12500001499999999</v>
      </c>
      <c r="E262" s="1">
        <v>10</v>
      </c>
      <c r="F262" s="1">
        <v>1.5</v>
      </c>
      <c r="G262" s="1">
        <v>100</v>
      </c>
      <c r="H262" s="1">
        <v>50.998568050000003</v>
      </c>
      <c r="J262" s="1">
        <f t="shared" si="53"/>
        <v>3.5000000000000003E-2</v>
      </c>
      <c r="K262" s="1">
        <f t="shared" si="54"/>
        <v>0.12500001499999999</v>
      </c>
      <c r="L262" s="1">
        <f t="shared" si="55"/>
        <v>4.0000000000000002E-4</v>
      </c>
      <c r="M262" s="1">
        <f t="shared" si="56"/>
        <v>0.6080553310689355</v>
      </c>
      <c r="N262" s="1">
        <f t="shared" si="57"/>
        <v>2.7777777777777776E-2</v>
      </c>
      <c r="O262" s="1">
        <v>370</v>
      </c>
      <c r="P262" s="1">
        <v>3</v>
      </c>
      <c r="Q262" s="1">
        <v>4148</v>
      </c>
      <c r="R262" s="1">
        <f>[1]!HeatTransferArea(J262,D262,0.36,L262)</f>
        <v>1.154535438738485</v>
      </c>
      <c r="S262" s="1">
        <f>[1]!Convection(J262,N262,1000,9*10^-4,L262,0.6,0.36,7)</f>
        <v>25369.458090571381</v>
      </c>
      <c r="U262" s="1">
        <f t="shared" si="58"/>
        <v>0.17071440459426795</v>
      </c>
      <c r="V262" s="1">
        <f t="shared" si="59"/>
        <v>2.1114869932432732E-5</v>
      </c>
      <c r="W262" s="1">
        <f t="shared" si="60"/>
        <v>1.6554054054054055E-6</v>
      </c>
      <c r="X262" s="1">
        <f t="shared" si="61"/>
        <v>3.5714290000000002</v>
      </c>
      <c r="Y262" s="1">
        <f t="shared" si="62"/>
        <v>86.792535376569887</v>
      </c>
      <c r="Z262" s="1">
        <f t="shared" si="63"/>
        <v>3.3333333333333335</v>
      </c>
      <c r="AA262" s="1">
        <f t="shared" si="64"/>
        <v>5.0373327944933502E-2</v>
      </c>
    </row>
    <row r="263" spans="1:27" x14ac:dyDescent="0.25">
      <c r="A263" s="1">
        <f>35</f>
        <v>35</v>
      </c>
      <c r="B263" s="1">
        <v>0.5</v>
      </c>
      <c r="C263" s="1">
        <v>2.1428569999999998</v>
      </c>
      <c r="D263" s="1">
        <f t="shared" si="52"/>
        <v>7.4999995E-2</v>
      </c>
      <c r="E263" s="1">
        <v>10</v>
      </c>
      <c r="F263" s="1">
        <v>0.5</v>
      </c>
      <c r="G263" s="1">
        <v>100</v>
      </c>
      <c r="H263" s="1">
        <v>50.000374399999998</v>
      </c>
      <c r="J263" s="1">
        <f t="shared" si="53"/>
        <v>3.5000000000000003E-2</v>
      </c>
      <c r="K263" s="1">
        <f t="shared" si="54"/>
        <v>7.4999995E-2</v>
      </c>
      <c r="L263" s="1">
        <f t="shared" si="55"/>
        <v>5.0000000000000001E-4</v>
      </c>
      <c r="M263" s="1">
        <f t="shared" si="56"/>
        <v>0.36483313053917238</v>
      </c>
      <c r="N263" s="1">
        <f t="shared" si="57"/>
        <v>2.7777777777777776E-2</v>
      </c>
      <c r="O263" s="1">
        <v>370</v>
      </c>
      <c r="P263" s="1">
        <v>3</v>
      </c>
      <c r="Q263" s="1">
        <v>4148</v>
      </c>
      <c r="R263" s="1">
        <f>[1]!HeatTransferArea(J263,D263,0.36,L263)</f>
        <v>0.55417690714810997</v>
      </c>
      <c r="S263" s="1">
        <f>[1]!Convection(J263,N263,1000,9*10^-4,L263,0.6,0.36,7)</f>
        <v>20414.316838490533</v>
      </c>
      <c r="U263" s="1">
        <f t="shared" si="58"/>
        <v>0.85357218230479459</v>
      </c>
      <c r="V263" s="1">
        <f t="shared" si="59"/>
        <v>2.5337834459459573E-6</v>
      </c>
      <c r="W263" s="1">
        <f t="shared" si="60"/>
        <v>5.5180180180180184E-7</v>
      </c>
      <c r="X263" s="1">
        <f t="shared" si="61"/>
        <v>2.1428569999999998</v>
      </c>
      <c r="Y263" s="1">
        <f t="shared" si="62"/>
        <v>167.61669658699034</v>
      </c>
      <c r="Z263" s="1">
        <f t="shared" si="63"/>
        <v>3.3333333333333335</v>
      </c>
      <c r="AA263" s="1">
        <f t="shared" si="64"/>
        <v>0.24693690661136808</v>
      </c>
    </row>
    <row r="264" spans="1:27" x14ac:dyDescent="0.25">
      <c r="A264" s="1">
        <f>35</f>
        <v>35</v>
      </c>
      <c r="B264" s="1">
        <v>0.5</v>
      </c>
      <c r="C264" s="1">
        <v>2.1428569999999998</v>
      </c>
      <c r="D264" s="1">
        <f t="shared" si="52"/>
        <v>7.4999995E-2</v>
      </c>
      <c r="E264" s="1">
        <v>10</v>
      </c>
      <c r="F264" s="1">
        <v>1</v>
      </c>
      <c r="G264" s="1">
        <v>100</v>
      </c>
      <c r="H264" s="1">
        <v>52.472756990000001</v>
      </c>
      <c r="J264" s="1">
        <f t="shared" si="53"/>
        <v>3.5000000000000003E-2</v>
      </c>
      <c r="K264" s="1">
        <f t="shared" si="54"/>
        <v>7.4999995E-2</v>
      </c>
      <c r="L264" s="1">
        <f t="shared" si="55"/>
        <v>5.0000000000000001E-4</v>
      </c>
      <c r="M264" s="1">
        <f t="shared" si="56"/>
        <v>0.36483313053917238</v>
      </c>
      <c r="N264" s="1">
        <f t="shared" si="57"/>
        <v>2.7777777777777776E-2</v>
      </c>
      <c r="O264" s="1">
        <v>370</v>
      </c>
      <c r="P264" s="1">
        <v>3</v>
      </c>
      <c r="Q264" s="1">
        <v>4148</v>
      </c>
      <c r="R264" s="1">
        <f>[1]!HeatTransferArea(J264,D264,0.36,L264)</f>
        <v>0.55417690714810997</v>
      </c>
      <c r="S264" s="1">
        <f>[1]!Convection(J264,N264,1000,9*10^-4,L264,0.6,0.36,7)</f>
        <v>20414.316838490533</v>
      </c>
      <c r="U264" s="1">
        <f t="shared" si="58"/>
        <v>0.4267860911523973</v>
      </c>
      <c r="V264" s="1">
        <f t="shared" si="59"/>
        <v>5.0675668918919145E-6</v>
      </c>
      <c r="W264" s="1">
        <f t="shared" si="60"/>
        <v>1.1036036036036037E-6</v>
      </c>
      <c r="X264" s="1">
        <f t="shared" si="61"/>
        <v>2.1428569999999998</v>
      </c>
      <c r="Y264" s="1">
        <f t="shared" si="62"/>
        <v>83.808348293495172</v>
      </c>
      <c r="Z264" s="1">
        <f t="shared" si="63"/>
        <v>3.3333333333333335</v>
      </c>
      <c r="AA264" s="1">
        <f t="shared" si="64"/>
        <v>0.12957363267744493</v>
      </c>
    </row>
    <row r="265" spans="1:27" x14ac:dyDescent="0.25">
      <c r="A265" s="1">
        <f>35</f>
        <v>35</v>
      </c>
      <c r="B265" s="1">
        <v>0.5</v>
      </c>
      <c r="C265" s="1">
        <v>2.1428569999999998</v>
      </c>
      <c r="D265" s="1">
        <f t="shared" si="52"/>
        <v>7.4999995E-2</v>
      </c>
      <c r="E265" s="1">
        <v>10</v>
      </c>
      <c r="F265" s="1">
        <v>1.5</v>
      </c>
      <c r="G265" s="1">
        <v>100</v>
      </c>
      <c r="H265" s="1">
        <v>52.524280619999999</v>
      </c>
      <c r="J265" s="1">
        <f t="shared" si="53"/>
        <v>3.5000000000000003E-2</v>
      </c>
      <c r="K265" s="1">
        <f t="shared" si="54"/>
        <v>7.4999995E-2</v>
      </c>
      <c r="L265" s="1">
        <f t="shared" si="55"/>
        <v>5.0000000000000001E-4</v>
      </c>
      <c r="M265" s="1">
        <f t="shared" si="56"/>
        <v>0.36483313053917238</v>
      </c>
      <c r="N265" s="1">
        <f t="shared" si="57"/>
        <v>2.7777777777777776E-2</v>
      </c>
      <c r="O265" s="1">
        <v>370</v>
      </c>
      <c r="P265" s="1">
        <v>3</v>
      </c>
      <c r="Q265" s="1">
        <v>4148</v>
      </c>
      <c r="R265" s="1">
        <f>[1]!HeatTransferArea(J265,D265,0.36,L265)</f>
        <v>0.55417690714810997</v>
      </c>
      <c r="S265" s="1">
        <f>[1]!Convection(J265,N265,1000,9*10^-4,L265,0.6,0.36,7)</f>
        <v>20414.316838490533</v>
      </c>
      <c r="U265" s="1">
        <f t="shared" si="58"/>
        <v>0.28452406076826486</v>
      </c>
      <c r="V265" s="1">
        <f t="shared" si="59"/>
        <v>7.6013503378378718E-6</v>
      </c>
      <c r="W265" s="1">
        <f t="shared" si="60"/>
        <v>1.6554054054054055E-6</v>
      </c>
      <c r="X265" s="1">
        <f t="shared" si="61"/>
        <v>2.1428569999999998</v>
      </c>
      <c r="Y265" s="1">
        <f t="shared" si="62"/>
        <v>55.87223219566345</v>
      </c>
      <c r="Z265" s="1">
        <f t="shared" si="63"/>
        <v>3.3333333333333335</v>
      </c>
      <c r="AA265" s="1">
        <f t="shared" si="64"/>
        <v>8.646724172189553E-2</v>
      </c>
    </row>
    <row r="266" spans="1:27" x14ac:dyDescent="0.25">
      <c r="A266" s="1">
        <f>35</f>
        <v>35</v>
      </c>
      <c r="B266" s="1">
        <v>0.5</v>
      </c>
      <c r="C266" s="1">
        <v>2.8571430000000002</v>
      </c>
      <c r="D266" s="1">
        <f t="shared" si="52"/>
        <v>0.100000005</v>
      </c>
      <c r="E266" s="1">
        <v>10</v>
      </c>
      <c r="F266" s="1">
        <v>0.5</v>
      </c>
      <c r="G266" s="1">
        <v>100</v>
      </c>
      <c r="H266" s="1">
        <v>51.59492419</v>
      </c>
      <c r="J266" s="1">
        <f t="shared" si="53"/>
        <v>3.5000000000000003E-2</v>
      </c>
      <c r="K266" s="1">
        <f t="shared" si="54"/>
        <v>0.100000005</v>
      </c>
      <c r="L266" s="1">
        <f t="shared" si="55"/>
        <v>5.0000000000000001E-4</v>
      </c>
      <c r="M266" s="1">
        <f t="shared" si="56"/>
        <v>0.48644423080405397</v>
      </c>
      <c r="N266" s="1">
        <f t="shared" si="57"/>
        <v>2.7777777777777776E-2</v>
      </c>
      <c r="O266" s="1">
        <v>370</v>
      </c>
      <c r="P266" s="1">
        <v>3</v>
      </c>
      <c r="Q266" s="1">
        <v>4148</v>
      </c>
      <c r="R266" s="1">
        <f>[1]!HeatTransferArea(J266,D266,0.36,L266)</f>
        <v>0.73890262906944904</v>
      </c>
      <c r="S266" s="1">
        <f>[1]!Convection(J266,N266,1000,9*10^-4,L266,0.6,0.36,7)</f>
        <v>20414.316838490533</v>
      </c>
      <c r="U266" s="1">
        <f t="shared" si="58"/>
        <v>0.6401790620410337</v>
      </c>
      <c r="V266" s="1">
        <f t="shared" si="59"/>
        <v>4.5045049549549668E-6</v>
      </c>
      <c r="W266" s="1">
        <f t="shared" si="60"/>
        <v>5.5180180180180184E-7</v>
      </c>
      <c r="X266" s="1">
        <f t="shared" si="61"/>
        <v>2.8571430000000002</v>
      </c>
      <c r="Y266" s="1">
        <f t="shared" si="62"/>
        <v>167.61669658699034</v>
      </c>
      <c r="Z266" s="1">
        <f t="shared" si="63"/>
        <v>3.3333333333333335</v>
      </c>
      <c r="AA266" s="1">
        <f t="shared" si="64"/>
        <v>0.19110891132516358</v>
      </c>
    </row>
    <row r="267" spans="1:27" x14ac:dyDescent="0.25">
      <c r="A267" s="1">
        <f>35</f>
        <v>35</v>
      </c>
      <c r="B267" s="1">
        <v>0.5</v>
      </c>
      <c r="C267" s="1">
        <v>2.8571430000000002</v>
      </c>
      <c r="D267" s="1">
        <f t="shared" si="52"/>
        <v>0.100000005</v>
      </c>
      <c r="E267" s="1">
        <v>10</v>
      </c>
      <c r="F267" s="1">
        <v>1</v>
      </c>
      <c r="G267" s="1">
        <v>100</v>
      </c>
      <c r="H267" s="1">
        <v>52.200628260000002</v>
      </c>
      <c r="J267" s="1">
        <f t="shared" si="53"/>
        <v>3.5000000000000003E-2</v>
      </c>
      <c r="K267" s="1">
        <f t="shared" si="54"/>
        <v>0.100000005</v>
      </c>
      <c r="L267" s="1">
        <f t="shared" si="55"/>
        <v>5.0000000000000001E-4</v>
      </c>
      <c r="M267" s="1">
        <f t="shared" si="56"/>
        <v>0.48644423080405397</v>
      </c>
      <c r="N267" s="1">
        <f t="shared" si="57"/>
        <v>2.7777777777777776E-2</v>
      </c>
      <c r="O267" s="1">
        <v>370</v>
      </c>
      <c r="P267" s="1">
        <v>3</v>
      </c>
      <c r="Q267" s="1">
        <v>4148</v>
      </c>
      <c r="R267" s="1">
        <f>[1]!HeatTransferArea(J267,D267,0.36,L267)</f>
        <v>0.73890262906944904</v>
      </c>
      <c r="S267" s="1">
        <f>[1]!Convection(J267,N267,1000,9*10^-4,L267,0.6,0.36,7)</f>
        <v>20414.316838490533</v>
      </c>
      <c r="U267" s="1">
        <f t="shared" si="58"/>
        <v>0.32008953102051685</v>
      </c>
      <c r="V267" s="1">
        <f t="shared" si="59"/>
        <v>9.0090099099099335E-6</v>
      </c>
      <c r="W267" s="1">
        <f t="shared" si="60"/>
        <v>1.1036036036036037E-6</v>
      </c>
      <c r="X267" s="1">
        <f t="shared" si="61"/>
        <v>2.8571430000000002</v>
      </c>
      <c r="Y267" s="1">
        <f t="shared" si="62"/>
        <v>83.808348293495172</v>
      </c>
      <c r="Z267" s="1">
        <f t="shared" si="63"/>
        <v>3.3333333333333335</v>
      </c>
      <c r="AA267" s="1">
        <f t="shared" si="64"/>
        <v>9.6676227302139275E-2</v>
      </c>
    </row>
    <row r="268" spans="1:27" x14ac:dyDescent="0.25">
      <c r="A268" s="1">
        <f>35</f>
        <v>35</v>
      </c>
      <c r="B268" s="1">
        <v>0.5</v>
      </c>
      <c r="C268" s="1">
        <v>2.8571430000000002</v>
      </c>
      <c r="D268" s="1">
        <f t="shared" si="52"/>
        <v>0.100000005</v>
      </c>
      <c r="E268" s="1">
        <v>10</v>
      </c>
      <c r="F268" s="1">
        <v>1.5</v>
      </c>
      <c r="G268" s="1">
        <v>100</v>
      </c>
      <c r="H268" s="1">
        <v>51.919809559999997</v>
      </c>
      <c r="J268" s="1">
        <f t="shared" si="53"/>
        <v>3.5000000000000003E-2</v>
      </c>
      <c r="K268" s="1">
        <f t="shared" si="54"/>
        <v>0.100000005</v>
      </c>
      <c r="L268" s="1">
        <f t="shared" si="55"/>
        <v>5.0000000000000001E-4</v>
      </c>
      <c r="M268" s="1">
        <f t="shared" si="56"/>
        <v>0.48644423080405397</v>
      </c>
      <c r="N268" s="1">
        <f t="shared" si="57"/>
        <v>2.7777777777777776E-2</v>
      </c>
      <c r="O268" s="1">
        <v>370</v>
      </c>
      <c r="P268" s="1">
        <v>3</v>
      </c>
      <c r="Q268" s="1">
        <v>4148</v>
      </c>
      <c r="R268" s="1">
        <f>[1]!HeatTransferArea(J268,D268,0.36,L268)</f>
        <v>0.73890262906944904</v>
      </c>
      <c r="S268" s="1">
        <f>[1]!Convection(J268,N268,1000,9*10^-4,L268,0.6,0.36,7)</f>
        <v>20414.316838490533</v>
      </c>
      <c r="U268" s="1">
        <f t="shared" si="58"/>
        <v>0.2133930206803446</v>
      </c>
      <c r="V268" s="1">
        <f t="shared" si="59"/>
        <v>1.35135148648649E-5</v>
      </c>
      <c r="W268" s="1">
        <f t="shared" si="60"/>
        <v>1.6554054054054055E-6</v>
      </c>
      <c r="X268" s="1">
        <f t="shared" si="61"/>
        <v>2.8571430000000002</v>
      </c>
      <c r="Y268" s="1">
        <f t="shared" si="62"/>
        <v>55.87223219566345</v>
      </c>
      <c r="Z268" s="1">
        <f t="shared" si="63"/>
        <v>3.3333333333333335</v>
      </c>
      <c r="AA268" s="1">
        <f t="shared" si="64"/>
        <v>6.4104098332632392E-2</v>
      </c>
    </row>
    <row r="269" spans="1:27" x14ac:dyDescent="0.25">
      <c r="A269" s="1">
        <f>35</f>
        <v>35</v>
      </c>
      <c r="B269" s="1">
        <v>0.5</v>
      </c>
      <c r="C269" s="1">
        <v>3.5714290000000002</v>
      </c>
      <c r="D269" s="1">
        <f t="shared" si="52"/>
        <v>0.12500001499999999</v>
      </c>
      <c r="E269" s="1">
        <v>10</v>
      </c>
      <c r="F269" s="1">
        <v>0.5</v>
      </c>
      <c r="G269" s="1">
        <v>100</v>
      </c>
      <c r="H269" s="1">
        <v>51.83854745</v>
      </c>
      <c r="J269" s="1">
        <f t="shared" si="53"/>
        <v>3.5000000000000003E-2</v>
      </c>
      <c r="K269" s="1">
        <f t="shared" si="54"/>
        <v>0.12500001499999999</v>
      </c>
      <c r="L269" s="1">
        <f t="shared" si="55"/>
        <v>5.0000000000000001E-4</v>
      </c>
      <c r="M269" s="1">
        <f t="shared" si="56"/>
        <v>0.6080553310689355</v>
      </c>
      <c r="N269" s="1">
        <f t="shared" si="57"/>
        <v>2.7777777777777776E-2</v>
      </c>
      <c r="O269" s="1">
        <v>370</v>
      </c>
      <c r="P269" s="1">
        <v>3</v>
      </c>
      <c r="Q269" s="1">
        <v>4148</v>
      </c>
      <c r="R269" s="1">
        <f>[1]!HeatTransferArea(J269,D269,0.36,L269)</f>
        <v>0.92362835099078811</v>
      </c>
      <c r="S269" s="1">
        <f>[1]!Convection(J269,N269,1000,9*10^-4,L269,0.6,0.36,7)</f>
        <v>20414.316838490533</v>
      </c>
      <c r="U269" s="1">
        <f t="shared" si="58"/>
        <v>0.51214321378280381</v>
      </c>
      <c r="V269" s="1">
        <f t="shared" si="59"/>
        <v>7.0382899774775779E-6</v>
      </c>
      <c r="W269" s="1">
        <f t="shared" si="60"/>
        <v>5.5180180180180184E-7</v>
      </c>
      <c r="X269" s="1">
        <f t="shared" si="61"/>
        <v>3.5714290000000002</v>
      </c>
      <c r="Y269" s="1">
        <f t="shared" si="62"/>
        <v>167.61669658699034</v>
      </c>
      <c r="Z269" s="1">
        <f t="shared" si="63"/>
        <v>3.3333333333333335</v>
      </c>
      <c r="AA269" s="1">
        <f t="shared" si="64"/>
        <v>0.15360902770805421</v>
      </c>
    </row>
    <row r="270" spans="1:27" x14ac:dyDescent="0.25">
      <c r="A270" s="1">
        <f>35</f>
        <v>35</v>
      </c>
      <c r="B270" s="1">
        <v>0.5</v>
      </c>
      <c r="C270" s="1">
        <v>3.5714290000000002</v>
      </c>
      <c r="D270" s="1">
        <f t="shared" si="52"/>
        <v>0.12500001499999999</v>
      </c>
      <c r="E270" s="1">
        <v>10</v>
      </c>
      <c r="F270" s="1">
        <v>1</v>
      </c>
      <c r="G270" s="1">
        <v>100</v>
      </c>
      <c r="H270" s="1">
        <v>51.721557560000001</v>
      </c>
      <c r="J270" s="1">
        <f t="shared" si="53"/>
        <v>3.5000000000000003E-2</v>
      </c>
      <c r="K270" s="1">
        <f t="shared" si="54"/>
        <v>0.12500001499999999</v>
      </c>
      <c r="L270" s="1">
        <f t="shared" si="55"/>
        <v>5.0000000000000001E-4</v>
      </c>
      <c r="M270" s="1">
        <f t="shared" si="56"/>
        <v>0.6080553310689355</v>
      </c>
      <c r="N270" s="1">
        <f t="shared" si="57"/>
        <v>2.7777777777777776E-2</v>
      </c>
      <c r="O270" s="1">
        <v>370</v>
      </c>
      <c r="P270" s="1">
        <v>3</v>
      </c>
      <c r="Q270" s="1">
        <v>4148</v>
      </c>
      <c r="R270" s="1">
        <f>[1]!HeatTransferArea(J270,D270,0.36,L270)</f>
        <v>0.92362835099078811</v>
      </c>
      <c r="S270" s="1">
        <f>[1]!Convection(J270,N270,1000,9*10^-4,L270,0.6,0.36,7)</f>
        <v>20414.316838490533</v>
      </c>
      <c r="U270" s="1">
        <f t="shared" si="58"/>
        <v>0.2560716068914019</v>
      </c>
      <c r="V270" s="1">
        <f t="shared" si="59"/>
        <v>1.4076579954955156E-5</v>
      </c>
      <c r="W270" s="1">
        <f t="shared" si="60"/>
        <v>1.1036036036036037E-6</v>
      </c>
      <c r="X270" s="1">
        <f t="shared" si="61"/>
        <v>3.5714290000000002</v>
      </c>
      <c r="Y270" s="1">
        <f t="shared" si="62"/>
        <v>83.808348293495172</v>
      </c>
      <c r="Z270" s="1">
        <f t="shared" si="63"/>
        <v>3.3333333333333335</v>
      </c>
      <c r="AA270" s="1">
        <f t="shared" si="64"/>
        <v>7.6631180455054987E-2</v>
      </c>
    </row>
    <row r="271" spans="1:27" x14ac:dyDescent="0.25">
      <c r="A271" s="1">
        <f>35</f>
        <v>35</v>
      </c>
      <c r="B271" s="1">
        <v>0.5</v>
      </c>
      <c r="C271" s="1">
        <v>3.5714290000000002</v>
      </c>
      <c r="D271" s="1">
        <f t="shared" si="52"/>
        <v>0.12500001499999999</v>
      </c>
      <c r="E271" s="1">
        <v>10</v>
      </c>
      <c r="F271" s="1">
        <v>1.5</v>
      </c>
      <c r="G271" s="1">
        <v>100</v>
      </c>
      <c r="H271" s="1">
        <v>51.274292119999998</v>
      </c>
      <c r="J271" s="1">
        <f t="shared" si="53"/>
        <v>3.5000000000000003E-2</v>
      </c>
      <c r="K271" s="1">
        <f t="shared" si="54"/>
        <v>0.12500001499999999</v>
      </c>
      <c r="L271" s="1">
        <f t="shared" si="55"/>
        <v>5.0000000000000001E-4</v>
      </c>
      <c r="M271" s="1">
        <f t="shared" si="56"/>
        <v>0.6080553310689355</v>
      </c>
      <c r="N271" s="1">
        <f t="shared" si="57"/>
        <v>2.7777777777777776E-2</v>
      </c>
      <c r="O271" s="1">
        <v>370</v>
      </c>
      <c r="P271" s="1">
        <v>3</v>
      </c>
      <c r="Q271" s="1">
        <v>4148</v>
      </c>
      <c r="R271" s="1">
        <f>[1]!HeatTransferArea(J271,D271,0.36,L271)</f>
        <v>0.92362835099078811</v>
      </c>
      <c r="S271" s="1">
        <f>[1]!Convection(J271,N271,1000,9*10^-4,L271,0.6,0.36,7)</f>
        <v>20414.316838490533</v>
      </c>
      <c r="U271" s="1">
        <f t="shared" si="58"/>
        <v>0.17071440459426795</v>
      </c>
      <c r="V271" s="1">
        <f t="shared" si="59"/>
        <v>2.1114869932432732E-5</v>
      </c>
      <c r="W271" s="1">
        <f t="shared" si="60"/>
        <v>1.6554054054054055E-6</v>
      </c>
      <c r="X271" s="1">
        <f t="shared" si="61"/>
        <v>3.5714290000000002</v>
      </c>
      <c r="Y271" s="1">
        <f t="shared" si="62"/>
        <v>55.87223219566345</v>
      </c>
      <c r="Z271" s="1">
        <f t="shared" si="63"/>
        <v>3.3333333333333335</v>
      </c>
      <c r="AA271" s="1">
        <f t="shared" si="64"/>
        <v>5.0645671650482338E-2</v>
      </c>
    </row>
    <row r="272" spans="1:27" x14ac:dyDescent="0.25">
      <c r="A272" s="1">
        <f>35</f>
        <v>35</v>
      </c>
      <c r="B272" s="1">
        <v>0.3</v>
      </c>
      <c r="C272" s="1">
        <v>2.1428569999999998</v>
      </c>
      <c r="D272" s="1">
        <f t="shared" si="52"/>
        <v>7.4999995E-2</v>
      </c>
      <c r="E272" s="1">
        <v>10</v>
      </c>
      <c r="F272" s="1">
        <v>0.5</v>
      </c>
      <c r="G272" s="1">
        <v>125</v>
      </c>
      <c r="H272" s="1">
        <v>60.129255430000001</v>
      </c>
      <c r="J272" s="1">
        <f t="shared" si="53"/>
        <v>3.5000000000000003E-2</v>
      </c>
      <c r="K272" s="1">
        <f t="shared" si="54"/>
        <v>7.4999995E-2</v>
      </c>
      <c r="L272" s="1">
        <f t="shared" si="55"/>
        <v>2.9999999999999997E-4</v>
      </c>
      <c r="M272" s="1">
        <f t="shared" si="56"/>
        <v>0.36483313053917238</v>
      </c>
      <c r="N272" s="1">
        <f t="shared" si="57"/>
        <v>3.4722222222222224E-2</v>
      </c>
      <c r="O272" s="1">
        <v>370</v>
      </c>
      <c r="P272" s="1">
        <v>3</v>
      </c>
      <c r="Q272" s="1">
        <v>4148</v>
      </c>
      <c r="R272" s="1">
        <f>[1]!HeatTransferArea(J272,D272,0.36,L272)</f>
        <v>0.92362817858018342</v>
      </c>
      <c r="S272" s="1">
        <f>[1]!Convection(J272,N272,1000,9*10^-4,L272,0.6,0.36,7)</f>
        <v>33773.470677395402</v>
      </c>
      <c r="U272" s="1">
        <f t="shared" si="58"/>
        <v>1.0669652278809931</v>
      </c>
      <c r="V272" s="1">
        <f t="shared" si="59"/>
        <v>2.5337834459459573E-6</v>
      </c>
      <c r="W272" s="1">
        <f t="shared" si="60"/>
        <v>5.5180180180180184E-7</v>
      </c>
      <c r="X272" s="1">
        <f t="shared" si="61"/>
        <v>2.1428569999999998</v>
      </c>
      <c r="Y272" s="1">
        <f t="shared" si="62"/>
        <v>462.17544546555462</v>
      </c>
      <c r="Z272" s="1">
        <f t="shared" si="63"/>
        <v>3.3333333333333335</v>
      </c>
      <c r="AA272" s="1">
        <f t="shared" si="64"/>
        <v>0.29696042301493264</v>
      </c>
    </row>
    <row r="273" spans="1:27" x14ac:dyDescent="0.25">
      <c r="A273" s="1">
        <f>35</f>
        <v>35</v>
      </c>
      <c r="B273" s="1">
        <v>0.3</v>
      </c>
      <c r="C273" s="1">
        <v>2.1428569999999998</v>
      </c>
      <c r="D273" s="1">
        <f t="shared" si="52"/>
        <v>7.4999995E-2</v>
      </c>
      <c r="E273" s="1">
        <v>10</v>
      </c>
      <c r="F273" s="1">
        <v>1</v>
      </c>
      <c r="G273" s="1">
        <v>125</v>
      </c>
      <c r="H273" s="1">
        <v>65.137978529999998</v>
      </c>
      <c r="J273" s="1">
        <f t="shared" si="53"/>
        <v>3.5000000000000003E-2</v>
      </c>
      <c r="K273" s="1">
        <f t="shared" si="54"/>
        <v>7.4999995E-2</v>
      </c>
      <c r="L273" s="1">
        <f t="shared" si="55"/>
        <v>2.9999999999999997E-4</v>
      </c>
      <c r="M273" s="1">
        <f t="shared" si="56"/>
        <v>0.36483313053917238</v>
      </c>
      <c r="N273" s="1">
        <f t="shared" si="57"/>
        <v>3.4722222222222224E-2</v>
      </c>
      <c r="O273" s="1">
        <v>370</v>
      </c>
      <c r="P273" s="1">
        <v>3</v>
      </c>
      <c r="Q273" s="1">
        <v>4148</v>
      </c>
      <c r="R273" s="1">
        <f>[1]!HeatTransferArea(J273,D273,0.36,L273)</f>
        <v>0.92362817858018342</v>
      </c>
      <c r="S273" s="1">
        <f>[1]!Convection(J273,N273,1000,9*10^-4,L273,0.6,0.36,7)</f>
        <v>33773.470677395402</v>
      </c>
      <c r="U273" s="1">
        <f t="shared" si="58"/>
        <v>0.53348261394049656</v>
      </c>
      <c r="V273" s="1">
        <f t="shared" si="59"/>
        <v>5.0675668918919145E-6</v>
      </c>
      <c r="W273" s="1">
        <f t="shared" si="60"/>
        <v>1.1036036036036037E-6</v>
      </c>
      <c r="X273" s="1">
        <f t="shared" si="61"/>
        <v>2.1428569999999998</v>
      </c>
      <c r="Y273" s="1">
        <f t="shared" si="62"/>
        <v>231.08772273277731</v>
      </c>
      <c r="Z273" s="1">
        <f t="shared" si="63"/>
        <v>3.3333333333333335</v>
      </c>
      <c r="AA273" s="1">
        <f t="shared" si="64"/>
        <v>0.16084850477755533</v>
      </c>
    </row>
    <row r="274" spans="1:27" x14ac:dyDescent="0.25">
      <c r="A274" s="1">
        <f>35</f>
        <v>35</v>
      </c>
      <c r="B274" s="1">
        <v>0.3</v>
      </c>
      <c r="C274" s="1">
        <v>2.1428569999999998</v>
      </c>
      <c r="D274" s="1">
        <f t="shared" si="52"/>
        <v>7.4999995E-2</v>
      </c>
      <c r="E274" s="1">
        <v>10</v>
      </c>
      <c r="F274" s="1">
        <v>1.5</v>
      </c>
      <c r="G274" s="1">
        <v>125</v>
      </c>
      <c r="H274" s="1">
        <v>65.272049030000005</v>
      </c>
      <c r="J274" s="1">
        <f t="shared" si="53"/>
        <v>3.5000000000000003E-2</v>
      </c>
      <c r="K274" s="1">
        <f t="shared" si="54"/>
        <v>7.4999995E-2</v>
      </c>
      <c r="L274" s="1">
        <f t="shared" si="55"/>
        <v>2.9999999999999997E-4</v>
      </c>
      <c r="M274" s="1">
        <f t="shared" si="56"/>
        <v>0.36483313053917238</v>
      </c>
      <c r="N274" s="1">
        <f t="shared" si="57"/>
        <v>3.4722222222222224E-2</v>
      </c>
      <c r="O274" s="1">
        <v>370</v>
      </c>
      <c r="P274" s="1">
        <v>3</v>
      </c>
      <c r="Q274" s="1">
        <v>4148</v>
      </c>
      <c r="R274" s="1">
        <f>[1]!HeatTransferArea(J274,D274,0.36,L274)</f>
        <v>0.92362817858018342</v>
      </c>
      <c r="S274" s="1">
        <f>[1]!Convection(J274,N274,1000,9*10^-4,L274,0.6,0.36,7)</f>
        <v>33773.470677395402</v>
      </c>
      <c r="U274" s="1">
        <f t="shared" si="58"/>
        <v>0.35565507596033108</v>
      </c>
      <c r="V274" s="1">
        <f t="shared" si="59"/>
        <v>7.6013503378378718E-6</v>
      </c>
      <c r="W274" s="1">
        <f t="shared" si="60"/>
        <v>1.6554054054054055E-6</v>
      </c>
      <c r="X274" s="1">
        <f t="shared" si="61"/>
        <v>2.1428569999999998</v>
      </c>
      <c r="Y274" s="1">
        <f t="shared" si="62"/>
        <v>154.05848182185156</v>
      </c>
      <c r="Z274" s="1">
        <f t="shared" si="63"/>
        <v>3.3333333333333335</v>
      </c>
      <c r="AA274" s="1">
        <f t="shared" si="64"/>
        <v>0.1074530478959357</v>
      </c>
    </row>
    <row r="275" spans="1:27" x14ac:dyDescent="0.25">
      <c r="A275" s="1">
        <f>35</f>
        <v>35</v>
      </c>
      <c r="B275" s="1">
        <v>0.3</v>
      </c>
      <c r="C275" s="1">
        <v>2.8571430000000002</v>
      </c>
      <c r="D275" s="1">
        <f t="shared" si="52"/>
        <v>0.100000005</v>
      </c>
      <c r="E275" s="1">
        <v>10</v>
      </c>
      <c r="F275" s="1">
        <v>0.5</v>
      </c>
      <c r="G275" s="1">
        <v>125</v>
      </c>
      <c r="H275" s="1">
        <v>62.851490169999998</v>
      </c>
      <c r="J275" s="1">
        <f t="shared" si="53"/>
        <v>3.5000000000000003E-2</v>
      </c>
      <c r="K275" s="1">
        <f t="shared" si="54"/>
        <v>0.100000005</v>
      </c>
      <c r="L275" s="1">
        <f t="shared" si="55"/>
        <v>2.9999999999999997E-4</v>
      </c>
      <c r="M275" s="1">
        <f t="shared" si="56"/>
        <v>0.48644423080405397</v>
      </c>
      <c r="N275" s="1">
        <f t="shared" si="57"/>
        <v>3.4722222222222224E-2</v>
      </c>
      <c r="O275" s="1">
        <v>370</v>
      </c>
      <c r="P275" s="1">
        <v>3</v>
      </c>
      <c r="Q275" s="1">
        <v>4148</v>
      </c>
      <c r="R275" s="1">
        <f>[1]!HeatTransferArea(J275,D275,0.36,L275)</f>
        <v>1.2315043817824152</v>
      </c>
      <c r="S275" s="1">
        <f>[1]!Convection(J275,N275,1000,9*10^-4,L275,0.6,0.36,7)</f>
        <v>33773.470677395402</v>
      </c>
      <c r="U275" s="1">
        <f t="shared" si="58"/>
        <v>0.80022382755129218</v>
      </c>
      <c r="V275" s="1">
        <f t="shared" si="59"/>
        <v>4.5045049549549668E-6</v>
      </c>
      <c r="W275" s="1">
        <f t="shared" si="60"/>
        <v>5.5180180180180184E-7</v>
      </c>
      <c r="X275" s="1">
        <f t="shared" si="61"/>
        <v>2.8571430000000002</v>
      </c>
      <c r="Y275" s="1">
        <f t="shared" si="62"/>
        <v>462.17544546555462</v>
      </c>
      <c r="Z275" s="1">
        <f t="shared" si="63"/>
        <v>3.3333333333333335</v>
      </c>
      <c r="AA275" s="1">
        <f t="shared" si="64"/>
        <v>0.23280351798406082</v>
      </c>
    </row>
    <row r="276" spans="1:27" x14ac:dyDescent="0.25">
      <c r="A276" s="1">
        <f>35</f>
        <v>35</v>
      </c>
      <c r="B276" s="1">
        <v>0.3</v>
      </c>
      <c r="C276" s="1">
        <v>2.8571430000000002</v>
      </c>
      <c r="D276" s="1">
        <f t="shared" si="52"/>
        <v>0.100000005</v>
      </c>
      <c r="E276" s="1">
        <v>10</v>
      </c>
      <c r="F276" s="1">
        <v>1</v>
      </c>
      <c r="G276" s="1">
        <v>125</v>
      </c>
      <c r="H276" s="1">
        <v>64.164834519999999</v>
      </c>
      <c r="J276" s="1">
        <f t="shared" si="53"/>
        <v>3.5000000000000003E-2</v>
      </c>
      <c r="K276" s="1">
        <f t="shared" si="54"/>
        <v>0.100000005</v>
      </c>
      <c r="L276" s="1">
        <f t="shared" si="55"/>
        <v>2.9999999999999997E-4</v>
      </c>
      <c r="M276" s="1">
        <f t="shared" si="56"/>
        <v>0.48644423080405397</v>
      </c>
      <c r="N276" s="1">
        <f t="shared" si="57"/>
        <v>3.4722222222222224E-2</v>
      </c>
      <c r="O276" s="1">
        <v>370</v>
      </c>
      <c r="P276" s="1">
        <v>3</v>
      </c>
      <c r="Q276" s="1">
        <v>4148</v>
      </c>
      <c r="R276" s="1">
        <f>[1]!HeatTransferArea(J276,D276,0.36,L276)</f>
        <v>1.2315043817824152</v>
      </c>
      <c r="S276" s="1">
        <f>[1]!Convection(J276,N276,1000,9*10^-4,L276,0.6,0.36,7)</f>
        <v>33773.470677395402</v>
      </c>
      <c r="U276" s="1">
        <f t="shared" si="58"/>
        <v>0.40011191377564609</v>
      </c>
      <c r="V276" s="1">
        <f t="shared" si="59"/>
        <v>9.0090099099099335E-6</v>
      </c>
      <c r="W276" s="1">
        <f t="shared" si="60"/>
        <v>1.1036036036036037E-6</v>
      </c>
      <c r="X276" s="1">
        <f t="shared" si="61"/>
        <v>2.8571430000000002</v>
      </c>
      <c r="Y276" s="1">
        <f t="shared" si="62"/>
        <v>231.08772273277731</v>
      </c>
      <c r="Z276" s="1">
        <f t="shared" si="63"/>
        <v>3.3333333333333335</v>
      </c>
      <c r="AA276" s="1">
        <f t="shared" si="64"/>
        <v>0.11883408942824997</v>
      </c>
    </row>
    <row r="277" spans="1:27" x14ac:dyDescent="0.25">
      <c r="A277" s="1">
        <f>35</f>
        <v>35</v>
      </c>
      <c r="B277" s="1">
        <v>0.3</v>
      </c>
      <c r="C277" s="1">
        <v>2.8571430000000002</v>
      </c>
      <c r="D277" s="1">
        <f t="shared" si="52"/>
        <v>0.100000005</v>
      </c>
      <c r="E277" s="1">
        <v>10</v>
      </c>
      <c r="F277" s="1">
        <v>1.5</v>
      </c>
      <c r="G277" s="1">
        <v>125</v>
      </c>
      <c r="H277" s="1">
        <v>63.859831360000001</v>
      </c>
      <c r="J277" s="1">
        <f t="shared" si="53"/>
        <v>3.5000000000000003E-2</v>
      </c>
      <c r="K277" s="1">
        <f t="shared" si="54"/>
        <v>0.100000005</v>
      </c>
      <c r="L277" s="1">
        <f t="shared" si="55"/>
        <v>2.9999999999999997E-4</v>
      </c>
      <c r="M277" s="1">
        <f t="shared" si="56"/>
        <v>0.48644423080405397</v>
      </c>
      <c r="N277" s="1">
        <f t="shared" si="57"/>
        <v>3.4722222222222224E-2</v>
      </c>
      <c r="O277" s="1">
        <v>370</v>
      </c>
      <c r="P277" s="1">
        <v>3</v>
      </c>
      <c r="Q277" s="1">
        <v>4148</v>
      </c>
      <c r="R277" s="1">
        <f>[1]!HeatTransferArea(J277,D277,0.36,L277)</f>
        <v>1.2315043817824152</v>
      </c>
      <c r="S277" s="1">
        <f>[1]!Convection(J277,N277,1000,9*10^-4,L277,0.6,0.36,7)</f>
        <v>33773.470677395402</v>
      </c>
      <c r="U277" s="1">
        <f t="shared" si="58"/>
        <v>0.26674127585043073</v>
      </c>
      <c r="V277" s="1">
        <f t="shared" si="59"/>
        <v>1.35135148648649E-5</v>
      </c>
      <c r="W277" s="1">
        <f t="shared" si="60"/>
        <v>1.6554054054054055E-6</v>
      </c>
      <c r="X277" s="1">
        <f t="shared" si="61"/>
        <v>2.8571430000000002</v>
      </c>
      <c r="Y277" s="1">
        <f t="shared" si="62"/>
        <v>154.05848182185156</v>
      </c>
      <c r="Z277" s="1">
        <f t="shared" si="63"/>
        <v>3.3333333333333335</v>
      </c>
      <c r="AA277" s="1">
        <f t="shared" si="64"/>
        <v>7.884614646507887E-2</v>
      </c>
    </row>
    <row r="278" spans="1:27" x14ac:dyDescent="0.25">
      <c r="A278" s="1">
        <f>35</f>
        <v>35</v>
      </c>
      <c r="B278" s="1">
        <v>0.3</v>
      </c>
      <c r="C278" s="1">
        <v>3.5714290000000002</v>
      </c>
      <c r="D278" s="1">
        <f t="shared" si="52"/>
        <v>0.12500001499999999</v>
      </c>
      <c r="E278" s="1">
        <v>10</v>
      </c>
      <c r="F278" s="1">
        <v>0.5</v>
      </c>
      <c r="G278" s="1">
        <v>125</v>
      </c>
      <c r="H278" s="1">
        <v>62.99920024</v>
      </c>
      <c r="J278" s="1">
        <f t="shared" si="53"/>
        <v>3.5000000000000003E-2</v>
      </c>
      <c r="K278" s="1">
        <f t="shared" si="54"/>
        <v>0.12500001499999999</v>
      </c>
      <c r="L278" s="1">
        <f t="shared" si="55"/>
        <v>2.9999999999999997E-4</v>
      </c>
      <c r="M278" s="1">
        <f t="shared" si="56"/>
        <v>0.6080553310689355</v>
      </c>
      <c r="N278" s="1">
        <f t="shared" si="57"/>
        <v>3.4722222222222224E-2</v>
      </c>
      <c r="O278" s="1">
        <v>370</v>
      </c>
      <c r="P278" s="1">
        <v>3</v>
      </c>
      <c r="Q278" s="1">
        <v>4148</v>
      </c>
      <c r="R278" s="1">
        <f>[1]!HeatTransferArea(J278,D278,0.36,L278)</f>
        <v>1.5393805849846469</v>
      </c>
      <c r="S278" s="1">
        <f>[1]!Convection(J278,N278,1000,9*10^-4,L278,0.6,0.36,7)</f>
        <v>33773.470677395402</v>
      </c>
      <c r="U278" s="1">
        <f t="shared" si="58"/>
        <v>0.64017901722850479</v>
      </c>
      <c r="V278" s="1">
        <f t="shared" si="59"/>
        <v>7.0382899774775779E-6</v>
      </c>
      <c r="W278" s="1">
        <f t="shared" si="60"/>
        <v>5.5180180180180184E-7</v>
      </c>
      <c r="X278" s="1">
        <f t="shared" si="61"/>
        <v>3.5714290000000002</v>
      </c>
      <c r="Y278" s="1">
        <f t="shared" si="62"/>
        <v>462.17544546555456</v>
      </c>
      <c r="Z278" s="1">
        <f t="shared" si="63"/>
        <v>3.3333333333333335</v>
      </c>
      <c r="AA278" s="1">
        <f t="shared" si="64"/>
        <v>0.18668049880420434</v>
      </c>
    </row>
    <row r="279" spans="1:27" x14ac:dyDescent="0.25">
      <c r="A279" s="1">
        <f>35</f>
        <v>35</v>
      </c>
      <c r="B279" s="1">
        <v>0.3</v>
      </c>
      <c r="C279" s="1">
        <v>3.5714290000000002</v>
      </c>
      <c r="D279" s="1">
        <f t="shared" si="52"/>
        <v>0.12500001499999999</v>
      </c>
      <c r="E279" s="1">
        <v>10</v>
      </c>
      <c r="F279" s="1">
        <v>1</v>
      </c>
      <c r="G279" s="1">
        <v>125</v>
      </c>
      <c r="H279" s="1">
        <v>63.037733709999998</v>
      </c>
      <c r="J279" s="1">
        <f t="shared" si="53"/>
        <v>3.5000000000000003E-2</v>
      </c>
      <c r="K279" s="1">
        <f t="shared" si="54"/>
        <v>0.12500001499999999</v>
      </c>
      <c r="L279" s="1">
        <f t="shared" si="55"/>
        <v>2.9999999999999997E-4</v>
      </c>
      <c r="M279" s="1">
        <f t="shared" si="56"/>
        <v>0.6080553310689355</v>
      </c>
      <c r="N279" s="1">
        <f t="shared" si="57"/>
        <v>3.4722222222222224E-2</v>
      </c>
      <c r="O279" s="1">
        <v>370</v>
      </c>
      <c r="P279" s="1">
        <v>3</v>
      </c>
      <c r="Q279" s="1">
        <v>4148</v>
      </c>
      <c r="R279" s="1">
        <f>[1]!HeatTransferArea(J279,D279,0.36,L279)</f>
        <v>1.5393805849846469</v>
      </c>
      <c r="S279" s="1">
        <f>[1]!Convection(J279,N279,1000,9*10^-4,L279,0.6,0.36,7)</f>
        <v>33773.470677395402</v>
      </c>
      <c r="U279" s="1">
        <f t="shared" si="58"/>
        <v>0.32008950861425239</v>
      </c>
      <c r="V279" s="1">
        <f t="shared" si="59"/>
        <v>1.4076579954955156E-5</v>
      </c>
      <c r="W279" s="1">
        <f t="shared" si="60"/>
        <v>1.1036036036036037E-6</v>
      </c>
      <c r="X279" s="1">
        <f t="shared" si="61"/>
        <v>3.5714290000000002</v>
      </c>
      <c r="Y279" s="1">
        <f t="shared" si="62"/>
        <v>231.08772273277728</v>
      </c>
      <c r="Z279" s="1">
        <f t="shared" si="63"/>
        <v>3.3333333333333335</v>
      </c>
      <c r="AA279" s="1">
        <f t="shared" si="64"/>
        <v>9.3397340979240073E-2</v>
      </c>
    </row>
    <row r="280" spans="1:27" x14ac:dyDescent="0.25">
      <c r="A280" s="1">
        <f>35</f>
        <v>35</v>
      </c>
      <c r="B280" s="1">
        <v>0.3</v>
      </c>
      <c r="C280" s="1">
        <v>3.5714290000000002</v>
      </c>
      <c r="D280" s="1">
        <f t="shared" si="52"/>
        <v>0.12500001499999999</v>
      </c>
      <c r="E280" s="1">
        <v>10</v>
      </c>
      <c r="F280" s="1">
        <v>1.5</v>
      </c>
      <c r="G280" s="1">
        <v>125</v>
      </c>
      <c r="H280" s="1">
        <v>62.53768367</v>
      </c>
      <c r="J280" s="1">
        <f t="shared" si="53"/>
        <v>3.5000000000000003E-2</v>
      </c>
      <c r="K280" s="1">
        <f t="shared" si="54"/>
        <v>0.12500001499999999</v>
      </c>
      <c r="L280" s="1">
        <f t="shared" si="55"/>
        <v>2.9999999999999997E-4</v>
      </c>
      <c r="M280" s="1">
        <f t="shared" si="56"/>
        <v>0.6080553310689355</v>
      </c>
      <c r="N280" s="1">
        <f t="shared" si="57"/>
        <v>3.4722222222222224E-2</v>
      </c>
      <c r="O280" s="1">
        <v>370</v>
      </c>
      <c r="P280" s="1">
        <v>3</v>
      </c>
      <c r="Q280" s="1">
        <v>4148</v>
      </c>
      <c r="R280" s="1">
        <f>[1]!HeatTransferArea(J280,D280,0.36,L280)</f>
        <v>1.5393805849846469</v>
      </c>
      <c r="S280" s="1">
        <f>[1]!Convection(J280,N280,1000,9*10^-4,L280,0.6,0.36,7)</f>
        <v>33773.470677395402</v>
      </c>
      <c r="U280" s="1">
        <f t="shared" si="58"/>
        <v>0.21339300574283493</v>
      </c>
      <c r="V280" s="1">
        <f t="shared" si="59"/>
        <v>2.1114869932432732E-5</v>
      </c>
      <c r="W280" s="1">
        <f t="shared" si="60"/>
        <v>1.6554054054054055E-6</v>
      </c>
      <c r="X280" s="1">
        <f t="shared" si="61"/>
        <v>3.5714290000000002</v>
      </c>
      <c r="Y280" s="1">
        <f t="shared" si="62"/>
        <v>154.05848182185153</v>
      </c>
      <c r="Z280" s="1">
        <f t="shared" si="63"/>
        <v>3.3333333333333335</v>
      </c>
      <c r="AA280" s="1">
        <f t="shared" si="64"/>
        <v>6.177097453671393E-2</v>
      </c>
    </row>
    <row r="281" spans="1:27" x14ac:dyDescent="0.25">
      <c r="A281" s="1">
        <f>35</f>
        <v>35</v>
      </c>
      <c r="B281" s="1">
        <v>0.4</v>
      </c>
      <c r="C281" s="1">
        <v>2.1428569999999998</v>
      </c>
      <c r="D281" s="1">
        <f t="shared" si="52"/>
        <v>7.4999995E-2</v>
      </c>
      <c r="E281" s="1">
        <v>10</v>
      </c>
      <c r="F281" s="1">
        <v>0.5</v>
      </c>
      <c r="G281" s="1">
        <v>125</v>
      </c>
      <c r="H281" s="1">
        <v>59.434847849999997</v>
      </c>
      <c r="J281" s="1">
        <f t="shared" si="53"/>
        <v>3.5000000000000003E-2</v>
      </c>
      <c r="K281" s="1">
        <f t="shared" si="54"/>
        <v>7.4999995E-2</v>
      </c>
      <c r="L281" s="1">
        <f t="shared" si="55"/>
        <v>4.0000000000000002E-4</v>
      </c>
      <c r="M281" s="1">
        <f t="shared" si="56"/>
        <v>0.36483313053917238</v>
      </c>
      <c r="N281" s="1">
        <f t="shared" si="57"/>
        <v>3.4722222222222224E-2</v>
      </c>
      <c r="O281" s="1">
        <v>370</v>
      </c>
      <c r="P281" s="1">
        <v>3</v>
      </c>
      <c r="Q281" s="1">
        <v>4148</v>
      </c>
      <c r="R281" s="1">
        <f>[1]!HeatTransferArea(J281,D281,0.36,L281)</f>
        <v>0.69272113393513746</v>
      </c>
      <c r="S281" s="1">
        <f>[1]!Convection(J281,N281,1000,9*10^-4,L281,0.6,0.36,7)</f>
        <v>25517.896048113165</v>
      </c>
      <c r="U281" s="1">
        <f t="shared" si="58"/>
        <v>1.0669652278809931</v>
      </c>
      <c r="V281" s="1">
        <f t="shared" si="59"/>
        <v>2.5337834459459573E-6</v>
      </c>
      <c r="W281" s="1">
        <f t="shared" si="60"/>
        <v>5.5180180180180184E-7</v>
      </c>
      <c r="X281" s="1">
        <f t="shared" si="61"/>
        <v>2.1428569999999998</v>
      </c>
      <c r="Y281" s="1">
        <f t="shared" si="62"/>
        <v>261.90108841717239</v>
      </c>
      <c r="Z281" s="1">
        <f t="shared" si="63"/>
        <v>3.3333333333333335</v>
      </c>
      <c r="AA281" s="1">
        <f t="shared" si="64"/>
        <v>0.29353095150016156</v>
      </c>
    </row>
    <row r="282" spans="1:27" x14ac:dyDescent="0.25">
      <c r="A282" s="1">
        <f>35</f>
        <v>35</v>
      </c>
      <c r="B282" s="1">
        <v>0.4</v>
      </c>
      <c r="C282" s="1">
        <v>2.1428569999999998</v>
      </c>
      <c r="D282" s="1">
        <f t="shared" si="52"/>
        <v>7.4999995E-2</v>
      </c>
      <c r="E282" s="1">
        <v>10</v>
      </c>
      <c r="F282" s="1">
        <v>1</v>
      </c>
      <c r="G282" s="1">
        <v>125</v>
      </c>
      <c r="H282" s="1">
        <v>65.326250020000003</v>
      </c>
      <c r="J282" s="1">
        <f t="shared" si="53"/>
        <v>3.5000000000000003E-2</v>
      </c>
      <c r="K282" s="1">
        <f t="shared" si="54"/>
        <v>7.4999995E-2</v>
      </c>
      <c r="L282" s="1">
        <f t="shared" si="55"/>
        <v>4.0000000000000002E-4</v>
      </c>
      <c r="M282" s="1">
        <f t="shared" si="56"/>
        <v>0.36483313053917238</v>
      </c>
      <c r="N282" s="1">
        <f t="shared" si="57"/>
        <v>3.4722222222222224E-2</v>
      </c>
      <c r="O282" s="1">
        <v>370</v>
      </c>
      <c r="P282" s="1">
        <v>3</v>
      </c>
      <c r="Q282" s="1">
        <v>4148</v>
      </c>
      <c r="R282" s="1">
        <f>[1]!HeatTransferArea(J282,D282,0.36,L282)</f>
        <v>0.69272113393513746</v>
      </c>
      <c r="S282" s="1">
        <f>[1]!Convection(J282,N282,1000,9*10^-4,L282,0.6,0.36,7)</f>
        <v>25517.896048113165</v>
      </c>
      <c r="U282" s="1">
        <f t="shared" si="58"/>
        <v>0.53348261394049656</v>
      </c>
      <c r="V282" s="1">
        <f t="shared" si="59"/>
        <v>5.0675668918919145E-6</v>
      </c>
      <c r="W282" s="1">
        <f t="shared" si="60"/>
        <v>1.1036036036036037E-6</v>
      </c>
      <c r="X282" s="1">
        <f t="shared" si="61"/>
        <v>2.1428569999999998</v>
      </c>
      <c r="Y282" s="1">
        <f t="shared" si="62"/>
        <v>130.95054420858619</v>
      </c>
      <c r="Z282" s="1">
        <f t="shared" si="63"/>
        <v>3.3333333333333335</v>
      </c>
      <c r="AA282" s="1">
        <f t="shared" si="64"/>
        <v>0.16131341308975902</v>
      </c>
    </row>
    <row r="283" spans="1:27" x14ac:dyDescent="0.25">
      <c r="A283" s="1">
        <f>35</f>
        <v>35</v>
      </c>
      <c r="B283" s="1">
        <v>0.4</v>
      </c>
      <c r="C283" s="1">
        <v>2.1428569999999998</v>
      </c>
      <c r="D283" s="1">
        <f t="shared" si="52"/>
        <v>7.4999995E-2</v>
      </c>
      <c r="E283" s="1">
        <v>10</v>
      </c>
      <c r="F283" s="1">
        <v>1.5</v>
      </c>
      <c r="G283" s="1">
        <v>125</v>
      </c>
      <c r="H283" s="1">
        <v>65.710018579999996</v>
      </c>
      <c r="J283" s="1">
        <f t="shared" si="53"/>
        <v>3.5000000000000003E-2</v>
      </c>
      <c r="K283" s="1">
        <f t="shared" si="54"/>
        <v>7.4999995E-2</v>
      </c>
      <c r="L283" s="1">
        <f t="shared" si="55"/>
        <v>4.0000000000000002E-4</v>
      </c>
      <c r="M283" s="1">
        <f t="shared" si="56"/>
        <v>0.36483313053917238</v>
      </c>
      <c r="N283" s="1">
        <f t="shared" si="57"/>
        <v>3.4722222222222224E-2</v>
      </c>
      <c r="O283" s="1">
        <v>370</v>
      </c>
      <c r="P283" s="1">
        <v>3</v>
      </c>
      <c r="Q283" s="1">
        <v>4148</v>
      </c>
      <c r="R283" s="1">
        <f>[1]!HeatTransferArea(J283,D283,0.36,L283)</f>
        <v>0.69272113393513746</v>
      </c>
      <c r="S283" s="1">
        <f>[1]!Convection(J283,N283,1000,9*10^-4,L283,0.6,0.36,7)</f>
        <v>25517.896048113165</v>
      </c>
      <c r="U283" s="1">
        <f t="shared" si="58"/>
        <v>0.35565507596033108</v>
      </c>
      <c r="V283" s="1">
        <f t="shared" si="59"/>
        <v>7.6013503378378718E-6</v>
      </c>
      <c r="W283" s="1">
        <f t="shared" si="60"/>
        <v>1.6554054054054055E-6</v>
      </c>
      <c r="X283" s="1">
        <f t="shared" si="61"/>
        <v>2.1428569999999998</v>
      </c>
      <c r="Y283" s="1">
        <f t="shared" si="62"/>
        <v>87.30036280572412</v>
      </c>
      <c r="Z283" s="1">
        <f t="shared" si="63"/>
        <v>3.3333333333333335</v>
      </c>
      <c r="AA283" s="1">
        <f t="shared" si="64"/>
        <v>0.10817404813619903</v>
      </c>
    </row>
    <row r="284" spans="1:27" x14ac:dyDescent="0.25">
      <c r="A284" s="1">
        <f>35</f>
        <v>35</v>
      </c>
      <c r="B284" s="1">
        <v>0.4</v>
      </c>
      <c r="C284" s="1">
        <v>2.8571430000000002</v>
      </c>
      <c r="D284" s="1">
        <f t="shared" si="52"/>
        <v>0.100000005</v>
      </c>
      <c r="E284" s="1">
        <v>10</v>
      </c>
      <c r="F284" s="1">
        <v>0.5</v>
      </c>
      <c r="G284" s="1">
        <v>125</v>
      </c>
      <c r="H284" s="1">
        <v>63.10287975</v>
      </c>
      <c r="J284" s="1">
        <f t="shared" si="53"/>
        <v>3.5000000000000003E-2</v>
      </c>
      <c r="K284" s="1">
        <f t="shared" si="54"/>
        <v>0.100000005</v>
      </c>
      <c r="L284" s="1">
        <f t="shared" si="55"/>
        <v>4.0000000000000002E-4</v>
      </c>
      <c r="M284" s="1">
        <f t="shared" si="56"/>
        <v>0.48644423080405397</v>
      </c>
      <c r="N284" s="1">
        <f t="shared" si="57"/>
        <v>3.4722222222222224E-2</v>
      </c>
      <c r="O284" s="1">
        <v>370</v>
      </c>
      <c r="P284" s="1">
        <v>3</v>
      </c>
      <c r="Q284" s="1">
        <v>4148</v>
      </c>
      <c r="R284" s="1">
        <f>[1]!HeatTransferArea(J284,D284,0.36,L284)</f>
        <v>0.92362828633681127</v>
      </c>
      <c r="S284" s="1">
        <f>[1]!Convection(J284,N284,1000,9*10^-4,L284,0.6,0.36,7)</f>
        <v>25517.896048113165</v>
      </c>
      <c r="U284" s="1">
        <f t="shared" si="58"/>
        <v>0.80022382755129218</v>
      </c>
      <c r="V284" s="1">
        <f t="shared" si="59"/>
        <v>4.5045049549549668E-6</v>
      </c>
      <c r="W284" s="1">
        <f t="shared" si="60"/>
        <v>5.5180180180180184E-7</v>
      </c>
      <c r="X284" s="1">
        <f t="shared" si="61"/>
        <v>2.8571430000000002</v>
      </c>
      <c r="Y284" s="1">
        <f t="shared" si="62"/>
        <v>261.90108841717239</v>
      </c>
      <c r="Z284" s="1">
        <f t="shared" si="63"/>
        <v>3.3333333333333335</v>
      </c>
      <c r="AA284" s="1">
        <f t="shared" si="64"/>
        <v>0.23373467138154178</v>
      </c>
    </row>
    <row r="285" spans="1:27" x14ac:dyDescent="0.25">
      <c r="A285" s="1">
        <f>35</f>
        <v>35</v>
      </c>
      <c r="B285" s="1">
        <v>0.4</v>
      </c>
      <c r="C285" s="1">
        <v>2.8571430000000002</v>
      </c>
      <c r="D285" s="1">
        <f t="shared" si="52"/>
        <v>0.100000005</v>
      </c>
      <c r="E285" s="1">
        <v>10</v>
      </c>
      <c r="F285" s="1">
        <v>1</v>
      </c>
      <c r="G285" s="1">
        <v>125</v>
      </c>
      <c r="H285" s="1">
        <v>64.947478369999999</v>
      </c>
      <c r="J285" s="1">
        <f t="shared" si="53"/>
        <v>3.5000000000000003E-2</v>
      </c>
      <c r="K285" s="1">
        <f t="shared" si="54"/>
        <v>0.100000005</v>
      </c>
      <c r="L285" s="1">
        <f t="shared" si="55"/>
        <v>4.0000000000000002E-4</v>
      </c>
      <c r="M285" s="1">
        <f t="shared" si="56"/>
        <v>0.48644423080405397</v>
      </c>
      <c r="N285" s="1">
        <f t="shared" si="57"/>
        <v>3.4722222222222224E-2</v>
      </c>
      <c r="O285" s="1">
        <v>370</v>
      </c>
      <c r="P285" s="1">
        <v>3</v>
      </c>
      <c r="Q285" s="1">
        <v>4148</v>
      </c>
      <c r="R285" s="1">
        <f>[1]!HeatTransferArea(J285,D285,0.36,L285)</f>
        <v>0.92362828633681127</v>
      </c>
      <c r="S285" s="1">
        <f>[1]!Convection(J285,N285,1000,9*10^-4,L285,0.6,0.36,7)</f>
        <v>25517.896048113165</v>
      </c>
      <c r="U285" s="1">
        <f t="shared" si="58"/>
        <v>0.40011191377564609</v>
      </c>
      <c r="V285" s="1">
        <f t="shared" si="59"/>
        <v>9.0090099099099335E-6</v>
      </c>
      <c r="W285" s="1">
        <f t="shared" si="60"/>
        <v>1.1036036036036037E-6</v>
      </c>
      <c r="X285" s="1">
        <f t="shared" si="61"/>
        <v>2.8571430000000002</v>
      </c>
      <c r="Y285" s="1">
        <f t="shared" si="62"/>
        <v>130.95054420858619</v>
      </c>
      <c r="Z285" s="1">
        <f t="shared" si="63"/>
        <v>3.3333333333333335</v>
      </c>
      <c r="AA285" s="1">
        <f t="shared" si="64"/>
        <v>0.12028355579027075</v>
      </c>
    </row>
    <row r="286" spans="1:27" x14ac:dyDescent="0.25">
      <c r="A286" s="1">
        <f>35</f>
        <v>35</v>
      </c>
      <c r="B286" s="1">
        <v>0.4</v>
      </c>
      <c r="C286" s="1">
        <v>2.8571430000000002</v>
      </c>
      <c r="D286" s="1">
        <f t="shared" si="52"/>
        <v>0.100000005</v>
      </c>
      <c r="E286" s="1">
        <v>10</v>
      </c>
      <c r="F286" s="1">
        <v>1.5</v>
      </c>
      <c r="G286" s="1">
        <v>125</v>
      </c>
      <c r="H286" s="1">
        <v>64.789756949999997</v>
      </c>
      <c r="J286" s="1">
        <f t="shared" si="53"/>
        <v>3.5000000000000003E-2</v>
      </c>
      <c r="K286" s="1">
        <f t="shared" si="54"/>
        <v>0.100000005</v>
      </c>
      <c r="L286" s="1">
        <f t="shared" si="55"/>
        <v>4.0000000000000002E-4</v>
      </c>
      <c r="M286" s="1">
        <f t="shared" si="56"/>
        <v>0.48644423080405397</v>
      </c>
      <c r="N286" s="1">
        <f t="shared" si="57"/>
        <v>3.4722222222222224E-2</v>
      </c>
      <c r="O286" s="1">
        <v>370</v>
      </c>
      <c r="P286" s="1">
        <v>3</v>
      </c>
      <c r="Q286" s="1">
        <v>4148</v>
      </c>
      <c r="R286" s="1">
        <f>[1]!HeatTransferArea(J286,D286,0.36,L286)</f>
        <v>0.92362828633681127</v>
      </c>
      <c r="S286" s="1">
        <f>[1]!Convection(J286,N286,1000,9*10^-4,L286,0.6,0.36,7)</f>
        <v>25517.896048113165</v>
      </c>
      <c r="U286" s="1">
        <f t="shared" si="58"/>
        <v>0.26674127585043073</v>
      </c>
      <c r="V286" s="1">
        <f t="shared" si="59"/>
        <v>1.35135148648649E-5</v>
      </c>
      <c r="W286" s="1">
        <f t="shared" si="60"/>
        <v>1.6554054054054055E-6</v>
      </c>
      <c r="X286" s="1">
        <f t="shared" si="61"/>
        <v>2.8571430000000002</v>
      </c>
      <c r="Y286" s="1">
        <f t="shared" si="62"/>
        <v>87.300362805724134</v>
      </c>
      <c r="Z286" s="1">
        <f t="shared" si="63"/>
        <v>3.3333333333333335</v>
      </c>
      <c r="AA286" s="1">
        <f t="shared" si="64"/>
        <v>7.9994302476600859E-2</v>
      </c>
    </row>
    <row r="287" spans="1:27" x14ac:dyDescent="0.25">
      <c r="A287" s="1">
        <f>35</f>
        <v>35</v>
      </c>
      <c r="B287" s="1">
        <v>0.4</v>
      </c>
      <c r="C287" s="1">
        <v>3.5714290000000002</v>
      </c>
      <c r="D287" s="1">
        <f t="shared" si="52"/>
        <v>0.12500001499999999</v>
      </c>
      <c r="E287" s="1">
        <v>10</v>
      </c>
      <c r="F287" s="1">
        <v>0.5</v>
      </c>
      <c r="G287" s="1">
        <v>125</v>
      </c>
      <c r="H287" s="1">
        <v>63.811205999999999</v>
      </c>
      <c r="J287" s="1">
        <f t="shared" si="53"/>
        <v>3.5000000000000003E-2</v>
      </c>
      <c r="K287" s="1">
        <f t="shared" si="54"/>
        <v>0.12500001499999999</v>
      </c>
      <c r="L287" s="1">
        <f t="shared" si="55"/>
        <v>4.0000000000000002E-4</v>
      </c>
      <c r="M287" s="1">
        <f t="shared" si="56"/>
        <v>0.6080553310689355</v>
      </c>
      <c r="N287" s="1">
        <f t="shared" si="57"/>
        <v>3.4722222222222224E-2</v>
      </c>
      <c r="O287" s="1">
        <v>370</v>
      </c>
      <c r="P287" s="1">
        <v>3</v>
      </c>
      <c r="Q287" s="1">
        <v>4148</v>
      </c>
      <c r="R287" s="1">
        <f>[1]!HeatTransferArea(J287,D287,0.36,L287)</f>
        <v>1.154535438738485</v>
      </c>
      <c r="S287" s="1">
        <f>[1]!Convection(J287,N287,1000,9*10^-4,L287,0.6,0.36,7)</f>
        <v>25517.896048113165</v>
      </c>
      <c r="U287" s="1">
        <f t="shared" si="58"/>
        <v>0.64017901722850479</v>
      </c>
      <c r="V287" s="1">
        <f t="shared" si="59"/>
        <v>7.0382899774775779E-6</v>
      </c>
      <c r="W287" s="1">
        <f t="shared" si="60"/>
        <v>5.5180180180180184E-7</v>
      </c>
      <c r="X287" s="1">
        <f t="shared" si="61"/>
        <v>3.5714290000000002</v>
      </c>
      <c r="Y287" s="1">
        <f t="shared" si="62"/>
        <v>261.90108841717233</v>
      </c>
      <c r="Z287" s="1">
        <f t="shared" si="63"/>
        <v>3.3333333333333335</v>
      </c>
      <c r="AA287" s="1">
        <f t="shared" si="64"/>
        <v>0.18908665062408794</v>
      </c>
    </row>
    <row r="288" spans="1:27" x14ac:dyDescent="0.25">
      <c r="A288" s="1">
        <f>35</f>
        <v>35</v>
      </c>
      <c r="B288" s="1">
        <v>0.4</v>
      </c>
      <c r="C288" s="1">
        <v>3.5714290000000002</v>
      </c>
      <c r="D288" s="1">
        <f t="shared" si="52"/>
        <v>0.12500001499999999</v>
      </c>
      <c r="E288" s="1">
        <v>10</v>
      </c>
      <c r="F288" s="1">
        <v>1</v>
      </c>
      <c r="G288" s="1">
        <v>125</v>
      </c>
      <c r="H288" s="1">
        <v>64.22753908</v>
      </c>
      <c r="J288" s="1">
        <f t="shared" si="53"/>
        <v>3.5000000000000003E-2</v>
      </c>
      <c r="K288" s="1">
        <f t="shared" si="54"/>
        <v>0.12500001499999999</v>
      </c>
      <c r="L288" s="1">
        <f t="shared" si="55"/>
        <v>4.0000000000000002E-4</v>
      </c>
      <c r="M288" s="1">
        <f t="shared" si="56"/>
        <v>0.6080553310689355</v>
      </c>
      <c r="N288" s="1">
        <f t="shared" si="57"/>
        <v>3.4722222222222224E-2</v>
      </c>
      <c r="O288" s="1">
        <v>370</v>
      </c>
      <c r="P288" s="1">
        <v>3</v>
      </c>
      <c r="Q288" s="1">
        <v>4148</v>
      </c>
      <c r="R288" s="1">
        <f>[1]!HeatTransferArea(J288,D288,0.36,L288)</f>
        <v>1.154535438738485</v>
      </c>
      <c r="S288" s="1">
        <f>[1]!Convection(J288,N288,1000,9*10^-4,L288,0.6,0.36,7)</f>
        <v>25517.896048113165</v>
      </c>
      <c r="U288" s="1">
        <f t="shared" si="58"/>
        <v>0.32008950861425239</v>
      </c>
      <c r="V288" s="1">
        <f t="shared" si="59"/>
        <v>1.4076579954955156E-5</v>
      </c>
      <c r="W288" s="1">
        <f t="shared" si="60"/>
        <v>1.1036036036036037E-6</v>
      </c>
      <c r="X288" s="1">
        <f t="shared" si="61"/>
        <v>3.5714290000000002</v>
      </c>
      <c r="Y288" s="1">
        <f t="shared" si="62"/>
        <v>130.95054420858617</v>
      </c>
      <c r="Z288" s="1">
        <f t="shared" si="63"/>
        <v>3.3333333333333335</v>
      </c>
      <c r="AA288" s="1">
        <f t="shared" si="64"/>
        <v>9.5160168595347608E-2</v>
      </c>
    </row>
    <row r="289" spans="1:27" x14ac:dyDescent="0.25">
      <c r="A289" s="1">
        <f>35</f>
        <v>35</v>
      </c>
      <c r="B289" s="1">
        <v>0.4</v>
      </c>
      <c r="C289" s="1">
        <v>3.5714290000000002</v>
      </c>
      <c r="D289" s="1">
        <f t="shared" si="52"/>
        <v>0.12500001499999999</v>
      </c>
      <c r="E289" s="1">
        <v>10</v>
      </c>
      <c r="F289" s="1">
        <v>1.5</v>
      </c>
      <c r="G289" s="1">
        <v>125</v>
      </c>
      <c r="H289" s="1">
        <v>63.83472914</v>
      </c>
      <c r="J289" s="1">
        <f t="shared" si="53"/>
        <v>3.5000000000000003E-2</v>
      </c>
      <c r="K289" s="1">
        <f t="shared" si="54"/>
        <v>0.12500001499999999</v>
      </c>
      <c r="L289" s="1">
        <f t="shared" si="55"/>
        <v>4.0000000000000002E-4</v>
      </c>
      <c r="M289" s="1">
        <f t="shared" si="56"/>
        <v>0.6080553310689355</v>
      </c>
      <c r="N289" s="1">
        <f t="shared" si="57"/>
        <v>3.4722222222222224E-2</v>
      </c>
      <c r="O289" s="1">
        <v>370</v>
      </c>
      <c r="P289" s="1">
        <v>3</v>
      </c>
      <c r="Q289" s="1">
        <v>4148</v>
      </c>
      <c r="R289" s="1">
        <f>[1]!HeatTransferArea(J289,D289,0.36,L289)</f>
        <v>1.154535438738485</v>
      </c>
      <c r="S289" s="1">
        <f>[1]!Convection(J289,N289,1000,9*10^-4,L289,0.6,0.36,7)</f>
        <v>25517.896048113165</v>
      </c>
      <c r="U289" s="1">
        <f t="shared" si="58"/>
        <v>0.21339300574283493</v>
      </c>
      <c r="V289" s="1">
        <f t="shared" si="59"/>
        <v>2.1114869932432732E-5</v>
      </c>
      <c r="W289" s="1">
        <f t="shared" si="60"/>
        <v>1.6554054054054055E-6</v>
      </c>
      <c r="X289" s="1">
        <f t="shared" si="61"/>
        <v>3.5714290000000002</v>
      </c>
      <c r="Y289" s="1">
        <f t="shared" si="62"/>
        <v>87.30036280572412</v>
      </c>
      <c r="Z289" s="1">
        <f t="shared" si="63"/>
        <v>3.3333333333333335</v>
      </c>
      <c r="AA289" s="1">
        <f t="shared" si="64"/>
        <v>6.3052118288745226E-2</v>
      </c>
    </row>
    <row r="290" spans="1:27" x14ac:dyDescent="0.25">
      <c r="A290" s="1">
        <f>35</f>
        <v>35</v>
      </c>
      <c r="B290" s="1">
        <v>0.5</v>
      </c>
      <c r="C290" s="1">
        <v>2.1428569999999998</v>
      </c>
      <c r="D290" s="1">
        <f t="shared" si="52"/>
        <v>7.4999995E-2</v>
      </c>
      <c r="E290" s="1">
        <v>10</v>
      </c>
      <c r="F290" s="1">
        <v>0.5</v>
      </c>
      <c r="G290" s="1">
        <v>125</v>
      </c>
      <c r="H290" s="1">
        <v>58.047726419999996</v>
      </c>
      <c r="J290" s="1">
        <f t="shared" si="53"/>
        <v>3.5000000000000003E-2</v>
      </c>
      <c r="K290" s="1">
        <f t="shared" si="54"/>
        <v>7.4999995E-2</v>
      </c>
      <c r="L290" s="1">
        <f t="shared" si="55"/>
        <v>5.0000000000000001E-4</v>
      </c>
      <c r="M290" s="1">
        <f t="shared" si="56"/>
        <v>0.36483313053917238</v>
      </c>
      <c r="N290" s="1">
        <f t="shared" si="57"/>
        <v>3.4722222222222224E-2</v>
      </c>
      <c r="O290" s="1">
        <v>370</v>
      </c>
      <c r="P290" s="1">
        <v>3</v>
      </c>
      <c r="Q290" s="1">
        <v>4148</v>
      </c>
      <c r="R290" s="1">
        <f>[1]!HeatTransferArea(J290,D290,0.36,L290)</f>
        <v>0.55417690714810997</v>
      </c>
      <c r="S290" s="1">
        <f>[1]!Convection(J290,N290,1000,9*10^-4,L290,0.6,0.36,7)</f>
        <v>20550.079694253804</v>
      </c>
      <c r="U290" s="1">
        <f t="shared" si="58"/>
        <v>1.0669652278809931</v>
      </c>
      <c r="V290" s="1">
        <f t="shared" si="59"/>
        <v>2.5337834459459573E-6</v>
      </c>
      <c r="W290" s="1">
        <f t="shared" si="60"/>
        <v>5.5180180180180184E-7</v>
      </c>
      <c r="X290" s="1">
        <f t="shared" si="61"/>
        <v>2.1428569999999998</v>
      </c>
      <c r="Y290" s="1">
        <f t="shared" si="62"/>
        <v>168.73141042151602</v>
      </c>
      <c r="Z290" s="1">
        <f t="shared" si="63"/>
        <v>3.3333333333333335</v>
      </c>
      <c r="AA290" s="1">
        <f t="shared" si="64"/>
        <v>0.28668037329692042</v>
      </c>
    </row>
    <row r="291" spans="1:27" x14ac:dyDescent="0.25">
      <c r="A291" s="1">
        <f>35</f>
        <v>35</v>
      </c>
      <c r="B291" s="1">
        <v>0.5</v>
      </c>
      <c r="C291" s="1">
        <v>2.1428569999999998</v>
      </c>
      <c r="D291" s="1">
        <f t="shared" si="52"/>
        <v>7.4999995E-2</v>
      </c>
      <c r="E291" s="1">
        <v>10</v>
      </c>
      <c r="F291" s="1">
        <v>1</v>
      </c>
      <c r="G291" s="1">
        <v>125</v>
      </c>
      <c r="H291" s="1">
        <v>64.776025520000005</v>
      </c>
      <c r="J291" s="1">
        <f t="shared" si="53"/>
        <v>3.5000000000000003E-2</v>
      </c>
      <c r="K291" s="1">
        <f t="shared" si="54"/>
        <v>7.4999995E-2</v>
      </c>
      <c r="L291" s="1">
        <f t="shared" si="55"/>
        <v>5.0000000000000001E-4</v>
      </c>
      <c r="M291" s="1">
        <f t="shared" si="56"/>
        <v>0.36483313053917238</v>
      </c>
      <c r="N291" s="1">
        <f t="shared" si="57"/>
        <v>3.4722222222222224E-2</v>
      </c>
      <c r="O291" s="1">
        <v>370</v>
      </c>
      <c r="P291" s="1">
        <v>3</v>
      </c>
      <c r="Q291" s="1">
        <v>4148</v>
      </c>
      <c r="R291" s="1">
        <f>[1]!HeatTransferArea(J291,D291,0.36,L291)</f>
        <v>0.55417690714810997</v>
      </c>
      <c r="S291" s="1">
        <f>[1]!Convection(J291,N291,1000,9*10^-4,L291,0.6,0.36,7)</f>
        <v>20550.079694253804</v>
      </c>
      <c r="U291" s="1">
        <f t="shared" si="58"/>
        <v>0.53348261394049656</v>
      </c>
      <c r="V291" s="1">
        <f t="shared" si="59"/>
        <v>5.0675668918919145E-6</v>
      </c>
      <c r="W291" s="1">
        <f t="shared" si="60"/>
        <v>1.1036036036036037E-6</v>
      </c>
      <c r="X291" s="1">
        <f t="shared" si="61"/>
        <v>2.1428569999999998</v>
      </c>
      <c r="Y291" s="1">
        <f t="shared" si="62"/>
        <v>84.365705210758009</v>
      </c>
      <c r="Z291" s="1">
        <f t="shared" si="63"/>
        <v>3.3333333333333335</v>
      </c>
      <c r="AA291" s="1">
        <f t="shared" si="64"/>
        <v>0.15995471590396568</v>
      </c>
    </row>
    <row r="292" spans="1:27" x14ac:dyDescent="0.25">
      <c r="A292" s="1">
        <f>35</f>
        <v>35</v>
      </c>
      <c r="B292" s="1">
        <v>0.5</v>
      </c>
      <c r="C292" s="1">
        <v>2.1428569999999998</v>
      </c>
      <c r="D292" s="1">
        <f t="shared" si="52"/>
        <v>7.4999995E-2</v>
      </c>
      <c r="E292" s="1">
        <v>10</v>
      </c>
      <c r="F292" s="1">
        <v>1.5</v>
      </c>
      <c r="G292" s="1">
        <v>125</v>
      </c>
      <c r="H292" s="1">
        <v>65.355774909999994</v>
      </c>
      <c r="J292" s="1">
        <f t="shared" si="53"/>
        <v>3.5000000000000003E-2</v>
      </c>
      <c r="K292" s="1">
        <f t="shared" si="54"/>
        <v>7.4999995E-2</v>
      </c>
      <c r="L292" s="1">
        <f t="shared" si="55"/>
        <v>5.0000000000000001E-4</v>
      </c>
      <c r="M292" s="1">
        <f t="shared" si="56"/>
        <v>0.36483313053917238</v>
      </c>
      <c r="N292" s="1">
        <f t="shared" si="57"/>
        <v>3.4722222222222224E-2</v>
      </c>
      <c r="O292" s="1">
        <v>370</v>
      </c>
      <c r="P292" s="1">
        <v>3</v>
      </c>
      <c r="Q292" s="1">
        <v>4148</v>
      </c>
      <c r="R292" s="1">
        <f>[1]!HeatTransferArea(J292,D292,0.36,L292)</f>
        <v>0.55417690714810997</v>
      </c>
      <c r="S292" s="1">
        <f>[1]!Convection(J292,N292,1000,9*10^-4,L292,0.6,0.36,7)</f>
        <v>20550.079694253804</v>
      </c>
      <c r="U292" s="1">
        <f t="shared" si="58"/>
        <v>0.35565507596033108</v>
      </c>
      <c r="V292" s="1">
        <f t="shared" si="59"/>
        <v>7.6013503378378718E-6</v>
      </c>
      <c r="W292" s="1">
        <f t="shared" si="60"/>
        <v>1.6554054054054055E-6</v>
      </c>
      <c r="X292" s="1">
        <f t="shared" si="61"/>
        <v>2.1428569999999998</v>
      </c>
      <c r="Y292" s="1">
        <f t="shared" si="62"/>
        <v>56.243803473838668</v>
      </c>
      <c r="Z292" s="1">
        <f t="shared" si="63"/>
        <v>3.3333333333333335</v>
      </c>
      <c r="AA292" s="1">
        <f t="shared" si="64"/>
        <v>0.10759088026258368</v>
      </c>
    </row>
    <row r="293" spans="1:27" x14ac:dyDescent="0.25">
      <c r="A293" s="1">
        <f>35</f>
        <v>35</v>
      </c>
      <c r="B293" s="1">
        <v>0.5</v>
      </c>
      <c r="C293" s="1">
        <v>2.8571430000000002</v>
      </c>
      <c r="D293" s="1">
        <f t="shared" si="52"/>
        <v>0.100000005</v>
      </c>
      <c r="E293" s="1">
        <v>10</v>
      </c>
      <c r="F293" s="1">
        <v>0.5</v>
      </c>
      <c r="G293" s="1">
        <v>125</v>
      </c>
      <c r="H293" s="1">
        <v>62.673137070000003</v>
      </c>
      <c r="J293" s="1">
        <f t="shared" si="53"/>
        <v>3.5000000000000003E-2</v>
      </c>
      <c r="K293" s="1">
        <f t="shared" si="54"/>
        <v>0.100000005</v>
      </c>
      <c r="L293" s="1">
        <f t="shared" si="55"/>
        <v>5.0000000000000001E-4</v>
      </c>
      <c r="M293" s="1">
        <f t="shared" si="56"/>
        <v>0.48644423080405397</v>
      </c>
      <c r="N293" s="1">
        <f t="shared" si="57"/>
        <v>3.4722222222222224E-2</v>
      </c>
      <c r="O293" s="1">
        <v>370</v>
      </c>
      <c r="P293" s="1">
        <v>3</v>
      </c>
      <c r="Q293" s="1">
        <v>4148</v>
      </c>
      <c r="R293" s="1">
        <f>[1]!HeatTransferArea(J293,D293,0.36,L293)</f>
        <v>0.73890262906944904</v>
      </c>
      <c r="S293" s="1">
        <f>[1]!Convection(J293,N293,1000,9*10^-4,L293,0.6,0.36,7)</f>
        <v>20550.079694253804</v>
      </c>
      <c r="U293" s="1">
        <f t="shared" si="58"/>
        <v>0.80022382755129218</v>
      </c>
      <c r="V293" s="1">
        <f t="shared" si="59"/>
        <v>4.5045049549549668E-6</v>
      </c>
      <c r="W293" s="1">
        <f t="shared" si="60"/>
        <v>5.5180180180180184E-7</v>
      </c>
      <c r="X293" s="1">
        <f t="shared" si="61"/>
        <v>2.8571430000000002</v>
      </c>
      <c r="Y293" s="1">
        <f t="shared" si="62"/>
        <v>168.73141042151602</v>
      </c>
      <c r="Z293" s="1">
        <f t="shared" si="63"/>
        <v>3.3333333333333335</v>
      </c>
      <c r="AA293" s="1">
        <f t="shared" si="64"/>
        <v>0.2321428935659117</v>
      </c>
    </row>
    <row r="294" spans="1:27" x14ac:dyDescent="0.25">
      <c r="A294" s="1">
        <f>35</f>
        <v>35</v>
      </c>
      <c r="B294" s="1">
        <v>0.5</v>
      </c>
      <c r="C294" s="1">
        <v>2.8571430000000002</v>
      </c>
      <c r="D294" s="1">
        <f t="shared" si="52"/>
        <v>0.100000005</v>
      </c>
      <c r="E294" s="1">
        <v>10</v>
      </c>
      <c r="F294" s="1">
        <v>1</v>
      </c>
      <c r="G294" s="1">
        <v>125</v>
      </c>
      <c r="H294" s="1">
        <v>64.964804849999993</v>
      </c>
      <c r="J294" s="1">
        <f t="shared" si="53"/>
        <v>3.5000000000000003E-2</v>
      </c>
      <c r="K294" s="1">
        <f t="shared" si="54"/>
        <v>0.100000005</v>
      </c>
      <c r="L294" s="1">
        <f t="shared" si="55"/>
        <v>5.0000000000000001E-4</v>
      </c>
      <c r="M294" s="1">
        <f t="shared" si="56"/>
        <v>0.48644423080405397</v>
      </c>
      <c r="N294" s="1">
        <f t="shared" si="57"/>
        <v>3.4722222222222224E-2</v>
      </c>
      <c r="O294" s="1">
        <v>370</v>
      </c>
      <c r="P294" s="1">
        <v>3</v>
      </c>
      <c r="Q294" s="1">
        <v>4148</v>
      </c>
      <c r="R294" s="1">
        <f>[1]!HeatTransferArea(J294,D294,0.36,L294)</f>
        <v>0.73890262906944904</v>
      </c>
      <c r="S294" s="1">
        <f>[1]!Convection(J294,N294,1000,9*10^-4,L294,0.6,0.36,7)</f>
        <v>20550.079694253804</v>
      </c>
      <c r="U294" s="1">
        <f t="shared" si="58"/>
        <v>0.40011191377564609</v>
      </c>
      <c r="V294" s="1">
        <f t="shared" si="59"/>
        <v>9.0090099099099335E-6</v>
      </c>
      <c r="W294" s="1">
        <f t="shared" si="60"/>
        <v>1.1036036036036037E-6</v>
      </c>
      <c r="X294" s="1">
        <f t="shared" si="61"/>
        <v>2.8571430000000002</v>
      </c>
      <c r="Y294" s="1">
        <f t="shared" si="62"/>
        <v>84.365705210758009</v>
      </c>
      <c r="Z294" s="1">
        <f t="shared" si="63"/>
        <v>3.3333333333333335</v>
      </c>
      <c r="AA294" s="1">
        <f t="shared" si="64"/>
        <v>0.12031564465154809</v>
      </c>
    </row>
    <row r="295" spans="1:27" x14ac:dyDescent="0.25">
      <c r="A295" s="1">
        <f>35</f>
        <v>35</v>
      </c>
      <c r="B295" s="1">
        <v>0.5</v>
      </c>
      <c r="C295" s="1">
        <v>2.8571430000000002</v>
      </c>
      <c r="D295" s="1">
        <f t="shared" si="52"/>
        <v>0.100000005</v>
      </c>
      <c r="E295" s="1">
        <v>10</v>
      </c>
      <c r="F295" s="1">
        <v>1.5</v>
      </c>
      <c r="G295" s="1">
        <v>125</v>
      </c>
      <c r="H295" s="1">
        <v>64.896154620000004</v>
      </c>
      <c r="J295" s="1">
        <f t="shared" si="53"/>
        <v>3.5000000000000003E-2</v>
      </c>
      <c r="K295" s="1">
        <f t="shared" si="54"/>
        <v>0.100000005</v>
      </c>
      <c r="L295" s="1">
        <f t="shared" si="55"/>
        <v>5.0000000000000001E-4</v>
      </c>
      <c r="M295" s="1">
        <f t="shared" si="56"/>
        <v>0.48644423080405397</v>
      </c>
      <c r="N295" s="1">
        <f t="shared" si="57"/>
        <v>3.4722222222222224E-2</v>
      </c>
      <c r="O295" s="1">
        <v>370</v>
      </c>
      <c r="P295" s="1">
        <v>3</v>
      </c>
      <c r="Q295" s="1">
        <v>4148</v>
      </c>
      <c r="R295" s="1">
        <f>[1]!HeatTransferArea(J295,D295,0.36,L295)</f>
        <v>0.73890262906944904</v>
      </c>
      <c r="S295" s="1">
        <f>[1]!Convection(J295,N295,1000,9*10^-4,L295,0.6,0.36,7)</f>
        <v>20550.079694253804</v>
      </c>
      <c r="U295" s="1">
        <f t="shared" si="58"/>
        <v>0.26674127585043073</v>
      </c>
      <c r="V295" s="1">
        <f t="shared" si="59"/>
        <v>1.35135148648649E-5</v>
      </c>
      <c r="W295" s="1">
        <f t="shared" si="60"/>
        <v>1.6554054054054055E-6</v>
      </c>
      <c r="X295" s="1">
        <f t="shared" si="61"/>
        <v>2.8571430000000002</v>
      </c>
      <c r="Y295" s="1">
        <f t="shared" si="62"/>
        <v>56.243803473838675</v>
      </c>
      <c r="Z295" s="1">
        <f t="shared" si="63"/>
        <v>3.3333333333333335</v>
      </c>
      <c r="AA295" s="1">
        <f t="shared" si="64"/>
        <v>8.0125669035104152E-2</v>
      </c>
    </row>
    <row r="296" spans="1:27" x14ac:dyDescent="0.25">
      <c r="A296" s="1">
        <f>35</f>
        <v>35</v>
      </c>
      <c r="B296" s="1">
        <v>0.5</v>
      </c>
      <c r="C296" s="1">
        <v>3.5714290000000002</v>
      </c>
      <c r="D296" s="1">
        <f t="shared" si="52"/>
        <v>0.12500001499999999</v>
      </c>
      <c r="E296" s="1">
        <v>10</v>
      </c>
      <c r="F296" s="1">
        <v>0.5</v>
      </c>
      <c r="G296" s="1">
        <v>125</v>
      </c>
      <c r="H296" s="1">
        <v>63.875425659999998</v>
      </c>
      <c r="J296" s="1">
        <f t="shared" si="53"/>
        <v>3.5000000000000003E-2</v>
      </c>
      <c r="K296" s="1">
        <f t="shared" si="54"/>
        <v>0.12500001499999999</v>
      </c>
      <c r="L296" s="1">
        <f t="shared" si="55"/>
        <v>5.0000000000000001E-4</v>
      </c>
      <c r="M296" s="1">
        <f t="shared" si="56"/>
        <v>0.6080553310689355</v>
      </c>
      <c r="N296" s="1">
        <f t="shared" si="57"/>
        <v>3.4722222222222224E-2</v>
      </c>
      <c r="O296" s="1">
        <v>370</v>
      </c>
      <c r="P296" s="1">
        <v>3</v>
      </c>
      <c r="Q296" s="1">
        <v>4148</v>
      </c>
      <c r="R296" s="1">
        <f>[1]!HeatTransferArea(J296,D296,0.36,L296)</f>
        <v>0.92362835099078811</v>
      </c>
      <c r="S296" s="1">
        <f>[1]!Convection(J296,N296,1000,9*10^-4,L296,0.6,0.36,7)</f>
        <v>20550.079694253804</v>
      </c>
      <c r="U296" s="1">
        <f t="shared" si="58"/>
        <v>0.64017901722850479</v>
      </c>
      <c r="V296" s="1">
        <f t="shared" si="59"/>
        <v>7.0382899774775779E-6</v>
      </c>
      <c r="W296" s="1">
        <f t="shared" si="60"/>
        <v>5.5180180180180184E-7</v>
      </c>
      <c r="X296" s="1">
        <f t="shared" si="61"/>
        <v>3.5714290000000002</v>
      </c>
      <c r="Y296" s="1">
        <f t="shared" si="62"/>
        <v>168.73141042151599</v>
      </c>
      <c r="Z296" s="1">
        <f t="shared" si="63"/>
        <v>3.3333333333333335</v>
      </c>
      <c r="AA296" s="1">
        <f t="shared" si="64"/>
        <v>0.1892769476138301</v>
      </c>
    </row>
    <row r="297" spans="1:27" x14ac:dyDescent="0.25">
      <c r="A297" s="1">
        <f>35</f>
        <v>35</v>
      </c>
      <c r="B297" s="1">
        <v>0.5</v>
      </c>
      <c r="C297" s="1">
        <v>3.5714290000000002</v>
      </c>
      <c r="D297" s="1">
        <f t="shared" si="52"/>
        <v>0.12500001499999999</v>
      </c>
      <c r="E297" s="1">
        <v>10</v>
      </c>
      <c r="F297" s="1">
        <v>1</v>
      </c>
      <c r="G297" s="1">
        <v>125</v>
      </c>
      <c r="H297" s="1">
        <v>64.568357779999999</v>
      </c>
      <c r="J297" s="1">
        <f t="shared" si="53"/>
        <v>3.5000000000000003E-2</v>
      </c>
      <c r="K297" s="1">
        <f t="shared" si="54"/>
        <v>0.12500001499999999</v>
      </c>
      <c r="L297" s="1">
        <f t="shared" si="55"/>
        <v>5.0000000000000001E-4</v>
      </c>
      <c r="M297" s="1">
        <f t="shared" si="56"/>
        <v>0.6080553310689355</v>
      </c>
      <c r="N297" s="1">
        <f t="shared" si="57"/>
        <v>3.4722222222222224E-2</v>
      </c>
      <c r="O297" s="1">
        <v>370</v>
      </c>
      <c r="P297" s="1">
        <v>3</v>
      </c>
      <c r="Q297" s="1">
        <v>4148</v>
      </c>
      <c r="R297" s="1">
        <f>[1]!HeatTransferArea(J297,D297,0.36,L297)</f>
        <v>0.92362835099078811</v>
      </c>
      <c r="S297" s="1">
        <f>[1]!Convection(J297,N297,1000,9*10^-4,L297,0.6,0.36,7)</f>
        <v>20550.079694253804</v>
      </c>
      <c r="U297" s="1">
        <f t="shared" si="58"/>
        <v>0.32008950861425239</v>
      </c>
      <c r="V297" s="1">
        <f t="shared" si="59"/>
        <v>1.4076579954955156E-5</v>
      </c>
      <c r="W297" s="1">
        <f t="shared" si="60"/>
        <v>1.1036036036036037E-6</v>
      </c>
      <c r="X297" s="1">
        <f t="shared" si="61"/>
        <v>3.5714290000000002</v>
      </c>
      <c r="Y297" s="1">
        <f t="shared" si="62"/>
        <v>84.365705210757994</v>
      </c>
      <c r="Z297" s="1">
        <f t="shared" si="63"/>
        <v>3.3333333333333335</v>
      </c>
      <c r="AA297" s="1">
        <f t="shared" si="64"/>
        <v>9.566512901290386E-2</v>
      </c>
    </row>
    <row r="298" spans="1:27" x14ac:dyDescent="0.25">
      <c r="A298" s="1">
        <f>35</f>
        <v>35</v>
      </c>
      <c r="B298" s="1">
        <v>0.5</v>
      </c>
      <c r="C298" s="1">
        <v>3.5714290000000002</v>
      </c>
      <c r="D298" s="1">
        <f t="shared" si="52"/>
        <v>0.12500001499999999</v>
      </c>
      <c r="E298" s="1">
        <v>10</v>
      </c>
      <c r="F298" s="1">
        <v>1.5</v>
      </c>
      <c r="G298" s="1">
        <v>125</v>
      </c>
      <c r="H298" s="1">
        <v>64.212026100000003</v>
      </c>
      <c r="J298" s="1">
        <f t="shared" si="53"/>
        <v>3.5000000000000003E-2</v>
      </c>
      <c r="K298" s="1">
        <f t="shared" si="54"/>
        <v>0.12500001499999999</v>
      </c>
      <c r="L298" s="1">
        <f t="shared" si="55"/>
        <v>5.0000000000000001E-4</v>
      </c>
      <c r="M298" s="1">
        <f t="shared" si="56"/>
        <v>0.6080553310689355</v>
      </c>
      <c r="N298" s="1">
        <f t="shared" si="57"/>
        <v>3.4722222222222224E-2</v>
      </c>
      <c r="O298" s="1">
        <v>370</v>
      </c>
      <c r="P298" s="1">
        <v>3</v>
      </c>
      <c r="Q298" s="1">
        <v>4148</v>
      </c>
      <c r="R298" s="1">
        <f>[1]!HeatTransferArea(J298,D298,0.36,L298)</f>
        <v>0.92362835099078811</v>
      </c>
      <c r="S298" s="1">
        <f>[1]!Convection(J298,N298,1000,9*10^-4,L298,0.6,0.36,7)</f>
        <v>20550.079694253804</v>
      </c>
      <c r="U298" s="1">
        <f t="shared" si="58"/>
        <v>0.21339300574283493</v>
      </c>
      <c r="V298" s="1">
        <f t="shared" si="59"/>
        <v>2.1114869932432732E-5</v>
      </c>
      <c r="W298" s="1">
        <f t="shared" si="60"/>
        <v>1.6554054054054055E-6</v>
      </c>
      <c r="X298" s="1">
        <f t="shared" si="61"/>
        <v>3.5714290000000002</v>
      </c>
      <c r="Y298" s="1">
        <f t="shared" si="62"/>
        <v>56.243803473838668</v>
      </c>
      <c r="Z298" s="1">
        <f t="shared" si="63"/>
        <v>3.3333333333333335</v>
      </c>
      <c r="AA298" s="1">
        <f t="shared" si="64"/>
        <v>6.3424789605321663E-2</v>
      </c>
    </row>
    <row r="299" spans="1:27" x14ac:dyDescent="0.25">
      <c r="A299" s="1">
        <f>35</f>
        <v>35</v>
      </c>
      <c r="B299" s="1">
        <v>0.3</v>
      </c>
      <c r="C299" s="1">
        <v>2.1428569999999998</v>
      </c>
      <c r="D299" s="1">
        <f t="shared" si="52"/>
        <v>7.4999995E-2</v>
      </c>
      <c r="E299" s="1">
        <v>15</v>
      </c>
      <c r="F299" s="1">
        <v>0.5</v>
      </c>
      <c r="G299" s="1">
        <v>125</v>
      </c>
      <c r="H299" s="1">
        <v>44.429507780000002</v>
      </c>
      <c r="J299" s="1">
        <f t="shared" si="53"/>
        <v>3.5000000000000003E-2</v>
      </c>
      <c r="K299" s="1">
        <f t="shared" si="54"/>
        <v>7.4999995E-2</v>
      </c>
      <c r="L299" s="1">
        <f t="shared" si="55"/>
        <v>2.9999999999999997E-4</v>
      </c>
      <c r="M299" s="1">
        <f t="shared" si="56"/>
        <v>0.36483313053917238</v>
      </c>
      <c r="N299" s="1">
        <f t="shared" si="57"/>
        <v>3.4722222222222224E-2</v>
      </c>
      <c r="O299" s="1">
        <v>370</v>
      </c>
      <c r="P299" s="1">
        <v>3</v>
      </c>
      <c r="Q299" s="1">
        <v>4148</v>
      </c>
      <c r="R299" s="1">
        <f>[1]!HeatTransferArea(J299,D299,0.36,L299)</f>
        <v>0.92362817858018342</v>
      </c>
      <c r="S299" s="1">
        <f>[1]!Convection(J299,N299,1000,9*10^-4,L299,0.6,0.36,7)</f>
        <v>33773.470677395402</v>
      </c>
      <c r="U299" s="1">
        <f t="shared" si="58"/>
        <v>1.0669652278809931</v>
      </c>
      <c r="V299" s="1">
        <f t="shared" si="59"/>
        <v>2.5337834459459573E-6</v>
      </c>
      <c r="W299" s="1">
        <f t="shared" si="60"/>
        <v>5.5180180180180184E-7</v>
      </c>
      <c r="X299" s="1">
        <f t="shared" si="61"/>
        <v>2.1428569999999998</v>
      </c>
      <c r="Y299" s="1">
        <f t="shared" si="62"/>
        <v>462.17544546555462</v>
      </c>
      <c r="Z299" s="1">
        <f t="shared" si="63"/>
        <v>5</v>
      </c>
      <c r="AA299" s="1">
        <f t="shared" si="64"/>
        <v>0.21942406122180783</v>
      </c>
    </row>
    <row r="300" spans="1:27" x14ac:dyDescent="0.25">
      <c r="A300" s="1">
        <f>35</f>
        <v>35</v>
      </c>
      <c r="B300" s="1">
        <v>0.3</v>
      </c>
      <c r="C300" s="1">
        <v>2.1428569999999998</v>
      </c>
      <c r="D300" s="1">
        <f t="shared" si="52"/>
        <v>7.4999995E-2</v>
      </c>
      <c r="E300" s="1">
        <v>15</v>
      </c>
      <c r="F300" s="1">
        <v>1</v>
      </c>
      <c r="G300" s="1">
        <v>125</v>
      </c>
      <c r="H300" s="1">
        <v>49.353960280000003</v>
      </c>
      <c r="J300" s="1">
        <f t="shared" si="53"/>
        <v>3.5000000000000003E-2</v>
      </c>
      <c r="K300" s="1">
        <f t="shared" si="54"/>
        <v>7.4999995E-2</v>
      </c>
      <c r="L300" s="1">
        <f t="shared" si="55"/>
        <v>2.9999999999999997E-4</v>
      </c>
      <c r="M300" s="1">
        <f t="shared" si="56"/>
        <v>0.36483313053917238</v>
      </c>
      <c r="N300" s="1">
        <f t="shared" si="57"/>
        <v>3.4722222222222224E-2</v>
      </c>
      <c r="O300" s="1">
        <v>370</v>
      </c>
      <c r="P300" s="1">
        <v>3</v>
      </c>
      <c r="Q300" s="1">
        <v>4148</v>
      </c>
      <c r="R300" s="1">
        <f>[1]!HeatTransferArea(J300,D300,0.36,L300)</f>
        <v>0.92362817858018342</v>
      </c>
      <c r="S300" s="1">
        <f>[1]!Convection(J300,N300,1000,9*10^-4,L300,0.6,0.36,7)</f>
        <v>33773.470677395402</v>
      </c>
      <c r="U300" s="1">
        <f t="shared" si="58"/>
        <v>0.53348261394049656</v>
      </c>
      <c r="V300" s="1">
        <f t="shared" si="59"/>
        <v>5.0675668918919145E-6</v>
      </c>
      <c r="W300" s="1">
        <f t="shared" si="60"/>
        <v>1.1036036036036037E-6</v>
      </c>
      <c r="X300" s="1">
        <f t="shared" si="61"/>
        <v>2.1428569999999998</v>
      </c>
      <c r="Y300" s="1">
        <f t="shared" si="62"/>
        <v>231.08772273277731</v>
      </c>
      <c r="Z300" s="1">
        <f t="shared" si="63"/>
        <v>5</v>
      </c>
      <c r="AA300" s="1">
        <f t="shared" si="64"/>
        <v>0.12187223022637537</v>
      </c>
    </row>
    <row r="301" spans="1:27" x14ac:dyDescent="0.25">
      <c r="A301" s="1">
        <f>35</f>
        <v>35</v>
      </c>
      <c r="B301" s="1">
        <v>0.3</v>
      </c>
      <c r="C301" s="1">
        <v>2.1428569999999998</v>
      </c>
      <c r="D301" s="1">
        <f t="shared" si="52"/>
        <v>7.4999995E-2</v>
      </c>
      <c r="E301" s="1">
        <v>15</v>
      </c>
      <c r="F301" s="1">
        <v>1.5</v>
      </c>
      <c r="G301" s="1">
        <v>125</v>
      </c>
      <c r="H301" s="1">
        <v>49.631487229999998</v>
      </c>
      <c r="J301" s="1">
        <f t="shared" si="53"/>
        <v>3.5000000000000003E-2</v>
      </c>
      <c r="K301" s="1">
        <f t="shared" si="54"/>
        <v>7.4999995E-2</v>
      </c>
      <c r="L301" s="1">
        <f t="shared" si="55"/>
        <v>2.9999999999999997E-4</v>
      </c>
      <c r="M301" s="1">
        <f t="shared" si="56"/>
        <v>0.36483313053917238</v>
      </c>
      <c r="N301" s="1">
        <f t="shared" si="57"/>
        <v>3.4722222222222224E-2</v>
      </c>
      <c r="O301" s="1">
        <v>370</v>
      </c>
      <c r="P301" s="1">
        <v>3</v>
      </c>
      <c r="Q301" s="1">
        <v>4148</v>
      </c>
      <c r="R301" s="1">
        <f>[1]!HeatTransferArea(J301,D301,0.36,L301)</f>
        <v>0.92362817858018342</v>
      </c>
      <c r="S301" s="1">
        <f>[1]!Convection(J301,N301,1000,9*10^-4,L301,0.6,0.36,7)</f>
        <v>33773.470677395402</v>
      </c>
      <c r="U301" s="1">
        <f t="shared" si="58"/>
        <v>0.35565507596033108</v>
      </c>
      <c r="V301" s="1">
        <f t="shared" si="59"/>
        <v>7.6013503378378718E-6</v>
      </c>
      <c r="W301" s="1">
        <f t="shared" si="60"/>
        <v>1.6554054054054055E-6</v>
      </c>
      <c r="X301" s="1">
        <f t="shared" si="61"/>
        <v>2.1428569999999998</v>
      </c>
      <c r="Y301" s="1">
        <f t="shared" si="62"/>
        <v>154.05848182185156</v>
      </c>
      <c r="Z301" s="1">
        <f t="shared" si="63"/>
        <v>5</v>
      </c>
      <c r="AA301" s="1">
        <f t="shared" si="64"/>
        <v>8.1705027706737987E-2</v>
      </c>
    </row>
    <row r="302" spans="1:27" x14ac:dyDescent="0.25">
      <c r="A302" s="1">
        <f>35</f>
        <v>35</v>
      </c>
      <c r="B302" s="1">
        <v>0.3</v>
      </c>
      <c r="C302" s="1">
        <v>2.1428569999999998</v>
      </c>
      <c r="D302" s="1">
        <f t="shared" si="52"/>
        <v>7.4999995E-2</v>
      </c>
      <c r="E302" s="1">
        <v>20</v>
      </c>
      <c r="F302" s="1">
        <v>0.5</v>
      </c>
      <c r="G302" s="1">
        <v>125</v>
      </c>
      <c r="H302" s="1">
        <v>25.269568289999999</v>
      </c>
      <c r="J302" s="1">
        <f t="shared" si="53"/>
        <v>3.5000000000000003E-2</v>
      </c>
      <c r="K302" s="1">
        <f t="shared" si="54"/>
        <v>7.4999995E-2</v>
      </c>
      <c r="L302" s="1">
        <f t="shared" si="55"/>
        <v>2.9999999999999997E-4</v>
      </c>
      <c r="M302" s="1">
        <f t="shared" si="56"/>
        <v>0.36483313053917238</v>
      </c>
      <c r="N302" s="1">
        <f t="shared" si="57"/>
        <v>3.4722222222222224E-2</v>
      </c>
      <c r="O302" s="1">
        <v>370</v>
      </c>
      <c r="P302" s="1">
        <v>3</v>
      </c>
      <c r="Q302" s="1">
        <v>4148</v>
      </c>
      <c r="R302" s="1">
        <f>[1]!HeatTransferArea(J302,D302,0.36,L302)</f>
        <v>0.92362817858018342</v>
      </c>
      <c r="S302" s="1">
        <f>[1]!Convection(J302,N302,1000,9*10^-4,L302,0.6,0.36,7)</f>
        <v>33773.470677395402</v>
      </c>
      <c r="U302" s="1">
        <f t="shared" si="58"/>
        <v>1.0669652278809931</v>
      </c>
      <c r="V302" s="1">
        <f t="shared" si="59"/>
        <v>2.5337834459459573E-6</v>
      </c>
      <c r="W302" s="1">
        <f t="shared" si="60"/>
        <v>5.5180180180180184E-7</v>
      </c>
      <c r="X302" s="1">
        <f t="shared" si="61"/>
        <v>2.1428569999999998</v>
      </c>
      <c r="Y302" s="1">
        <f t="shared" si="62"/>
        <v>462.17544546555462</v>
      </c>
      <c r="Z302" s="1">
        <f t="shared" si="63"/>
        <v>6.666666666666667</v>
      </c>
      <c r="AA302" s="1">
        <f t="shared" si="64"/>
        <v>0.12479884600498749</v>
      </c>
    </row>
    <row r="303" spans="1:27" x14ac:dyDescent="0.25">
      <c r="A303" s="1">
        <f>35</f>
        <v>35</v>
      </c>
      <c r="B303" s="1">
        <v>0.3</v>
      </c>
      <c r="C303" s="1">
        <v>2.1428569999999998</v>
      </c>
      <c r="D303" s="1">
        <f t="shared" si="52"/>
        <v>7.4999995E-2</v>
      </c>
      <c r="E303" s="1">
        <v>20</v>
      </c>
      <c r="F303" s="1">
        <v>1</v>
      </c>
      <c r="G303" s="1">
        <v>125</v>
      </c>
      <c r="H303" s="1">
        <v>32.168457770000003</v>
      </c>
      <c r="J303" s="1">
        <f t="shared" si="53"/>
        <v>3.5000000000000003E-2</v>
      </c>
      <c r="K303" s="1">
        <f t="shared" si="54"/>
        <v>7.4999995E-2</v>
      </c>
      <c r="L303" s="1">
        <f t="shared" si="55"/>
        <v>2.9999999999999997E-4</v>
      </c>
      <c r="M303" s="1">
        <f t="shared" si="56"/>
        <v>0.36483313053917238</v>
      </c>
      <c r="N303" s="1">
        <f t="shared" si="57"/>
        <v>3.4722222222222224E-2</v>
      </c>
      <c r="O303" s="1">
        <v>370</v>
      </c>
      <c r="P303" s="1">
        <v>3</v>
      </c>
      <c r="Q303" s="1">
        <v>4148</v>
      </c>
      <c r="R303" s="1">
        <f>[1]!HeatTransferArea(J303,D303,0.36,L303)</f>
        <v>0.92362817858018342</v>
      </c>
      <c r="S303" s="1">
        <f>[1]!Convection(J303,N303,1000,9*10^-4,L303,0.6,0.36,7)</f>
        <v>33773.470677395402</v>
      </c>
      <c r="U303" s="1">
        <f t="shared" si="58"/>
        <v>0.53348261394049656</v>
      </c>
      <c r="V303" s="1">
        <f t="shared" si="59"/>
        <v>5.0675668918919145E-6</v>
      </c>
      <c r="W303" s="1">
        <f t="shared" si="60"/>
        <v>1.1036036036036037E-6</v>
      </c>
      <c r="X303" s="1">
        <f t="shared" si="61"/>
        <v>2.1428569999999998</v>
      </c>
      <c r="Y303" s="1">
        <f t="shared" si="62"/>
        <v>231.08772273277731</v>
      </c>
      <c r="Z303" s="1">
        <f t="shared" si="63"/>
        <v>6.666666666666667</v>
      </c>
      <c r="AA303" s="1">
        <f t="shared" si="64"/>
        <v>7.9435199711046858E-2</v>
      </c>
    </row>
    <row r="304" spans="1:27" x14ac:dyDescent="0.25">
      <c r="A304" s="1">
        <f>35</f>
        <v>35</v>
      </c>
      <c r="B304" s="1">
        <v>0.3</v>
      </c>
      <c r="C304" s="1">
        <v>2.1428569999999998</v>
      </c>
      <c r="D304" s="1">
        <f t="shared" si="52"/>
        <v>7.4999995E-2</v>
      </c>
      <c r="E304" s="1">
        <v>20</v>
      </c>
      <c r="F304" s="1">
        <v>1.5</v>
      </c>
      <c r="G304" s="1">
        <v>125</v>
      </c>
      <c r="H304" s="1">
        <v>32.882551100000001</v>
      </c>
      <c r="J304" s="1">
        <f t="shared" si="53"/>
        <v>3.5000000000000003E-2</v>
      </c>
      <c r="K304" s="1">
        <f t="shared" si="54"/>
        <v>7.4999995E-2</v>
      </c>
      <c r="L304" s="1">
        <f t="shared" si="55"/>
        <v>2.9999999999999997E-4</v>
      </c>
      <c r="M304" s="1">
        <f t="shared" si="56"/>
        <v>0.36483313053917238</v>
      </c>
      <c r="N304" s="1">
        <f t="shared" si="57"/>
        <v>3.4722222222222224E-2</v>
      </c>
      <c r="O304" s="1">
        <v>370</v>
      </c>
      <c r="P304" s="1">
        <v>3</v>
      </c>
      <c r="Q304" s="1">
        <v>4148</v>
      </c>
      <c r="R304" s="1">
        <f>[1]!HeatTransferArea(J304,D304,0.36,L304)</f>
        <v>0.92362817858018342</v>
      </c>
      <c r="S304" s="1">
        <f>[1]!Convection(J304,N304,1000,9*10^-4,L304,0.6,0.36,7)</f>
        <v>33773.470677395402</v>
      </c>
      <c r="U304" s="1">
        <f t="shared" si="58"/>
        <v>0.35565507596033108</v>
      </c>
      <c r="V304" s="1">
        <f t="shared" si="59"/>
        <v>7.6013503378378718E-6</v>
      </c>
      <c r="W304" s="1">
        <f t="shared" si="60"/>
        <v>1.6554054054054055E-6</v>
      </c>
      <c r="X304" s="1">
        <f t="shared" si="61"/>
        <v>2.1428569999999998</v>
      </c>
      <c r="Y304" s="1">
        <f t="shared" si="62"/>
        <v>154.05848182185156</v>
      </c>
      <c r="Z304" s="1">
        <f t="shared" si="63"/>
        <v>6.666666666666667</v>
      </c>
      <c r="AA304" s="1">
        <f t="shared" si="64"/>
        <v>5.4132364324350875E-2</v>
      </c>
    </row>
    <row r="305" spans="1:27" x14ac:dyDescent="0.25">
      <c r="A305" s="1">
        <f>35</f>
        <v>35</v>
      </c>
      <c r="B305" s="1">
        <v>0.3</v>
      </c>
      <c r="C305" s="1">
        <v>2.8571430000000002</v>
      </c>
      <c r="D305" s="1">
        <f t="shared" si="52"/>
        <v>0.100000005</v>
      </c>
      <c r="E305" s="1">
        <v>15</v>
      </c>
      <c r="F305" s="1">
        <v>0.5</v>
      </c>
      <c r="G305" s="1">
        <v>125</v>
      </c>
      <c r="H305" s="1">
        <v>47.443088920000001</v>
      </c>
      <c r="J305" s="1">
        <f t="shared" si="53"/>
        <v>3.5000000000000003E-2</v>
      </c>
      <c r="K305" s="1">
        <f t="shared" si="54"/>
        <v>0.100000005</v>
      </c>
      <c r="L305" s="1">
        <f t="shared" si="55"/>
        <v>2.9999999999999997E-4</v>
      </c>
      <c r="M305" s="1">
        <f t="shared" si="56"/>
        <v>0.48644423080405397</v>
      </c>
      <c r="N305" s="1">
        <f t="shared" si="57"/>
        <v>3.4722222222222224E-2</v>
      </c>
      <c r="O305" s="1">
        <v>370</v>
      </c>
      <c r="P305" s="1">
        <v>3</v>
      </c>
      <c r="Q305" s="1">
        <v>4148</v>
      </c>
      <c r="R305" s="1">
        <f>[1]!HeatTransferArea(J305,D305,0.36,L305)</f>
        <v>1.2315043817824152</v>
      </c>
      <c r="S305" s="1">
        <f>[1]!Convection(J305,N305,1000,9*10^-4,L305,0.6,0.36,7)</f>
        <v>33773.470677395402</v>
      </c>
      <c r="U305" s="1">
        <f t="shared" si="58"/>
        <v>0.80022382755129218</v>
      </c>
      <c r="V305" s="1">
        <f t="shared" si="59"/>
        <v>4.5045049549549668E-6</v>
      </c>
      <c r="W305" s="1">
        <f t="shared" si="60"/>
        <v>5.5180180180180184E-7</v>
      </c>
      <c r="X305" s="1">
        <f t="shared" si="61"/>
        <v>2.8571430000000002</v>
      </c>
      <c r="Y305" s="1">
        <f t="shared" si="62"/>
        <v>462.17544546555462</v>
      </c>
      <c r="Z305" s="1">
        <f t="shared" si="63"/>
        <v>5</v>
      </c>
      <c r="AA305" s="1">
        <f t="shared" si="64"/>
        <v>0.17573040789856292</v>
      </c>
    </row>
    <row r="306" spans="1:27" x14ac:dyDescent="0.25">
      <c r="A306" s="1">
        <f>35</f>
        <v>35</v>
      </c>
      <c r="B306" s="1">
        <v>0.3</v>
      </c>
      <c r="C306" s="1">
        <v>2.8571430000000002</v>
      </c>
      <c r="D306" s="1">
        <f t="shared" si="52"/>
        <v>0.100000005</v>
      </c>
      <c r="E306" s="1">
        <v>15</v>
      </c>
      <c r="F306" s="1">
        <v>1</v>
      </c>
      <c r="G306" s="1">
        <v>125</v>
      </c>
      <c r="H306" s="1">
        <v>48.604849729999998</v>
      </c>
      <c r="J306" s="1">
        <f t="shared" si="53"/>
        <v>3.5000000000000003E-2</v>
      </c>
      <c r="K306" s="1">
        <f t="shared" si="54"/>
        <v>0.100000005</v>
      </c>
      <c r="L306" s="1">
        <f t="shared" si="55"/>
        <v>2.9999999999999997E-4</v>
      </c>
      <c r="M306" s="1">
        <f t="shared" si="56"/>
        <v>0.48644423080405397</v>
      </c>
      <c r="N306" s="1">
        <f t="shared" si="57"/>
        <v>3.4722222222222224E-2</v>
      </c>
      <c r="O306" s="1">
        <v>370</v>
      </c>
      <c r="P306" s="1">
        <v>3</v>
      </c>
      <c r="Q306" s="1">
        <v>4148</v>
      </c>
      <c r="R306" s="1">
        <f>[1]!HeatTransferArea(J306,D306,0.36,L306)</f>
        <v>1.2315043817824152</v>
      </c>
      <c r="S306" s="1">
        <f>[1]!Convection(J306,N306,1000,9*10^-4,L306,0.6,0.36,7)</f>
        <v>33773.470677395402</v>
      </c>
      <c r="U306" s="1">
        <f t="shared" si="58"/>
        <v>0.40011191377564609</v>
      </c>
      <c r="V306" s="1">
        <f t="shared" si="59"/>
        <v>9.0090099099099335E-6</v>
      </c>
      <c r="W306" s="1">
        <f t="shared" si="60"/>
        <v>1.1036036036036037E-6</v>
      </c>
      <c r="X306" s="1">
        <f t="shared" si="61"/>
        <v>2.8571430000000002</v>
      </c>
      <c r="Y306" s="1">
        <f t="shared" si="62"/>
        <v>231.08772273277731</v>
      </c>
      <c r="Z306" s="1">
        <f t="shared" si="63"/>
        <v>5</v>
      </c>
      <c r="AA306" s="1">
        <f t="shared" si="64"/>
        <v>9.001679974193863E-2</v>
      </c>
    </row>
    <row r="307" spans="1:27" x14ac:dyDescent="0.25">
      <c r="A307" s="1">
        <f>35</f>
        <v>35</v>
      </c>
      <c r="B307" s="1">
        <v>0.3</v>
      </c>
      <c r="C307" s="1">
        <v>2.8571430000000002</v>
      </c>
      <c r="D307" s="1">
        <f t="shared" si="52"/>
        <v>0.100000005</v>
      </c>
      <c r="E307" s="1">
        <v>15</v>
      </c>
      <c r="F307" s="1">
        <v>1.5</v>
      </c>
      <c r="G307" s="1">
        <v>125</v>
      </c>
      <c r="H307" s="1">
        <v>48.691311280000001</v>
      </c>
      <c r="J307" s="1">
        <f t="shared" si="53"/>
        <v>3.5000000000000003E-2</v>
      </c>
      <c r="K307" s="1">
        <f t="shared" si="54"/>
        <v>0.100000005</v>
      </c>
      <c r="L307" s="1">
        <f t="shared" si="55"/>
        <v>2.9999999999999997E-4</v>
      </c>
      <c r="M307" s="1">
        <f t="shared" si="56"/>
        <v>0.48644423080405397</v>
      </c>
      <c r="N307" s="1">
        <f t="shared" si="57"/>
        <v>3.4722222222222224E-2</v>
      </c>
      <c r="O307" s="1">
        <v>370</v>
      </c>
      <c r="P307" s="1">
        <v>3</v>
      </c>
      <c r="Q307" s="1">
        <v>4148</v>
      </c>
      <c r="R307" s="1">
        <f>[1]!HeatTransferArea(J307,D307,0.36,L307)</f>
        <v>1.2315043817824152</v>
      </c>
      <c r="S307" s="1">
        <f>[1]!Convection(J307,N307,1000,9*10^-4,L307,0.6,0.36,7)</f>
        <v>33773.470677395402</v>
      </c>
      <c r="U307" s="1">
        <f t="shared" si="58"/>
        <v>0.26674127585043073</v>
      </c>
      <c r="V307" s="1">
        <f t="shared" si="59"/>
        <v>1.35135148648649E-5</v>
      </c>
      <c r="W307" s="1">
        <f t="shared" si="60"/>
        <v>1.6554054054054055E-6</v>
      </c>
      <c r="X307" s="1">
        <f t="shared" si="61"/>
        <v>2.8571430000000002</v>
      </c>
      <c r="Y307" s="1">
        <f t="shared" si="62"/>
        <v>154.05848182185156</v>
      </c>
      <c r="Z307" s="1">
        <f t="shared" si="63"/>
        <v>5</v>
      </c>
      <c r="AA307" s="1">
        <f t="shared" si="64"/>
        <v>6.0117951754635308E-2</v>
      </c>
    </row>
    <row r="308" spans="1:27" x14ac:dyDescent="0.25">
      <c r="A308" s="1">
        <f>35</f>
        <v>35</v>
      </c>
      <c r="B308" s="1">
        <v>0.3</v>
      </c>
      <c r="C308" s="1">
        <v>2.8571430000000002</v>
      </c>
      <c r="D308" s="1">
        <f t="shared" si="52"/>
        <v>0.100000005</v>
      </c>
      <c r="E308" s="1">
        <v>20</v>
      </c>
      <c r="F308" s="1">
        <v>0.5</v>
      </c>
      <c r="G308" s="1">
        <v>125</v>
      </c>
      <c r="H308" s="1">
        <v>29.549427179999999</v>
      </c>
      <c r="J308" s="1">
        <f t="shared" si="53"/>
        <v>3.5000000000000003E-2</v>
      </c>
      <c r="K308" s="1">
        <f t="shared" si="54"/>
        <v>0.100000005</v>
      </c>
      <c r="L308" s="1">
        <f t="shared" si="55"/>
        <v>2.9999999999999997E-4</v>
      </c>
      <c r="M308" s="1">
        <f t="shared" si="56"/>
        <v>0.48644423080405397</v>
      </c>
      <c r="N308" s="1">
        <f t="shared" si="57"/>
        <v>3.4722222222222224E-2</v>
      </c>
      <c r="O308" s="1">
        <v>370</v>
      </c>
      <c r="P308" s="1">
        <v>3</v>
      </c>
      <c r="Q308" s="1">
        <v>4148</v>
      </c>
      <c r="R308" s="1">
        <f>[1]!HeatTransferArea(J308,D308,0.36,L308)</f>
        <v>1.2315043817824152</v>
      </c>
      <c r="S308" s="1">
        <f>[1]!Convection(J308,N308,1000,9*10^-4,L308,0.6,0.36,7)</f>
        <v>33773.470677395402</v>
      </c>
      <c r="U308" s="1">
        <f t="shared" si="58"/>
        <v>0.80022382755129218</v>
      </c>
      <c r="V308" s="1">
        <f t="shared" si="59"/>
        <v>4.5045049549549668E-6</v>
      </c>
      <c r="W308" s="1">
        <f t="shared" si="60"/>
        <v>5.5180180180180184E-7</v>
      </c>
      <c r="X308" s="1">
        <f t="shared" si="61"/>
        <v>2.8571430000000002</v>
      </c>
      <c r="Y308" s="1">
        <f t="shared" si="62"/>
        <v>462.17544546555462</v>
      </c>
      <c r="Z308" s="1">
        <f t="shared" si="63"/>
        <v>6.666666666666667</v>
      </c>
      <c r="AA308" s="1">
        <f t="shared" si="64"/>
        <v>0.10945182975472841</v>
      </c>
    </row>
    <row r="309" spans="1:27" x14ac:dyDescent="0.25">
      <c r="A309" s="1">
        <f>35</f>
        <v>35</v>
      </c>
      <c r="B309" s="1">
        <v>0.3</v>
      </c>
      <c r="C309" s="1">
        <v>2.8571430000000002</v>
      </c>
      <c r="D309" s="1">
        <f t="shared" si="52"/>
        <v>0.100000005</v>
      </c>
      <c r="E309" s="1">
        <v>20</v>
      </c>
      <c r="F309" s="1">
        <v>1</v>
      </c>
      <c r="G309" s="1">
        <v>125</v>
      </c>
      <c r="H309" s="1">
        <v>31.881101610000002</v>
      </c>
      <c r="J309" s="1">
        <f t="shared" si="53"/>
        <v>3.5000000000000003E-2</v>
      </c>
      <c r="K309" s="1">
        <f t="shared" si="54"/>
        <v>0.100000005</v>
      </c>
      <c r="L309" s="1">
        <f t="shared" si="55"/>
        <v>2.9999999999999997E-4</v>
      </c>
      <c r="M309" s="1">
        <f t="shared" si="56"/>
        <v>0.48644423080405397</v>
      </c>
      <c r="N309" s="1">
        <f t="shared" si="57"/>
        <v>3.4722222222222224E-2</v>
      </c>
      <c r="O309" s="1">
        <v>370</v>
      </c>
      <c r="P309" s="1">
        <v>3</v>
      </c>
      <c r="Q309" s="1">
        <v>4148</v>
      </c>
      <c r="R309" s="1">
        <f>[1]!HeatTransferArea(J309,D309,0.36,L309)</f>
        <v>1.2315043817824152</v>
      </c>
      <c r="S309" s="1">
        <f>[1]!Convection(J309,N309,1000,9*10^-4,L309,0.6,0.36,7)</f>
        <v>33773.470677395402</v>
      </c>
      <c r="U309" s="1">
        <f t="shared" si="58"/>
        <v>0.40011191377564609</v>
      </c>
      <c r="V309" s="1">
        <f t="shared" si="59"/>
        <v>9.0090099099099335E-6</v>
      </c>
      <c r="W309" s="1">
        <f t="shared" si="60"/>
        <v>1.1036036036036037E-6</v>
      </c>
      <c r="X309" s="1">
        <f t="shared" si="61"/>
        <v>2.8571430000000002</v>
      </c>
      <c r="Y309" s="1">
        <f t="shared" si="62"/>
        <v>231.08772273277731</v>
      </c>
      <c r="Z309" s="1">
        <f t="shared" si="63"/>
        <v>6.666666666666667</v>
      </c>
      <c r="AA309" s="1">
        <f t="shared" si="64"/>
        <v>5.9044205570466801E-2</v>
      </c>
    </row>
    <row r="310" spans="1:27" x14ac:dyDescent="0.25">
      <c r="A310" s="1">
        <f>35</f>
        <v>35</v>
      </c>
      <c r="B310" s="1">
        <v>0.3</v>
      </c>
      <c r="C310" s="1">
        <v>2.8571430000000002</v>
      </c>
      <c r="D310" s="1">
        <f t="shared" si="52"/>
        <v>0.100000005</v>
      </c>
      <c r="E310" s="1">
        <v>20</v>
      </c>
      <c r="F310" s="1">
        <v>1.5</v>
      </c>
      <c r="G310" s="1">
        <v>125</v>
      </c>
      <c r="H310" s="1">
        <v>32.214148489999999</v>
      </c>
      <c r="J310" s="1">
        <f t="shared" si="53"/>
        <v>3.5000000000000003E-2</v>
      </c>
      <c r="K310" s="1">
        <f t="shared" si="54"/>
        <v>0.100000005</v>
      </c>
      <c r="L310" s="1">
        <f t="shared" si="55"/>
        <v>2.9999999999999997E-4</v>
      </c>
      <c r="M310" s="1">
        <f t="shared" si="56"/>
        <v>0.48644423080405397</v>
      </c>
      <c r="N310" s="1">
        <f t="shared" si="57"/>
        <v>3.4722222222222224E-2</v>
      </c>
      <c r="O310" s="1">
        <v>370</v>
      </c>
      <c r="P310" s="1">
        <v>3</v>
      </c>
      <c r="Q310" s="1">
        <v>4148</v>
      </c>
      <c r="R310" s="1">
        <f>[1]!HeatTransferArea(J310,D310,0.36,L310)</f>
        <v>1.2315043817824152</v>
      </c>
      <c r="S310" s="1">
        <f>[1]!Convection(J310,N310,1000,9*10^-4,L310,0.6,0.36,7)</f>
        <v>33773.470677395402</v>
      </c>
      <c r="U310" s="1">
        <f t="shared" si="58"/>
        <v>0.26674127585043073</v>
      </c>
      <c r="V310" s="1">
        <f t="shared" si="59"/>
        <v>1.35135148648649E-5</v>
      </c>
      <c r="W310" s="1">
        <f t="shared" si="60"/>
        <v>1.6554054054054055E-6</v>
      </c>
      <c r="X310" s="1">
        <f t="shared" si="61"/>
        <v>2.8571430000000002</v>
      </c>
      <c r="Y310" s="1">
        <f t="shared" si="62"/>
        <v>154.05848182185156</v>
      </c>
      <c r="Z310" s="1">
        <f t="shared" si="63"/>
        <v>6.666666666666667</v>
      </c>
      <c r="AA310" s="1">
        <f t="shared" si="64"/>
        <v>3.97740084180883E-2</v>
      </c>
    </row>
    <row r="311" spans="1:27" x14ac:dyDescent="0.25">
      <c r="A311" s="1">
        <f>35</f>
        <v>35</v>
      </c>
      <c r="B311" s="1">
        <v>0.3</v>
      </c>
      <c r="C311" s="1">
        <v>3.5714290000000002</v>
      </c>
      <c r="D311" s="1">
        <f t="shared" si="52"/>
        <v>0.12500001499999999</v>
      </c>
      <c r="E311" s="1">
        <v>15</v>
      </c>
      <c r="F311" s="1">
        <v>0.5</v>
      </c>
      <c r="G311" s="1">
        <v>125</v>
      </c>
      <c r="H311" s="1">
        <v>47.413521209999999</v>
      </c>
      <c r="J311" s="1">
        <f t="shared" si="53"/>
        <v>3.5000000000000003E-2</v>
      </c>
      <c r="K311" s="1">
        <f t="shared" si="54"/>
        <v>0.12500001499999999</v>
      </c>
      <c r="L311" s="1">
        <f t="shared" si="55"/>
        <v>2.9999999999999997E-4</v>
      </c>
      <c r="M311" s="1">
        <f t="shared" si="56"/>
        <v>0.6080553310689355</v>
      </c>
      <c r="N311" s="1">
        <f t="shared" si="57"/>
        <v>3.4722222222222224E-2</v>
      </c>
      <c r="O311" s="1">
        <v>370</v>
      </c>
      <c r="P311" s="1">
        <v>3</v>
      </c>
      <c r="Q311" s="1">
        <v>4148</v>
      </c>
      <c r="R311" s="1">
        <f>[1]!HeatTransferArea(J311,D311,0.36,L311)</f>
        <v>1.5393805849846469</v>
      </c>
      <c r="S311" s="1">
        <f>[1]!Convection(J311,N311,1000,9*10^-4,L311,0.6,0.36,7)</f>
        <v>33773.470677395402</v>
      </c>
      <c r="U311" s="1">
        <f t="shared" si="58"/>
        <v>0.64017901722850479</v>
      </c>
      <c r="V311" s="1">
        <f t="shared" si="59"/>
        <v>7.0382899774775779E-6</v>
      </c>
      <c r="W311" s="1">
        <f t="shared" si="60"/>
        <v>5.5180180180180184E-7</v>
      </c>
      <c r="X311" s="1">
        <f t="shared" si="61"/>
        <v>3.5714290000000002</v>
      </c>
      <c r="Y311" s="1">
        <f t="shared" si="62"/>
        <v>462.17544546555456</v>
      </c>
      <c r="Z311" s="1">
        <f t="shared" si="63"/>
        <v>5</v>
      </c>
      <c r="AA311" s="1">
        <f t="shared" si="64"/>
        <v>0.14049670084425381</v>
      </c>
    </row>
    <row r="312" spans="1:27" x14ac:dyDescent="0.25">
      <c r="A312" s="1">
        <f>35</f>
        <v>35</v>
      </c>
      <c r="B312" s="1">
        <v>0.3</v>
      </c>
      <c r="C312" s="1">
        <v>3.5714290000000002</v>
      </c>
      <c r="D312" s="1">
        <f t="shared" si="52"/>
        <v>0.12500001499999999</v>
      </c>
      <c r="E312" s="1">
        <v>15</v>
      </c>
      <c r="F312" s="1">
        <v>1</v>
      </c>
      <c r="G312" s="1">
        <v>125</v>
      </c>
      <c r="H312" s="1">
        <v>47.967456779999999</v>
      </c>
      <c r="J312" s="1">
        <f t="shared" si="53"/>
        <v>3.5000000000000003E-2</v>
      </c>
      <c r="K312" s="1">
        <f t="shared" si="54"/>
        <v>0.12500001499999999</v>
      </c>
      <c r="L312" s="1">
        <f t="shared" si="55"/>
        <v>2.9999999999999997E-4</v>
      </c>
      <c r="M312" s="1">
        <f t="shared" si="56"/>
        <v>0.6080553310689355</v>
      </c>
      <c r="N312" s="1">
        <f t="shared" si="57"/>
        <v>3.4722222222222224E-2</v>
      </c>
      <c r="O312" s="1">
        <v>370</v>
      </c>
      <c r="P312" s="1">
        <v>3</v>
      </c>
      <c r="Q312" s="1">
        <v>4148</v>
      </c>
      <c r="R312" s="1">
        <f>[1]!HeatTransferArea(J312,D312,0.36,L312)</f>
        <v>1.5393805849846469</v>
      </c>
      <c r="S312" s="1">
        <f>[1]!Convection(J312,N312,1000,9*10^-4,L312,0.6,0.36,7)</f>
        <v>33773.470677395402</v>
      </c>
      <c r="U312" s="1">
        <f t="shared" si="58"/>
        <v>0.32008950861425239</v>
      </c>
      <c r="V312" s="1">
        <f t="shared" si="59"/>
        <v>1.4076579954955156E-5</v>
      </c>
      <c r="W312" s="1">
        <f t="shared" si="60"/>
        <v>1.1036036036036037E-6</v>
      </c>
      <c r="X312" s="1">
        <f t="shared" si="61"/>
        <v>3.5714290000000002</v>
      </c>
      <c r="Y312" s="1">
        <f t="shared" si="62"/>
        <v>231.08772273277728</v>
      </c>
      <c r="Z312" s="1">
        <f t="shared" si="63"/>
        <v>5</v>
      </c>
      <c r="AA312" s="1">
        <f t="shared" si="64"/>
        <v>7.1069066940106868E-2</v>
      </c>
    </row>
    <row r="313" spans="1:27" x14ac:dyDescent="0.25">
      <c r="A313" s="1">
        <f>35</f>
        <v>35</v>
      </c>
      <c r="B313" s="1">
        <v>0.3</v>
      </c>
      <c r="C313" s="1">
        <v>3.5714290000000002</v>
      </c>
      <c r="D313" s="1">
        <f t="shared" si="52"/>
        <v>0.12500001499999999</v>
      </c>
      <c r="E313" s="1">
        <v>15</v>
      </c>
      <c r="F313" s="1">
        <v>1.5</v>
      </c>
      <c r="G313" s="1">
        <v>125</v>
      </c>
      <c r="H313" s="1">
        <v>48.007024909999998</v>
      </c>
      <c r="J313" s="1">
        <f t="shared" si="53"/>
        <v>3.5000000000000003E-2</v>
      </c>
      <c r="K313" s="1">
        <f t="shared" si="54"/>
        <v>0.12500001499999999</v>
      </c>
      <c r="L313" s="1">
        <f t="shared" si="55"/>
        <v>2.9999999999999997E-4</v>
      </c>
      <c r="M313" s="1">
        <f t="shared" si="56"/>
        <v>0.6080553310689355</v>
      </c>
      <c r="N313" s="1">
        <f t="shared" si="57"/>
        <v>3.4722222222222224E-2</v>
      </c>
      <c r="O313" s="1">
        <v>370</v>
      </c>
      <c r="P313" s="1">
        <v>3</v>
      </c>
      <c r="Q313" s="1">
        <v>4148</v>
      </c>
      <c r="R313" s="1">
        <f>[1]!HeatTransferArea(J313,D313,0.36,L313)</f>
        <v>1.5393805849846469</v>
      </c>
      <c r="S313" s="1">
        <f>[1]!Convection(J313,N313,1000,9*10^-4,L313,0.6,0.36,7)</f>
        <v>33773.470677395402</v>
      </c>
      <c r="U313" s="1">
        <f t="shared" si="58"/>
        <v>0.21339300574283493</v>
      </c>
      <c r="V313" s="1">
        <f t="shared" si="59"/>
        <v>2.1114869932432732E-5</v>
      </c>
      <c r="W313" s="1">
        <f t="shared" si="60"/>
        <v>1.6554054054054055E-6</v>
      </c>
      <c r="X313" s="1">
        <f t="shared" si="61"/>
        <v>3.5714290000000002</v>
      </c>
      <c r="Y313" s="1">
        <f t="shared" si="62"/>
        <v>154.05848182185153</v>
      </c>
      <c r="Z313" s="1">
        <f t="shared" si="63"/>
        <v>5</v>
      </c>
      <c r="AA313" s="1">
        <f t="shared" si="64"/>
        <v>4.7418460986612378E-2</v>
      </c>
    </row>
    <row r="314" spans="1:27" x14ac:dyDescent="0.25">
      <c r="A314" s="1">
        <f>35</f>
        <v>35</v>
      </c>
      <c r="B314" s="1">
        <v>0.3</v>
      </c>
      <c r="C314" s="1">
        <v>3.5714290000000002</v>
      </c>
      <c r="D314" s="1">
        <f t="shared" si="52"/>
        <v>0.12500001499999999</v>
      </c>
      <c r="E314" s="1">
        <v>20</v>
      </c>
      <c r="F314" s="1">
        <v>0.5</v>
      </c>
      <c r="G314" s="1">
        <v>125</v>
      </c>
      <c r="H314" s="1">
        <v>30.177457140000001</v>
      </c>
      <c r="J314" s="1">
        <f t="shared" si="53"/>
        <v>3.5000000000000003E-2</v>
      </c>
      <c r="K314" s="1">
        <f t="shared" si="54"/>
        <v>0.12500001499999999</v>
      </c>
      <c r="L314" s="1">
        <f t="shared" si="55"/>
        <v>2.9999999999999997E-4</v>
      </c>
      <c r="M314" s="1">
        <f t="shared" si="56"/>
        <v>0.6080553310689355</v>
      </c>
      <c r="N314" s="1">
        <f t="shared" si="57"/>
        <v>3.4722222222222224E-2</v>
      </c>
      <c r="O314" s="1">
        <v>370</v>
      </c>
      <c r="P314" s="1">
        <v>3</v>
      </c>
      <c r="Q314" s="1">
        <v>4148</v>
      </c>
      <c r="R314" s="1">
        <f>[1]!HeatTransferArea(J314,D314,0.36,L314)</f>
        <v>1.5393805849846469</v>
      </c>
      <c r="S314" s="1">
        <f>[1]!Convection(J314,N314,1000,9*10^-4,L314,0.6,0.36,7)</f>
        <v>33773.470677395402</v>
      </c>
      <c r="U314" s="1">
        <f t="shared" si="58"/>
        <v>0.64017901722850479</v>
      </c>
      <c r="V314" s="1">
        <f t="shared" si="59"/>
        <v>7.0382899774775779E-6</v>
      </c>
      <c r="W314" s="1">
        <f t="shared" si="60"/>
        <v>5.5180180180180184E-7</v>
      </c>
      <c r="X314" s="1">
        <f t="shared" si="61"/>
        <v>3.5714290000000002</v>
      </c>
      <c r="Y314" s="1">
        <f t="shared" si="62"/>
        <v>462.17544546555456</v>
      </c>
      <c r="Z314" s="1">
        <f t="shared" si="63"/>
        <v>6.666666666666667</v>
      </c>
      <c r="AA314" s="1">
        <f t="shared" si="64"/>
        <v>8.9422448698972534E-2</v>
      </c>
    </row>
    <row r="315" spans="1:27" x14ac:dyDescent="0.25">
      <c r="A315" s="1">
        <f>35</f>
        <v>35</v>
      </c>
      <c r="B315" s="1">
        <v>0.3</v>
      </c>
      <c r="C315" s="1">
        <v>3.5714290000000002</v>
      </c>
      <c r="D315" s="1">
        <f t="shared" si="52"/>
        <v>0.12500001499999999</v>
      </c>
      <c r="E315" s="1">
        <v>20</v>
      </c>
      <c r="F315" s="1">
        <v>1</v>
      </c>
      <c r="G315" s="1">
        <v>125</v>
      </c>
      <c r="H315" s="1">
        <v>31.43116595</v>
      </c>
      <c r="J315" s="1">
        <f t="shared" si="53"/>
        <v>3.5000000000000003E-2</v>
      </c>
      <c r="K315" s="1">
        <f t="shared" si="54"/>
        <v>0.12500001499999999</v>
      </c>
      <c r="L315" s="1">
        <f t="shared" si="55"/>
        <v>2.9999999999999997E-4</v>
      </c>
      <c r="M315" s="1">
        <f t="shared" si="56"/>
        <v>0.6080553310689355</v>
      </c>
      <c r="N315" s="1">
        <f t="shared" si="57"/>
        <v>3.4722222222222224E-2</v>
      </c>
      <c r="O315" s="1">
        <v>370</v>
      </c>
      <c r="P315" s="1">
        <v>3</v>
      </c>
      <c r="Q315" s="1">
        <v>4148</v>
      </c>
      <c r="R315" s="1">
        <f>[1]!HeatTransferArea(J315,D315,0.36,L315)</f>
        <v>1.5393805849846469</v>
      </c>
      <c r="S315" s="1">
        <f>[1]!Convection(J315,N315,1000,9*10^-4,L315,0.6,0.36,7)</f>
        <v>33773.470677395402</v>
      </c>
      <c r="U315" s="1">
        <f t="shared" si="58"/>
        <v>0.32008950861425239</v>
      </c>
      <c r="V315" s="1">
        <f t="shared" si="59"/>
        <v>1.4076579954955156E-5</v>
      </c>
      <c r="W315" s="1">
        <f t="shared" si="60"/>
        <v>1.1036036036036037E-6</v>
      </c>
      <c r="X315" s="1">
        <f t="shared" si="61"/>
        <v>3.5714290000000002</v>
      </c>
      <c r="Y315" s="1">
        <f t="shared" si="62"/>
        <v>231.08772273277728</v>
      </c>
      <c r="Z315" s="1">
        <f t="shared" si="63"/>
        <v>6.666666666666667</v>
      </c>
      <c r="AA315" s="1">
        <f t="shared" si="64"/>
        <v>4.6568731945728928E-2</v>
      </c>
    </row>
    <row r="316" spans="1:27" x14ac:dyDescent="0.25">
      <c r="A316" s="1">
        <f>35</f>
        <v>35</v>
      </c>
      <c r="B316" s="1">
        <v>0.3</v>
      </c>
      <c r="C316" s="1">
        <v>3.5714290000000002</v>
      </c>
      <c r="D316" s="1">
        <f t="shared" si="52"/>
        <v>0.12500001499999999</v>
      </c>
      <c r="E316" s="1">
        <v>20</v>
      </c>
      <c r="F316" s="1">
        <v>1.5</v>
      </c>
      <c r="G316" s="1">
        <v>125</v>
      </c>
      <c r="H316" s="1">
        <v>31.637229779999998</v>
      </c>
      <c r="J316" s="1">
        <f t="shared" si="53"/>
        <v>3.5000000000000003E-2</v>
      </c>
      <c r="K316" s="1">
        <f t="shared" si="54"/>
        <v>0.12500001499999999</v>
      </c>
      <c r="L316" s="1">
        <f t="shared" si="55"/>
        <v>2.9999999999999997E-4</v>
      </c>
      <c r="M316" s="1">
        <f t="shared" si="56"/>
        <v>0.6080553310689355</v>
      </c>
      <c r="N316" s="1">
        <f t="shared" si="57"/>
        <v>3.4722222222222224E-2</v>
      </c>
      <c r="O316" s="1">
        <v>370</v>
      </c>
      <c r="P316" s="1">
        <v>3</v>
      </c>
      <c r="Q316" s="1">
        <v>4148</v>
      </c>
      <c r="R316" s="1">
        <f>[1]!HeatTransferArea(J316,D316,0.36,L316)</f>
        <v>1.5393805849846469</v>
      </c>
      <c r="S316" s="1">
        <f>[1]!Convection(J316,N316,1000,9*10^-4,L316,0.6,0.36,7)</f>
        <v>33773.470677395402</v>
      </c>
      <c r="U316" s="1">
        <f t="shared" si="58"/>
        <v>0.21339300574283493</v>
      </c>
      <c r="V316" s="1">
        <f t="shared" si="59"/>
        <v>2.1114869932432732E-5</v>
      </c>
      <c r="W316" s="1">
        <f t="shared" si="60"/>
        <v>1.6554054054054055E-6</v>
      </c>
      <c r="X316" s="1">
        <f t="shared" si="61"/>
        <v>3.5714290000000002</v>
      </c>
      <c r="Y316" s="1">
        <f t="shared" si="62"/>
        <v>154.05848182185153</v>
      </c>
      <c r="Z316" s="1">
        <f t="shared" si="63"/>
        <v>6.666666666666667</v>
      </c>
      <c r="AA316" s="1">
        <f t="shared" si="64"/>
        <v>3.1249358794048655E-2</v>
      </c>
    </row>
    <row r="317" spans="1:27" x14ac:dyDescent="0.25">
      <c r="A317" s="1">
        <f>35</f>
        <v>35</v>
      </c>
      <c r="B317" s="1">
        <v>0.4</v>
      </c>
      <c r="C317" s="1">
        <v>2.1428569999999998</v>
      </c>
      <c r="D317" s="1">
        <f t="shared" si="52"/>
        <v>7.4999995E-2</v>
      </c>
      <c r="E317" s="1">
        <v>15</v>
      </c>
      <c r="F317" s="1">
        <v>0.5</v>
      </c>
      <c r="G317" s="1">
        <v>125</v>
      </c>
      <c r="H317" s="1">
        <v>42.793613030000003</v>
      </c>
      <c r="J317" s="1">
        <f t="shared" si="53"/>
        <v>3.5000000000000003E-2</v>
      </c>
      <c r="K317" s="1">
        <f t="shared" si="54"/>
        <v>7.4999995E-2</v>
      </c>
      <c r="L317" s="1">
        <f t="shared" si="55"/>
        <v>4.0000000000000002E-4</v>
      </c>
      <c r="M317" s="1">
        <f t="shared" si="56"/>
        <v>0.36483313053917238</v>
      </c>
      <c r="N317" s="1">
        <f t="shared" si="57"/>
        <v>3.4722222222222224E-2</v>
      </c>
      <c r="O317" s="1">
        <v>370</v>
      </c>
      <c r="P317" s="1">
        <v>3</v>
      </c>
      <c r="Q317" s="1">
        <v>4148</v>
      </c>
      <c r="R317" s="1">
        <f>[1]!HeatTransferArea(J317,D317,0.36,L317)</f>
        <v>0.69272113393513746</v>
      </c>
      <c r="S317" s="1">
        <f>[1]!Convection(J317,N317,1000,9*10^-4,L317,0.6,0.36,7)</f>
        <v>25517.896048113165</v>
      </c>
      <c r="U317" s="1">
        <f t="shared" si="58"/>
        <v>1.0669652278809931</v>
      </c>
      <c r="V317" s="1">
        <f t="shared" si="59"/>
        <v>2.5337834459459573E-6</v>
      </c>
      <c r="W317" s="1">
        <f t="shared" si="60"/>
        <v>5.5180180180180184E-7</v>
      </c>
      <c r="X317" s="1">
        <f t="shared" si="61"/>
        <v>2.1428569999999998</v>
      </c>
      <c r="Y317" s="1">
        <f t="shared" si="62"/>
        <v>261.90108841717239</v>
      </c>
      <c r="Z317" s="1">
        <f t="shared" si="63"/>
        <v>5</v>
      </c>
      <c r="AA317" s="1">
        <f t="shared" si="64"/>
        <v>0.21134486593668658</v>
      </c>
    </row>
    <row r="318" spans="1:27" x14ac:dyDescent="0.25">
      <c r="A318" s="1">
        <f>35</f>
        <v>35</v>
      </c>
      <c r="B318" s="1">
        <v>0.4</v>
      </c>
      <c r="C318" s="1">
        <v>2.1428569999999998</v>
      </c>
      <c r="D318" s="1">
        <f t="shared" si="52"/>
        <v>7.4999995E-2</v>
      </c>
      <c r="E318" s="1">
        <v>15</v>
      </c>
      <c r="F318" s="1">
        <v>1</v>
      </c>
      <c r="G318" s="1">
        <v>125</v>
      </c>
      <c r="H318" s="1">
        <v>48.958813220000003</v>
      </c>
      <c r="J318" s="1">
        <f t="shared" si="53"/>
        <v>3.5000000000000003E-2</v>
      </c>
      <c r="K318" s="1">
        <f t="shared" si="54"/>
        <v>7.4999995E-2</v>
      </c>
      <c r="L318" s="1">
        <f t="shared" si="55"/>
        <v>4.0000000000000002E-4</v>
      </c>
      <c r="M318" s="1">
        <f t="shared" si="56"/>
        <v>0.36483313053917238</v>
      </c>
      <c r="N318" s="1">
        <f t="shared" si="57"/>
        <v>3.4722222222222224E-2</v>
      </c>
      <c r="O318" s="1">
        <v>370</v>
      </c>
      <c r="P318" s="1">
        <v>3</v>
      </c>
      <c r="Q318" s="1">
        <v>4148</v>
      </c>
      <c r="R318" s="1">
        <f>[1]!HeatTransferArea(J318,D318,0.36,L318)</f>
        <v>0.69272113393513746</v>
      </c>
      <c r="S318" s="1">
        <f>[1]!Convection(J318,N318,1000,9*10^-4,L318,0.6,0.36,7)</f>
        <v>25517.896048113165</v>
      </c>
      <c r="U318" s="1">
        <f t="shared" si="58"/>
        <v>0.53348261394049656</v>
      </c>
      <c r="V318" s="1">
        <f t="shared" si="59"/>
        <v>5.0675668918919145E-6</v>
      </c>
      <c r="W318" s="1">
        <f t="shared" si="60"/>
        <v>1.1036036036036037E-6</v>
      </c>
      <c r="X318" s="1">
        <f t="shared" si="61"/>
        <v>2.1428569999999998</v>
      </c>
      <c r="Y318" s="1">
        <f t="shared" si="62"/>
        <v>130.95054420858619</v>
      </c>
      <c r="Z318" s="1">
        <f t="shared" si="63"/>
        <v>5</v>
      </c>
      <c r="AA318" s="1">
        <f t="shared" si="64"/>
        <v>0.12089647360631119</v>
      </c>
    </row>
    <row r="319" spans="1:27" x14ac:dyDescent="0.25">
      <c r="A319" s="1">
        <f>35</f>
        <v>35</v>
      </c>
      <c r="B319" s="1">
        <v>0.4</v>
      </c>
      <c r="C319" s="1">
        <v>2.1428569999999998</v>
      </c>
      <c r="D319" s="1">
        <f t="shared" si="52"/>
        <v>7.4999995E-2</v>
      </c>
      <c r="E319" s="1">
        <v>15</v>
      </c>
      <c r="F319" s="1">
        <v>1.5</v>
      </c>
      <c r="G319" s="1">
        <v>125</v>
      </c>
      <c r="H319" s="1">
        <v>49.317081829999999</v>
      </c>
      <c r="J319" s="1">
        <f t="shared" si="53"/>
        <v>3.5000000000000003E-2</v>
      </c>
      <c r="K319" s="1">
        <f t="shared" si="54"/>
        <v>7.4999995E-2</v>
      </c>
      <c r="L319" s="1">
        <f t="shared" si="55"/>
        <v>4.0000000000000002E-4</v>
      </c>
      <c r="M319" s="1">
        <f t="shared" si="56"/>
        <v>0.36483313053917238</v>
      </c>
      <c r="N319" s="1">
        <f t="shared" si="57"/>
        <v>3.4722222222222224E-2</v>
      </c>
      <c r="O319" s="1">
        <v>370</v>
      </c>
      <c r="P319" s="1">
        <v>3</v>
      </c>
      <c r="Q319" s="1">
        <v>4148</v>
      </c>
      <c r="R319" s="1">
        <f>[1]!HeatTransferArea(J319,D319,0.36,L319)</f>
        <v>0.69272113393513746</v>
      </c>
      <c r="S319" s="1">
        <f>[1]!Convection(J319,N319,1000,9*10^-4,L319,0.6,0.36,7)</f>
        <v>25517.896048113165</v>
      </c>
      <c r="U319" s="1">
        <f t="shared" si="58"/>
        <v>0.35565507596033108</v>
      </c>
      <c r="V319" s="1">
        <f t="shared" si="59"/>
        <v>7.6013503378378718E-6</v>
      </c>
      <c r="W319" s="1">
        <f t="shared" si="60"/>
        <v>1.6554054054054055E-6</v>
      </c>
      <c r="X319" s="1">
        <f t="shared" si="61"/>
        <v>2.1428569999999998</v>
      </c>
      <c r="Y319" s="1">
        <f t="shared" si="62"/>
        <v>87.30036280572412</v>
      </c>
      <c r="Z319" s="1">
        <f t="shared" si="63"/>
        <v>5</v>
      </c>
      <c r="AA319" s="1">
        <f t="shared" si="64"/>
        <v>8.1187442936426685E-2</v>
      </c>
    </row>
    <row r="320" spans="1:27" x14ac:dyDescent="0.25">
      <c r="A320" s="1">
        <f>35</f>
        <v>35</v>
      </c>
      <c r="B320" s="1">
        <v>0.4</v>
      </c>
      <c r="C320" s="1">
        <v>2.1428569999999998</v>
      </c>
      <c r="D320" s="1">
        <f t="shared" si="52"/>
        <v>7.4999995E-2</v>
      </c>
      <c r="E320" s="1">
        <v>20</v>
      </c>
      <c r="F320" s="1">
        <v>0.5</v>
      </c>
      <c r="G320" s="1">
        <v>125</v>
      </c>
      <c r="H320" s="1">
        <v>23.001559719999999</v>
      </c>
      <c r="J320" s="1">
        <f t="shared" si="53"/>
        <v>3.5000000000000003E-2</v>
      </c>
      <c r="K320" s="1">
        <f t="shared" si="54"/>
        <v>7.4999995E-2</v>
      </c>
      <c r="L320" s="1">
        <f t="shared" si="55"/>
        <v>4.0000000000000002E-4</v>
      </c>
      <c r="M320" s="1">
        <f t="shared" si="56"/>
        <v>0.36483313053917238</v>
      </c>
      <c r="N320" s="1">
        <f t="shared" si="57"/>
        <v>3.4722222222222224E-2</v>
      </c>
      <c r="O320" s="1">
        <v>370</v>
      </c>
      <c r="P320" s="1">
        <v>3</v>
      </c>
      <c r="Q320" s="1">
        <v>4148</v>
      </c>
      <c r="R320" s="1">
        <f>[1]!HeatTransferArea(J320,D320,0.36,L320)</f>
        <v>0.69272113393513746</v>
      </c>
      <c r="S320" s="1">
        <f>[1]!Convection(J320,N320,1000,9*10^-4,L320,0.6,0.36,7)</f>
        <v>25517.896048113165</v>
      </c>
      <c r="U320" s="1">
        <f t="shared" si="58"/>
        <v>1.0669652278809931</v>
      </c>
      <c r="V320" s="1">
        <f t="shared" si="59"/>
        <v>2.5337834459459573E-6</v>
      </c>
      <c r="W320" s="1">
        <f t="shared" si="60"/>
        <v>5.5180180180180184E-7</v>
      </c>
      <c r="X320" s="1">
        <f t="shared" si="61"/>
        <v>2.1428569999999998</v>
      </c>
      <c r="Y320" s="1">
        <f t="shared" si="62"/>
        <v>261.90108841717239</v>
      </c>
      <c r="Z320" s="1">
        <f t="shared" si="63"/>
        <v>6.666666666666667</v>
      </c>
      <c r="AA320" s="1">
        <f t="shared" si="64"/>
        <v>0.11359782946932186</v>
      </c>
    </row>
    <row r="321" spans="1:27" x14ac:dyDescent="0.25">
      <c r="A321" s="1">
        <f>35</f>
        <v>35</v>
      </c>
      <c r="B321" s="1">
        <v>0.4</v>
      </c>
      <c r="C321" s="1">
        <v>2.1428569999999998</v>
      </c>
      <c r="D321" s="1">
        <f t="shared" si="52"/>
        <v>7.4999995E-2</v>
      </c>
      <c r="E321" s="1">
        <v>20</v>
      </c>
      <c r="F321" s="1">
        <v>1</v>
      </c>
      <c r="G321" s="1">
        <v>125</v>
      </c>
      <c r="H321" s="1">
        <v>31.397718709999999</v>
      </c>
      <c r="J321" s="1">
        <f t="shared" si="53"/>
        <v>3.5000000000000003E-2</v>
      </c>
      <c r="K321" s="1">
        <f t="shared" si="54"/>
        <v>7.4999995E-2</v>
      </c>
      <c r="L321" s="1">
        <f t="shared" si="55"/>
        <v>4.0000000000000002E-4</v>
      </c>
      <c r="M321" s="1">
        <f t="shared" si="56"/>
        <v>0.36483313053917238</v>
      </c>
      <c r="N321" s="1">
        <f t="shared" si="57"/>
        <v>3.4722222222222224E-2</v>
      </c>
      <c r="O321" s="1">
        <v>370</v>
      </c>
      <c r="P321" s="1">
        <v>3</v>
      </c>
      <c r="Q321" s="1">
        <v>4148</v>
      </c>
      <c r="R321" s="1">
        <f>[1]!HeatTransferArea(J321,D321,0.36,L321)</f>
        <v>0.69272113393513746</v>
      </c>
      <c r="S321" s="1">
        <f>[1]!Convection(J321,N321,1000,9*10^-4,L321,0.6,0.36,7)</f>
        <v>25517.896048113165</v>
      </c>
      <c r="U321" s="1">
        <f t="shared" si="58"/>
        <v>0.53348261394049656</v>
      </c>
      <c r="V321" s="1">
        <f t="shared" si="59"/>
        <v>5.0675668918919145E-6</v>
      </c>
      <c r="W321" s="1">
        <f t="shared" si="60"/>
        <v>1.1036036036036037E-6</v>
      </c>
      <c r="X321" s="1">
        <f t="shared" si="61"/>
        <v>2.1428569999999998</v>
      </c>
      <c r="Y321" s="1">
        <f t="shared" si="62"/>
        <v>130.95054420858619</v>
      </c>
      <c r="Z321" s="1">
        <f t="shared" si="63"/>
        <v>6.666666666666667</v>
      </c>
      <c r="AA321" s="1">
        <f t="shared" si="64"/>
        <v>7.7531974769585676E-2</v>
      </c>
    </row>
    <row r="322" spans="1:27" x14ac:dyDescent="0.25">
      <c r="A322" s="1">
        <f>35</f>
        <v>35</v>
      </c>
      <c r="B322" s="1">
        <v>0.4</v>
      </c>
      <c r="C322" s="1">
        <v>2.1428569999999998</v>
      </c>
      <c r="D322" s="1">
        <f t="shared" si="52"/>
        <v>7.4999995E-2</v>
      </c>
      <c r="E322" s="1">
        <v>20</v>
      </c>
      <c r="F322" s="1">
        <v>1.5</v>
      </c>
      <c r="G322" s="1">
        <v>125</v>
      </c>
      <c r="H322" s="1">
        <v>32.30292524</v>
      </c>
      <c r="J322" s="1">
        <f t="shared" si="53"/>
        <v>3.5000000000000003E-2</v>
      </c>
      <c r="K322" s="1">
        <f t="shared" si="54"/>
        <v>7.4999995E-2</v>
      </c>
      <c r="L322" s="1">
        <f t="shared" si="55"/>
        <v>4.0000000000000002E-4</v>
      </c>
      <c r="M322" s="1">
        <f t="shared" si="56"/>
        <v>0.36483313053917238</v>
      </c>
      <c r="N322" s="1">
        <f t="shared" si="57"/>
        <v>3.4722222222222224E-2</v>
      </c>
      <c r="O322" s="1">
        <v>370</v>
      </c>
      <c r="P322" s="1">
        <v>3</v>
      </c>
      <c r="Q322" s="1">
        <v>4148</v>
      </c>
      <c r="R322" s="1">
        <f>[1]!HeatTransferArea(J322,D322,0.36,L322)</f>
        <v>0.69272113393513746</v>
      </c>
      <c r="S322" s="1">
        <f>[1]!Convection(J322,N322,1000,9*10^-4,L322,0.6,0.36,7)</f>
        <v>25517.896048113165</v>
      </c>
      <c r="U322" s="1">
        <f t="shared" si="58"/>
        <v>0.35565507596033108</v>
      </c>
      <c r="V322" s="1">
        <f t="shared" si="59"/>
        <v>7.6013503378378718E-6</v>
      </c>
      <c r="W322" s="1">
        <f t="shared" si="60"/>
        <v>1.6554054054054055E-6</v>
      </c>
      <c r="X322" s="1">
        <f t="shared" si="61"/>
        <v>2.1428569999999998</v>
      </c>
      <c r="Y322" s="1">
        <f t="shared" si="62"/>
        <v>87.30036280572412</v>
      </c>
      <c r="Z322" s="1">
        <f t="shared" si="63"/>
        <v>6.666666666666667</v>
      </c>
      <c r="AA322" s="1">
        <f t="shared" si="64"/>
        <v>5.3178164690328704E-2</v>
      </c>
    </row>
    <row r="323" spans="1:27" x14ac:dyDescent="0.25">
      <c r="A323" s="1">
        <f>35</f>
        <v>35</v>
      </c>
      <c r="B323" s="1">
        <v>0.4</v>
      </c>
      <c r="C323" s="1">
        <v>2.8571430000000002</v>
      </c>
      <c r="D323" s="1">
        <f t="shared" ref="D323:D386" si="65">C323*A323/1000</f>
        <v>0.100000005</v>
      </c>
      <c r="E323" s="1">
        <v>15</v>
      </c>
      <c r="F323" s="1">
        <v>0.5</v>
      </c>
      <c r="G323" s="1">
        <v>125</v>
      </c>
      <c r="H323" s="1">
        <v>47.073552290000002</v>
      </c>
      <c r="J323" s="1">
        <f t="shared" ref="J323:J386" si="66">A323/1000</f>
        <v>3.5000000000000003E-2</v>
      </c>
      <c r="K323" s="1">
        <f t="shared" ref="K323:K386" si="67">D323</f>
        <v>0.100000005</v>
      </c>
      <c r="L323" s="1">
        <f t="shared" ref="L323:L386" si="68">B323/1000</f>
        <v>4.0000000000000002E-4</v>
      </c>
      <c r="M323" s="1">
        <f t="shared" ref="M323:M386" si="69">PI()*J323^2*K323/4*(1-0.36)*7900</f>
        <v>0.48644423080405397</v>
      </c>
      <c r="N323" s="1">
        <f t="shared" ref="N323:N386" si="70">G323/3600</f>
        <v>3.4722222222222224E-2</v>
      </c>
      <c r="O323" s="1">
        <v>370</v>
      </c>
      <c r="P323" s="1">
        <v>3</v>
      </c>
      <c r="Q323" s="1">
        <v>4148</v>
      </c>
      <c r="R323" s="1">
        <f>[1]!HeatTransferArea(J323,D323,0.36,L323)</f>
        <v>0.92362828633681127</v>
      </c>
      <c r="S323" s="1">
        <f>[1]!Convection(J323,N323,1000,9*10^-4,L323,0.6,0.36,7)</f>
        <v>25517.896048113165</v>
      </c>
      <c r="U323" s="1">
        <f t="shared" ref="U323:U386" si="71">N323*Q323/(2*F323*M323*O323)</f>
        <v>0.80022382755129218</v>
      </c>
      <c r="V323" s="1">
        <f t="shared" ref="V323:V386" si="72">K323^2*F323/(O323*P323)</f>
        <v>4.5045049549549668E-6</v>
      </c>
      <c r="W323" s="1">
        <f t="shared" ref="W323:W386" si="73">J323^2*F323/(O323*P323)</f>
        <v>5.5180180180180184E-7</v>
      </c>
      <c r="X323" s="1">
        <f t="shared" ref="X323:X386" si="74">C323</f>
        <v>2.8571430000000002</v>
      </c>
      <c r="Y323" s="1">
        <f t="shared" ref="Y323:Y386" si="75">S323*R323/(F323*M323*O323)</f>
        <v>261.90108841717239</v>
      </c>
      <c r="Z323" s="1">
        <f t="shared" ref="Z323:Z386" si="76">E323/P323</f>
        <v>5</v>
      </c>
      <c r="AA323" s="1">
        <f t="shared" ref="AA323:AA386" si="77">H323/(M323*F323*O323*P323)</f>
        <v>0.17436163482325026</v>
      </c>
    </row>
    <row r="324" spans="1:27" x14ac:dyDescent="0.25">
      <c r="A324" s="1">
        <f>35</f>
        <v>35</v>
      </c>
      <c r="B324" s="1">
        <v>0.4</v>
      </c>
      <c r="C324" s="1">
        <v>2.8571430000000002</v>
      </c>
      <c r="D324" s="1">
        <f t="shared" si="65"/>
        <v>0.100000005</v>
      </c>
      <c r="E324" s="1">
        <v>15</v>
      </c>
      <c r="F324" s="1">
        <v>1</v>
      </c>
      <c r="G324" s="1">
        <v>125</v>
      </c>
      <c r="H324" s="1">
        <v>48.578367309999997</v>
      </c>
      <c r="J324" s="1">
        <f t="shared" si="66"/>
        <v>3.5000000000000003E-2</v>
      </c>
      <c r="K324" s="1">
        <f t="shared" si="67"/>
        <v>0.100000005</v>
      </c>
      <c r="L324" s="1">
        <f t="shared" si="68"/>
        <v>4.0000000000000002E-4</v>
      </c>
      <c r="M324" s="1">
        <f t="shared" si="69"/>
        <v>0.48644423080405397</v>
      </c>
      <c r="N324" s="1">
        <f t="shared" si="70"/>
        <v>3.4722222222222224E-2</v>
      </c>
      <c r="O324" s="1">
        <v>370</v>
      </c>
      <c r="P324" s="1">
        <v>3</v>
      </c>
      <c r="Q324" s="1">
        <v>4148</v>
      </c>
      <c r="R324" s="1">
        <f>[1]!HeatTransferArea(J324,D324,0.36,L324)</f>
        <v>0.92362828633681127</v>
      </c>
      <c r="S324" s="1">
        <f>[1]!Convection(J324,N324,1000,9*10^-4,L324,0.6,0.36,7)</f>
        <v>25517.896048113165</v>
      </c>
      <c r="U324" s="1">
        <f t="shared" si="71"/>
        <v>0.40011191377564609</v>
      </c>
      <c r="V324" s="1">
        <f t="shared" si="72"/>
        <v>9.0090099099099335E-6</v>
      </c>
      <c r="W324" s="1">
        <f t="shared" si="73"/>
        <v>1.1036036036036037E-6</v>
      </c>
      <c r="X324" s="1">
        <f t="shared" si="74"/>
        <v>2.8571430000000002</v>
      </c>
      <c r="Y324" s="1">
        <f t="shared" si="75"/>
        <v>130.95054420858619</v>
      </c>
      <c r="Z324" s="1">
        <f t="shared" si="76"/>
        <v>5</v>
      </c>
      <c r="AA324" s="1">
        <f t="shared" si="77"/>
        <v>8.99677539633576E-2</v>
      </c>
    </row>
    <row r="325" spans="1:27" x14ac:dyDescent="0.25">
      <c r="A325" s="1">
        <f>35</f>
        <v>35</v>
      </c>
      <c r="B325" s="1">
        <v>0.4</v>
      </c>
      <c r="C325" s="1">
        <v>2.8571430000000002</v>
      </c>
      <c r="D325" s="1">
        <f t="shared" si="65"/>
        <v>0.100000005</v>
      </c>
      <c r="E325" s="1">
        <v>15</v>
      </c>
      <c r="F325" s="1">
        <v>1.5</v>
      </c>
      <c r="G325" s="1">
        <v>125</v>
      </c>
      <c r="H325" s="1">
        <v>48.586488269999997</v>
      </c>
      <c r="J325" s="1">
        <f t="shared" si="66"/>
        <v>3.5000000000000003E-2</v>
      </c>
      <c r="K325" s="1">
        <f t="shared" si="67"/>
        <v>0.100000005</v>
      </c>
      <c r="L325" s="1">
        <f t="shared" si="68"/>
        <v>4.0000000000000002E-4</v>
      </c>
      <c r="M325" s="1">
        <f t="shared" si="69"/>
        <v>0.48644423080405397</v>
      </c>
      <c r="N325" s="1">
        <f t="shared" si="70"/>
        <v>3.4722222222222224E-2</v>
      </c>
      <c r="O325" s="1">
        <v>370</v>
      </c>
      <c r="P325" s="1">
        <v>3</v>
      </c>
      <c r="Q325" s="1">
        <v>4148</v>
      </c>
      <c r="R325" s="1">
        <f>[1]!HeatTransferArea(J325,D325,0.36,L325)</f>
        <v>0.92362828633681127</v>
      </c>
      <c r="S325" s="1">
        <f>[1]!Convection(J325,N325,1000,9*10^-4,L325,0.6,0.36,7)</f>
        <v>25517.896048113165</v>
      </c>
      <c r="U325" s="1">
        <f t="shared" si="71"/>
        <v>0.26674127585043073</v>
      </c>
      <c r="V325" s="1">
        <f t="shared" si="72"/>
        <v>1.35135148648649E-5</v>
      </c>
      <c r="W325" s="1">
        <f t="shared" si="73"/>
        <v>1.6554054054054055E-6</v>
      </c>
      <c r="X325" s="1">
        <f t="shared" si="74"/>
        <v>2.8571430000000002</v>
      </c>
      <c r="Y325" s="1">
        <f t="shared" si="75"/>
        <v>87.300362805724134</v>
      </c>
      <c r="Z325" s="1">
        <f t="shared" si="76"/>
        <v>5</v>
      </c>
      <c r="AA325" s="1">
        <f t="shared" si="77"/>
        <v>5.9988529389693901E-2</v>
      </c>
    </row>
    <row r="326" spans="1:27" x14ac:dyDescent="0.25">
      <c r="A326" s="1">
        <f>35</f>
        <v>35</v>
      </c>
      <c r="B326" s="1">
        <v>0.4</v>
      </c>
      <c r="C326" s="1">
        <v>2.8571430000000002</v>
      </c>
      <c r="D326" s="1">
        <f t="shared" si="65"/>
        <v>0.100000005</v>
      </c>
      <c r="E326" s="1">
        <v>20</v>
      </c>
      <c r="F326" s="1">
        <v>0.5</v>
      </c>
      <c r="G326" s="1">
        <v>125</v>
      </c>
      <c r="H326" s="1">
        <v>28.855514540000001</v>
      </c>
      <c r="J326" s="1">
        <f t="shared" si="66"/>
        <v>3.5000000000000003E-2</v>
      </c>
      <c r="K326" s="1">
        <f t="shared" si="67"/>
        <v>0.100000005</v>
      </c>
      <c r="L326" s="1">
        <f t="shared" si="68"/>
        <v>4.0000000000000002E-4</v>
      </c>
      <c r="M326" s="1">
        <f t="shared" si="69"/>
        <v>0.48644423080405397</v>
      </c>
      <c r="N326" s="1">
        <f t="shared" si="70"/>
        <v>3.4722222222222224E-2</v>
      </c>
      <c r="O326" s="1">
        <v>370</v>
      </c>
      <c r="P326" s="1">
        <v>3</v>
      </c>
      <c r="Q326" s="1">
        <v>4148</v>
      </c>
      <c r="R326" s="1">
        <f>[1]!HeatTransferArea(J326,D326,0.36,L326)</f>
        <v>0.92362828633681127</v>
      </c>
      <c r="S326" s="1">
        <f>[1]!Convection(J326,N326,1000,9*10^-4,L326,0.6,0.36,7)</f>
        <v>25517.896048113165</v>
      </c>
      <c r="U326" s="1">
        <f t="shared" si="71"/>
        <v>0.80022382755129218</v>
      </c>
      <c r="V326" s="1">
        <f t="shared" si="72"/>
        <v>4.5045049549549668E-6</v>
      </c>
      <c r="W326" s="1">
        <f t="shared" si="73"/>
        <v>5.5180180180180184E-7</v>
      </c>
      <c r="X326" s="1">
        <f t="shared" si="74"/>
        <v>2.8571430000000002</v>
      </c>
      <c r="Y326" s="1">
        <f t="shared" si="75"/>
        <v>261.90108841717239</v>
      </c>
      <c r="Z326" s="1">
        <f t="shared" si="76"/>
        <v>6.666666666666667</v>
      </c>
      <c r="AA326" s="1">
        <f t="shared" si="77"/>
        <v>0.10688155968907585</v>
      </c>
    </row>
    <row r="327" spans="1:27" x14ac:dyDescent="0.25">
      <c r="A327" s="1">
        <f>35</f>
        <v>35</v>
      </c>
      <c r="B327" s="1">
        <v>0.4</v>
      </c>
      <c r="C327" s="1">
        <v>2.8571430000000002</v>
      </c>
      <c r="D327" s="1">
        <f t="shared" si="65"/>
        <v>0.100000005</v>
      </c>
      <c r="E327" s="1">
        <v>20</v>
      </c>
      <c r="F327" s="1">
        <v>1</v>
      </c>
      <c r="G327" s="1">
        <v>125</v>
      </c>
      <c r="H327" s="1">
        <v>31.6804633</v>
      </c>
      <c r="J327" s="1">
        <f t="shared" si="66"/>
        <v>3.5000000000000003E-2</v>
      </c>
      <c r="K327" s="1">
        <f t="shared" si="67"/>
        <v>0.100000005</v>
      </c>
      <c r="L327" s="1">
        <f t="shared" si="68"/>
        <v>4.0000000000000002E-4</v>
      </c>
      <c r="M327" s="1">
        <f t="shared" si="69"/>
        <v>0.48644423080405397</v>
      </c>
      <c r="N327" s="1">
        <f t="shared" si="70"/>
        <v>3.4722222222222224E-2</v>
      </c>
      <c r="O327" s="1">
        <v>370</v>
      </c>
      <c r="P327" s="1">
        <v>3</v>
      </c>
      <c r="Q327" s="1">
        <v>4148</v>
      </c>
      <c r="R327" s="1">
        <f>[1]!HeatTransferArea(J327,D327,0.36,L327)</f>
        <v>0.92362828633681127</v>
      </c>
      <c r="S327" s="1">
        <f>[1]!Convection(J327,N327,1000,9*10^-4,L327,0.6,0.36,7)</f>
        <v>25517.896048113165</v>
      </c>
      <c r="U327" s="1">
        <f t="shared" si="71"/>
        <v>0.40011191377564609</v>
      </c>
      <c r="V327" s="1">
        <f t="shared" si="72"/>
        <v>9.0090099099099335E-6</v>
      </c>
      <c r="W327" s="1">
        <f t="shared" si="73"/>
        <v>1.1036036036036037E-6</v>
      </c>
      <c r="X327" s="1">
        <f t="shared" si="74"/>
        <v>2.8571430000000002</v>
      </c>
      <c r="Y327" s="1">
        <f t="shared" si="75"/>
        <v>130.95054420858619</v>
      </c>
      <c r="Z327" s="1">
        <f t="shared" si="76"/>
        <v>6.666666666666667</v>
      </c>
      <c r="AA327" s="1">
        <f t="shared" si="77"/>
        <v>5.8672620869101418E-2</v>
      </c>
    </row>
    <row r="328" spans="1:27" x14ac:dyDescent="0.25">
      <c r="A328" s="1">
        <f>35</f>
        <v>35</v>
      </c>
      <c r="B328" s="1">
        <v>0.4</v>
      </c>
      <c r="C328" s="1">
        <v>2.8571430000000002</v>
      </c>
      <c r="D328" s="1">
        <f t="shared" si="65"/>
        <v>0.100000005</v>
      </c>
      <c r="E328" s="1">
        <v>20</v>
      </c>
      <c r="F328" s="1">
        <v>1.5</v>
      </c>
      <c r="G328" s="1">
        <v>125</v>
      </c>
      <c r="H328" s="1">
        <v>32.024297279999999</v>
      </c>
      <c r="J328" s="1">
        <f t="shared" si="66"/>
        <v>3.5000000000000003E-2</v>
      </c>
      <c r="K328" s="1">
        <f t="shared" si="67"/>
        <v>0.100000005</v>
      </c>
      <c r="L328" s="1">
        <f t="shared" si="68"/>
        <v>4.0000000000000002E-4</v>
      </c>
      <c r="M328" s="1">
        <f t="shared" si="69"/>
        <v>0.48644423080405397</v>
      </c>
      <c r="N328" s="1">
        <f t="shared" si="70"/>
        <v>3.4722222222222224E-2</v>
      </c>
      <c r="O328" s="1">
        <v>370</v>
      </c>
      <c r="P328" s="1">
        <v>3</v>
      </c>
      <c r="Q328" s="1">
        <v>4148</v>
      </c>
      <c r="R328" s="1">
        <f>[1]!HeatTransferArea(J328,D328,0.36,L328)</f>
        <v>0.92362828633681127</v>
      </c>
      <c r="S328" s="1">
        <f>[1]!Convection(J328,N328,1000,9*10^-4,L328,0.6,0.36,7)</f>
        <v>25517.896048113165</v>
      </c>
      <c r="U328" s="1">
        <f t="shared" si="71"/>
        <v>0.26674127585043073</v>
      </c>
      <c r="V328" s="1">
        <f t="shared" si="72"/>
        <v>1.35135148648649E-5</v>
      </c>
      <c r="W328" s="1">
        <f t="shared" si="73"/>
        <v>1.6554054054054055E-6</v>
      </c>
      <c r="X328" s="1">
        <f t="shared" si="74"/>
        <v>2.8571430000000002</v>
      </c>
      <c r="Y328" s="1">
        <f t="shared" si="75"/>
        <v>87.300362805724134</v>
      </c>
      <c r="Z328" s="1">
        <f t="shared" si="76"/>
        <v>6.666666666666667</v>
      </c>
      <c r="AA328" s="1">
        <f t="shared" si="77"/>
        <v>3.9539603848088002E-2</v>
      </c>
    </row>
    <row r="329" spans="1:27" x14ac:dyDescent="0.25">
      <c r="A329" s="1">
        <f>35</f>
        <v>35</v>
      </c>
      <c r="B329" s="1">
        <v>0.4</v>
      </c>
      <c r="C329" s="1">
        <v>3.5714290000000002</v>
      </c>
      <c r="D329" s="1">
        <f t="shared" si="65"/>
        <v>0.12500001499999999</v>
      </c>
      <c r="E329" s="1">
        <v>15</v>
      </c>
      <c r="F329" s="1">
        <v>0.5</v>
      </c>
      <c r="G329" s="1">
        <v>125</v>
      </c>
      <c r="H329" s="1">
        <v>47.523776239999997</v>
      </c>
      <c r="J329" s="1">
        <f t="shared" si="66"/>
        <v>3.5000000000000003E-2</v>
      </c>
      <c r="K329" s="1">
        <f t="shared" si="67"/>
        <v>0.12500001499999999</v>
      </c>
      <c r="L329" s="1">
        <f t="shared" si="68"/>
        <v>4.0000000000000002E-4</v>
      </c>
      <c r="M329" s="1">
        <f t="shared" si="69"/>
        <v>0.6080553310689355</v>
      </c>
      <c r="N329" s="1">
        <f t="shared" si="70"/>
        <v>3.4722222222222224E-2</v>
      </c>
      <c r="O329" s="1">
        <v>370</v>
      </c>
      <c r="P329" s="1">
        <v>3</v>
      </c>
      <c r="Q329" s="1">
        <v>4148</v>
      </c>
      <c r="R329" s="1">
        <f>[1]!HeatTransferArea(J329,D329,0.36,L329)</f>
        <v>1.154535438738485</v>
      </c>
      <c r="S329" s="1">
        <f>[1]!Convection(J329,N329,1000,9*10^-4,L329,0.6,0.36,7)</f>
        <v>25517.896048113165</v>
      </c>
      <c r="U329" s="1">
        <f t="shared" si="71"/>
        <v>0.64017901722850479</v>
      </c>
      <c r="V329" s="1">
        <f t="shared" si="72"/>
        <v>7.0382899774775779E-6</v>
      </c>
      <c r="W329" s="1">
        <f t="shared" si="73"/>
        <v>5.5180180180180184E-7</v>
      </c>
      <c r="X329" s="1">
        <f t="shared" si="74"/>
        <v>3.5714290000000002</v>
      </c>
      <c r="Y329" s="1">
        <f t="shared" si="75"/>
        <v>261.90108841717233</v>
      </c>
      <c r="Z329" s="1">
        <f t="shared" si="76"/>
        <v>5</v>
      </c>
      <c r="AA329" s="1">
        <f t="shared" si="77"/>
        <v>0.14082341076942209</v>
      </c>
    </row>
    <row r="330" spans="1:27" x14ac:dyDescent="0.25">
      <c r="A330" s="1">
        <f>35</f>
        <v>35</v>
      </c>
      <c r="B330" s="1">
        <v>0.4</v>
      </c>
      <c r="C330" s="1">
        <v>3.5714290000000002</v>
      </c>
      <c r="D330" s="1">
        <f t="shared" si="65"/>
        <v>0.12500001499999999</v>
      </c>
      <c r="E330" s="1">
        <v>15</v>
      </c>
      <c r="F330" s="1">
        <v>1</v>
      </c>
      <c r="G330" s="1">
        <v>125</v>
      </c>
      <c r="H330" s="1">
        <v>48.06690794</v>
      </c>
      <c r="J330" s="1">
        <f t="shared" si="66"/>
        <v>3.5000000000000003E-2</v>
      </c>
      <c r="K330" s="1">
        <f t="shared" si="67"/>
        <v>0.12500001499999999</v>
      </c>
      <c r="L330" s="1">
        <f t="shared" si="68"/>
        <v>4.0000000000000002E-4</v>
      </c>
      <c r="M330" s="1">
        <f t="shared" si="69"/>
        <v>0.6080553310689355</v>
      </c>
      <c r="N330" s="1">
        <f t="shared" si="70"/>
        <v>3.4722222222222224E-2</v>
      </c>
      <c r="O330" s="1">
        <v>370</v>
      </c>
      <c r="P330" s="1">
        <v>3</v>
      </c>
      <c r="Q330" s="1">
        <v>4148</v>
      </c>
      <c r="R330" s="1">
        <f>[1]!HeatTransferArea(J330,D330,0.36,L330)</f>
        <v>1.154535438738485</v>
      </c>
      <c r="S330" s="1">
        <f>[1]!Convection(J330,N330,1000,9*10^-4,L330,0.6,0.36,7)</f>
        <v>25517.896048113165</v>
      </c>
      <c r="U330" s="1">
        <f t="shared" si="71"/>
        <v>0.32008950861425239</v>
      </c>
      <c r="V330" s="1">
        <f t="shared" si="72"/>
        <v>1.4076579954955156E-5</v>
      </c>
      <c r="W330" s="1">
        <f t="shared" si="73"/>
        <v>1.1036036036036037E-6</v>
      </c>
      <c r="X330" s="1">
        <f t="shared" si="74"/>
        <v>3.5714290000000002</v>
      </c>
      <c r="Y330" s="1">
        <f t="shared" si="75"/>
        <v>130.95054420858617</v>
      </c>
      <c r="Z330" s="1">
        <f t="shared" si="76"/>
        <v>5</v>
      </c>
      <c r="AA330" s="1">
        <f t="shared" si="77"/>
        <v>7.1216414780116977E-2</v>
      </c>
    </row>
    <row r="331" spans="1:27" x14ac:dyDescent="0.25">
      <c r="A331" s="1">
        <f>35</f>
        <v>35</v>
      </c>
      <c r="B331" s="1">
        <v>0.4</v>
      </c>
      <c r="C331" s="1">
        <v>3.5714290000000002</v>
      </c>
      <c r="D331" s="1">
        <f t="shared" si="65"/>
        <v>0.12500001499999999</v>
      </c>
      <c r="E331" s="1">
        <v>15</v>
      </c>
      <c r="F331" s="1">
        <v>1.5</v>
      </c>
      <c r="G331" s="1">
        <v>125</v>
      </c>
      <c r="H331" s="1">
        <v>47.98353882</v>
      </c>
      <c r="J331" s="1">
        <f t="shared" si="66"/>
        <v>3.5000000000000003E-2</v>
      </c>
      <c r="K331" s="1">
        <f t="shared" si="67"/>
        <v>0.12500001499999999</v>
      </c>
      <c r="L331" s="1">
        <f t="shared" si="68"/>
        <v>4.0000000000000002E-4</v>
      </c>
      <c r="M331" s="1">
        <f t="shared" si="69"/>
        <v>0.6080553310689355</v>
      </c>
      <c r="N331" s="1">
        <f t="shared" si="70"/>
        <v>3.4722222222222224E-2</v>
      </c>
      <c r="O331" s="1">
        <v>370</v>
      </c>
      <c r="P331" s="1">
        <v>3</v>
      </c>
      <c r="Q331" s="1">
        <v>4148</v>
      </c>
      <c r="R331" s="1">
        <f>[1]!HeatTransferArea(J331,D331,0.36,L331)</f>
        <v>1.154535438738485</v>
      </c>
      <c r="S331" s="1">
        <f>[1]!Convection(J331,N331,1000,9*10^-4,L331,0.6,0.36,7)</f>
        <v>25517.896048113165</v>
      </c>
      <c r="U331" s="1">
        <f t="shared" si="71"/>
        <v>0.21339300574283493</v>
      </c>
      <c r="V331" s="1">
        <f t="shared" si="72"/>
        <v>2.1114869932432732E-5</v>
      </c>
      <c r="W331" s="1">
        <f t="shared" si="73"/>
        <v>1.6554054054054055E-6</v>
      </c>
      <c r="X331" s="1">
        <f t="shared" si="74"/>
        <v>3.5714290000000002</v>
      </c>
      <c r="Y331" s="1">
        <f t="shared" si="75"/>
        <v>87.30036280572412</v>
      </c>
      <c r="Z331" s="1">
        <f t="shared" si="76"/>
        <v>5</v>
      </c>
      <c r="AA331" s="1">
        <f t="shared" si="77"/>
        <v>4.7395262834998508E-2</v>
      </c>
    </row>
    <row r="332" spans="1:27" x14ac:dyDescent="0.25">
      <c r="A332" s="1">
        <f>35</f>
        <v>35</v>
      </c>
      <c r="B332" s="1">
        <v>0.4</v>
      </c>
      <c r="C332" s="1">
        <v>3.5714290000000002</v>
      </c>
      <c r="D332" s="1">
        <f t="shared" si="65"/>
        <v>0.12500001499999999</v>
      </c>
      <c r="E332" s="1">
        <v>20</v>
      </c>
      <c r="F332" s="1">
        <v>0.5</v>
      </c>
      <c r="G332" s="1">
        <v>125</v>
      </c>
      <c r="H332" s="1">
        <v>30.099764480000001</v>
      </c>
      <c r="J332" s="1">
        <f t="shared" si="66"/>
        <v>3.5000000000000003E-2</v>
      </c>
      <c r="K332" s="1">
        <f t="shared" si="67"/>
        <v>0.12500001499999999</v>
      </c>
      <c r="L332" s="1">
        <f t="shared" si="68"/>
        <v>4.0000000000000002E-4</v>
      </c>
      <c r="M332" s="1">
        <f t="shared" si="69"/>
        <v>0.6080553310689355</v>
      </c>
      <c r="N332" s="1">
        <f t="shared" si="70"/>
        <v>3.4722222222222224E-2</v>
      </c>
      <c r="O332" s="1">
        <v>370</v>
      </c>
      <c r="P332" s="1">
        <v>3</v>
      </c>
      <c r="Q332" s="1">
        <v>4148</v>
      </c>
      <c r="R332" s="1">
        <f>[1]!HeatTransferArea(J332,D332,0.36,L332)</f>
        <v>1.154535438738485</v>
      </c>
      <c r="S332" s="1">
        <f>[1]!Convection(J332,N332,1000,9*10^-4,L332,0.6,0.36,7)</f>
        <v>25517.896048113165</v>
      </c>
      <c r="U332" s="1">
        <f t="shared" si="71"/>
        <v>0.64017901722850479</v>
      </c>
      <c r="V332" s="1">
        <f t="shared" si="72"/>
        <v>7.0382899774775779E-6</v>
      </c>
      <c r="W332" s="1">
        <f t="shared" si="73"/>
        <v>5.5180180180180184E-7</v>
      </c>
      <c r="X332" s="1">
        <f t="shared" si="74"/>
        <v>3.5714290000000002</v>
      </c>
      <c r="Y332" s="1">
        <f t="shared" si="75"/>
        <v>261.90108841717233</v>
      </c>
      <c r="Z332" s="1">
        <f t="shared" si="76"/>
        <v>6.666666666666667</v>
      </c>
      <c r="AA332" s="1">
        <f t="shared" si="77"/>
        <v>8.9192228244316399E-2</v>
      </c>
    </row>
    <row r="333" spans="1:27" x14ac:dyDescent="0.25">
      <c r="A333" s="1">
        <f>35</f>
        <v>35</v>
      </c>
      <c r="B333" s="1">
        <v>0.4</v>
      </c>
      <c r="C333" s="1">
        <v>3.5714290000000002</v>
      </c>
      <c r="D333" s="1">
        <f t="shared" si="65"/>
        <v>0.12500001499999999</v>
      </c>
      <c r="E333" s="1">
        <v>20</v>
      </c>
      <c r="F333" s="1">
        <v>1</v>
      </c>
      <c r="G333" s="1">
        <v>125</v>
      </c>
      <c r="H333" s="1">
        <v>31.480868109999999</v>
      </c>
      <c r="J333" s="1">
        <f t="shared" si="66"/>
        <v>3.5000000000000003E-2</v>
      </c>
      <c r="K333" s="1">
        <f t="shared" si="67"/>
        <v>0.12500001499999999</v>
      </c>
      <c r="L333" s="1">
        <f t="shared" si="68"/>
        <v>4.0000000000000002E-4</v>
      </c>
      <c r="M333" s="1">
        <f t="shared" si="69"/>
        <v>0.6080553310689355</v>
      </c>
      <c r="N333" s="1">
        <f t="shared" si="70"/>
        <v>3.4722222222222224E-2</v>
      </c>
      <c r="O333" s="1">
        <v>370</v>
      </c>
      <c r="P333" s="1">
        <v>3</v>
      </c>
      <c r="Q333" s="1">
        <v>4148</v>
      </c>
      <c r="R333" s="1">
        <f>[1]!HeatTransferArea(J333,D333,0.36,L333)</f>
        <v>1.154535438738485</v>
      </c>
      <c r="S333" s="1">
        <f>[1]!Convection(J333,N333,1000,9*10^-4,L333,0.6,0.36,7)</f>
        <v>25517.896048113165</v>
      </c>
      <c r="U333" s="1">
        <f t="shared" si="71"/>
        <v>0.32008950861425239</v>
      </c>
      <c r="V333" s="1">
        <f t="shared" si="72"/>
        <v>1.4076579954955156E-5</v>
      </c>
      <c r="W333" s="1">
        <f t="shared" si="73"/>
        <v>1.1036036036036037E-6</v>
      </c>
      <c r="X333" s="1">
        <f t="shared" si="74"/>
        <v>3.5714290000000002</v>
      </c>
      <c r="Y333" s="1">
        <f t="shared" si="75"/>
        <v>130.95054420858617</v>
      </c>
      <c r="Z333" s="1">
        <f t="shared" si="76"/>
        <v>6.666666666666667</v>
      </c>
      <c r="AA333" s="1">
        <f t="shared" si="77"/>
        <v>4.6642371166426173E-2</v>
      </c>
    </row>
    <row r="334" spans="1:27" x14ac:dyDescent="0.25">
      <c r="A334" s="1">
        <f>35</f>
        <v>35</v>
      </c>
      <c r="B334" s="1">
        <v>0.4</v>
      </c>
      <c r="C334" s="1">
        <v>3.5714290000000002</v>
      </c>
      <c r="D334" s="1">
        <f t="shared" si="65"/>
        <v>0.12500001499999999</v>
      </c>
      <c r="E334" s="1">
        <v>20</v>
      </c>
      <c r="F334" s="1">
        <v>1.5</v>
      </c>
      <c r="G334" s="1">
        <v>125</v>
      </c>
      <c r="H334" s="1">
        <v>31.63163424</v>
      </c>
      <c r="J334" s="1">
        <f t="shared" si="66"/>
        <v>3.5000000000000003E-2</v>
      </c>
      <c r="K334" s="1">
        <f t="shared" si="67"/>
        <v>0.12500001499999999</v>
      </c>
      <c r="L334" s="1">
        <f t="shared" si="68"/>
        <v>4.0000000000000002E-4</v>
      </c>
      <c r="M334" s="1">
        <f t="shared" si="69"/>
        <v>0.6080553310689355</v>
      </c>
      <c r="N334" s="1">
        <f t="shared" si="70"/>
        <v>3.4722222222222224E-2</v>
      </c>
      <c r="O334" s="1">
        <v>370</v>
      </c>
      <c r="P334" s="1">
        <v>3</v>
      </c>
      <c r="Q334" s="1">
        <v>4148</v>
      </c>
      <c r="R334" s="1">
        <f>[1]!HeatTransferArea(J334,D334,0.36,L334)</f>
        <v>1.154535438738485</v>
      </c>
      <c r="S334" s="1">
        <f>[1]!Convection(J334,N334,1000,9*10^-4,L334,0.6,0.36,7)</f>
        <v>25517.896048113165</v>
      </c>
      <c r="U334" s="1">
        <f t="shared" si="71"/>
        <v>0.21339300574283493</v>
      </c>
      <c r="V334" s="1">
        <f t="shared" si="72"/>
        <v>2.1114869932432732E-5</v>
      </c>
      <c r="W334" s="1">
        <f t="shared" si="73"/>
        <v>1.6554054054054055E-6</v>
      </c>
      <c r="X334" s="1">
        <f t="shared" si="74"/>
        <v>3.5714290000000002</v>
      </c>
      <c r="Y334" s="1">
        <f t="shared" si="75"/>
        <v>87.30036280572412</v>
      </c>
      <c r="Z334" s="1">
        <f t="shared" si="76"/>
        <v>6.666666666666667</v>
      </c>
      <c r="AA334" s="1">
        <f t="shared" si="77"/>
        <v>3.1243831855112397E-2</v>
      </c>
    </row>
    <row r="335" spans="1:27" x14ac:dyDescent="0.25">
      <c r="A335" s="1">
        <f>35</f>
        <v>35</v>
      </c>
      <c r="B335" s="1">
        <v>0.5</v>
      </c>
      <c r="C335" s="1">
        <v>2.1428569999999998</v>
      </c>
      <c r="D335" s="1">
        <f t="shared" si="65"/>
        <v>7.4999995E-2</v>
      </c>
      <c r="E335" s="1">
        <v>15</v>
      </c>
      <c r="F335" s="1">
        <v>0.5</v>
      </c>
      <c r="G335" s="1">
        <v>125</v>
      </c>
      <c r="H335" s="1">
        <v>40.37975273</v>
      </c>
      <c r="J335" s="1">
        <f t="shared" si="66"/>
        <v>3.5000000000000003E-2</v>
      </c>
      <c r="K335" s="1">
        <f t="shared" si="67"/>
        <v>7.4999995E-2</v>
      </c>
      <c r="L335" s="1">
        <f t="shared" si="68"/>
        <v>5.0000000000000001E-4</v>
      </c>
      <c r="M335" s="1">
        <f t="shared" si="69"/>
        <v>0.36483313053917238</v>
      </c>
      <c r="N335" s="1">
        <f t="shared" si="70"/>
        <v>3.4722222222222224E-2</v>
      </c>
      <c r="O335" s="1">
        <v>370</v>
      </c>
      <c r="P335" s="1">
        <v>3</v>
      </c>
      <c r="Q335" s="1">
        <v>4148</v>
      </c>
      <c r="R335" s="1">
        <f>[1]!HeatTransferArea(J335,D335,0.36,L335)</f>
        <v>0.55417690714810997</v>
      </c>
      <c r="S335" s="1">
        <f>[1]!Convection(J335,N335,1000,9*10^-4,L335,0.6,0.36,7)</f>
        <v>20550.079694253804</v>
      </c>
      <c r="U335" s="1">
        <f t="shared" si="71"/>
        <v>1.0669652278809931</v>
      </c>
      <c r="V335" s="1">
        <f t="shared" si="72"/>
        <v>2.5337834459459573E-6</v>
      </c>
      <c r="W335" s="1">
        <f t="shared" si="73"/>
        <v>5.5180180180180184E-7</v>
      </c>
      <c r="X335" s="1">
        <f t="shared" si="74"/>
        <v>2.1428569999999998</v>
      </c>
      <c r="Y335" s="1">
        <f t="shared" si="75"/>
        <v>168.73141042151602</v>
      </c>
      <c r="Z335" s="1">
        <f t="shared" si="76"/>
        <v>5</v>
      </c>
      <c r="AA335" s="1">
        <f t="shared" si="77"/>
        <v>0.1994235312941606</v>
      </c>
    </row>
    <row r="336" spans="1:27" x14ac:dyDescent="0.25">
      <c r="A336" s="1">
        <f>35</f>
        <v>35</v>
      </c>
      <c r="B336" s="1">
        <v>0.5</v>
      </c>
      <c r="C336" s="1">
        <v>2.1428569999999998</v>
      </c>
      <c r="D336" s="1">
        <f t="shared" si="65"/>
        <v>7.4999995E-2</v>
      </c>
      <c r="E336" s="1">
        <v>15</v>
      </c>
      <c r="F336" s="1">
        <v>1</v>
      </c>
      <c r="G336" s="1">
        <v>125</v>
      </c>
      <c r="H336" s="1">
        <v>47.999910180000001</v>
      </c>
      <c r="J336" s="1">
        <f t="shared" si="66"/>
        <v>3.5000000000000003E-2</v>
      </c>
      <c r="K336" s="1">
        <f t="shared" si="67"/>
        <v>7.4999995E-2</v>
      </c>
      <c r="L336" s="1">
        <f t="shared" si="68"/>
        <v>5.0000000000000001E-4</v>
      </c>
      <c r="M336" s="1">
        <f t="shared" si="69"/>
        <v>0.36483313053917238</v>
      </c>
      <c r="N336" s="1">
        <f t="shared" si="70"/>
        <v>3.4722222222222224E-2</v>
      </c>
      <c r="O336" s="1">
        <v>370</v>
      </c>
      <c r="P336" s="1">
        <v>3</v>
      </c>
      <c r="Q336" s="1">
        <v>4148</v>
      </c>
      <c r="R336" s="1">
        <f>[1]!HeatTransferArea(J336,D336,0.36,L336)</f>
        <v>0.55417690714810997</v>
      </c>
      <c r="S336" s="1">
        <f>[1]!Convection(J336,N336,1000,9*10^-4,L336,0.6,0.36,7)</f>
        <v>20550.079694253804</v>
      </c>
      <c r="U336" s="1">
        <f t="shared" si="71"/>
        <v>0.53348261394049656</v>
      </c>
      <c r="V336" s="1">
        <f t="shared" si="72"/>
        <v>5.0675668918919145E-6</v>
      </c>
      <c r="W336" s="1">
        <f t="shared" si="73"/>
        <v>1.1036036036036037E-6</v>
      </c>
      <c r="X336" s="1">
        <f t="shared" si="74"/>
        <v>2.1428569999999998</v>
      </c>
      <c r="Y336" s="1">
        <f t="shared" si="75"/>
        <v>84.365705210758009</v>
      </c>
      <c r="Z336" s="1">
        <f t="shared" si="76"/>
        <v>5</v>
      </c>
      <c r="AA336" s="1">
        <f t="shared" si="77"/>
        <v>0.1185286058325267</v>
      </c>
    </row>
    <row r="337" spans="1:27" x14ac:dyDescent="0.25">
      <c r="A337" s="1">
        <f>35</f>
        <v>35</v>
      </c>
      <c r="B337" s="1">
        <v>0.5</v>
      </c>
      <c r="C337" s="1">
        <v>2.1428569999999998</v>
      </c>
      <c r="D337" s="1">
        <f t="shared" si="65"/>
        <v>7.4999995E-2</v>
      </c>
      <c r="E337" s="1">
        <v>15</v>
      </c>
      <c r="F337" s="1">
        <v>1.5</v>
      </c>
      <c r="G337" s="1">
        <v>125</v>
      </c>
      <c r="H337" s="1">
        <v>48.53325735</v>
      </c>
      <c r="J337" s="1">
        <f t="shared" si="66"/>
        <v>3.5000000000000003E-2</v>
      </c>
      <c r="K337" s="1">
        <f t="shared" si="67"/>
        <v>7.4999995E-2</v>
      </c>
      <c r="L337" s="1">
        <f t="shared" si="68"/>
        <v>5.0000000000000001E-4</v>
      </c>
      <c r="M337" s="1">
        <f t="shared" si="69"/>
        <v>0.36483313053917238</v>
      </c>
      <c r="N337" s="1">
        <f t="shared" si="70"/>
        <v>3.4722222222222224E-2</v>
      </c>
      <c r="O337" s="1">
        <v>370</v>
      </c>
      <c r="P337" s="1">
        <v>3</v>
      </c>
      <c r="Q337" s="1">
        <v>4148</v>
      </c>
      <c r="R337" s="1">
        <f>[1]!HeatTransferArea(J337,D337,0.36,L337)</f>
        <v>0.55417690714810997</v>
      </c>
      <c r="S337" s="1">
        <f>[1]!Convection(J337,N337,1000,9*10^-4,L337,0.6,0.36,7)</f>
        <v>20550.079694253804</v>
      </c>
      <c r="U337" s="1">
        <f t="shared" si="71"/>
        <v>0.35565507596033108</v>
      </c>
      <c r="V337" s="1">
        <f t="shared" si="72"/>
        <v>7.6013503378378718E-6</v>
      </c>
      <c r="W337" s="1">
        <f t="shared" si="73"/>
        <v>1.6554054054054055E-6</v>
      </c>
      <c r="X337" s="1">
        <f t="shared" si="74"/>
        <v>2.1428569999999998</v>
      </c>
      <c r="Y337" s="1">
        <f t="shared" si="75"/>
        <v>56.243803473838668</v>
      </c>
      <c r="Z337" s="1">
        <f t="shared" si="76"/>
        <v>5</v>
      </c>
      <c r="AA337" s="1">
        <f t="shared" si="77"/>
        <v>7.9897084649179773E-2</v>
      </c>
    </row>
    <row r="338" spans="1:27" x14ac:dyDescent="0.25">
      <c r="A338" s="1">
        <f>35</f>
        <v>35</v>
      </c>
      <c r="B338" s="1">
        <v>0.5</v>
      </c>
      <c r="C338" s="1">
        <v>2.1428569999999998</v>
      </c>
      <c r="D338" s="1">
        <f t="shared" si="65"/>
        <v>7.4999995E-2</v>
      </c>
      <c r="E338" s="1">
        <v>20</v>
      </c>
      <c r="F338" s="1">
        <v>0.5</v>
      </c>
      <c r="G338" s="1">
        <v>125</v>
      </c>
      <c r="H338" s="1">
        <v>19.77740412</v>
      </c>
      <c r="J338" s="1">
        <f t="shared" si="66"/>
        <v>3.5000000000000003E-2</v>
      </c>
      <c r="K338" s="1">
        <f t="shared" si="67"/>
        <v>7.4999995E-2</v>
      </c>
      <c r="L338" s="1">
        <f t="shared" si="68"/>
        <v>5.0000000000000001E-4</v>
      </c>
      <c r="M338" s="1">
        <f t="shared" si="69"/>
        <v>0.36483313053917238</v>
      </c>
      <c r="N338" s="1">
        <f t="shared" si="70"/>
        <v>3.4722222222222224E-2</v>
      </c>
      <c r="O338" s="1">
        <v>370</v>
      </c>
      <c r="P338" s="1">
        <v>3</v>
      </c>
      <c r="Q338" s="1">
        <v>4148</v>
      </c>
      <c r="R338" s="1">
        <f>[1]!HeatTransferArea(J338,D338,0.36,L338)</f>
        <v>0.55417690714810997</v>
      </c>
      <c r="S338" s="1">
        <f>[1]!Convection(J338,N338,1000,9*10^-4,L338,0.6,0.36,7)</f>
        <v>20550.079694253804</v>
      </c>
      <c r="U338" s="1">
        <f t="shared" si="71"/>
        <v>1.0669652278809931</v>
      </c>
      <c r="V338" s="1">
        <f t="shared" si="72"/>
        <v>2.5337834459459573E-6</v>
      </c>
      <c r="W338" s="1">
        <f t="shared" si="73"/>
        <v>5.5180180180180184E-7</v>
      </c>
      <c r="X338" s="1">
        <f t="shared" si="74"/>
        <v>2.1428569999999998</v>
      </c>
      <c r="Y338" s="1">
        <f t="shared" si="75"/>
        <v>168.73141042151602</v>
      </c>
      <c r="Z338" s="1">
        <f t="shared" si="76"/>
        <v>6.666666666666667</v>
      </c>
      <c r="AA338" s="1">
        <f t="shared" si="77"/>
        <v>9.7674688495847081E-2</v>
      </c>
    </row>
    <row r="339" spans="1:27" x14ac:dyDescent="0.25">
      <c r="A339" s="1">
        <f>35</f>
        <v>35</v>
      </c>
      <c r="B339" s="1">
        <v>0.5</v>
      </c>
      <c r="C339" s="1">
        <v>2.1428569999999998</v>
      </c>
      <c r="D339" s="1">
        <f t="shared" si="65"/>
        <v>7.4999995E-2</v>
      </c>
      <c r="E339" s="1">
        <v>20</v>
      </c>
      <c r="F339" s="1">
        <v>1</v>
      </c>
      <c r="G339" s="1">
        <v>125</v>
      </c>
      <c r="H339" s="1">
        <v>29.935083259999999</v>
      </c>
      <c r="J339" s="1">
        <f t="shared" si="66"/>
        <v>3.5000000000000003E-2</v>
      </c>
      <c r="K339" s="1">
        <f t="shared" si="67"/>
        <v>7.4999995E-2</v>
      </c>
      <c r="L339" s="1">
        <f t="shared" si="68"/>
        <v>5.0000000000000001E-4</v>
      </c>
      <c r="M339" s="1">
        <f t="shared" si="69"/>
        <v>0.36483313053917238</v>
      </c>
      <c r="N339" s="1">
        <f t="shared" si="70"/>
        <v>3.4722222222222224E-2</v>
      </c>
      <c r="O339" s="1">
        <v>370</v>
      </c>
      <c r="P339" s="1">
        <v>3</v>
      </c>
      <c r="Q339" s="1">
        <v>4148</v>
      </c>
      <c r="R339" s="1">
        <f>[1]!HeatTransferArea(J339,D339,0.36,L339)</f>
        <v>0.55417690714810997</v>
      </c>
      <c r="S339" s="1">
        <f>[1]!Convection(J339,N339,1000,9*10^-4,L339,0.6,0.36,7)</f>
        <v>20550.079694253804</v>
      </c>
      <c r="U339" s="1">
        <f t="shared" si="71"/>
        <v>0.53348261394049656</v>
      </c>
      <c r="V339" s="1">
        <f t="shared" si="72"/>
        <v>5.0675668918919145E-6</v>
      </c>
      <c r="W339" s="1">
        <f t="shared" si="73"/>
        <v>1.1036036036036037E-6</v>
      </c>
      <c r="X339" s="1">
        <f t="shared" si="74"/>
        <v>2.1428569999999998</v>
      </c>
      <c r="Y339" s="1">
        <f t="shared" si="75"/>
        <v>84.365705210758009</v>
      </c>
      <c r="Z339" s="1">
        <f t="shared" si="76"/>
        <v>6.666666666666667</v>
      </c>
      <c r="AA339" s="1">
        <f t="shared" si="77"/>
        <v>7.3920215079210969E-2</v>
      </c>
    </row>
    <row r="340" spans="1:27" x14ac:dyDescent="0.25">
      <c r="A340" s="1">
        <f>35</f>
        <v>35</v>
      </c>
      <c r="B340" s="1">
        <v>0.5</v>
      </c>
      <c r="C340" s="1">
        <v>2.1428569999999998</v>
      </c>
      <c r="D340" s="1">
        <f t="shared" si="65"/>
        <v>7.4999995E-2</v>
      </c>
      <c r="E340" s="1">
        <v>20</v>
      </c>
      <c r="F340" s="1">
        <v>1.5</v>
      </c>
      <c r="G340" s="1">
        <v>125</v>
      </c>
      <c r="H340" s="1">
        <v>31.12102084</v>
      </c>
      <c r="J340" s="1">
        <f t="shared" si="66"/>
        <v>3.5000000000000003E-2</v>
      </c>
      <c r="K340" s="1">
        <f t="shared" si="67"/>
        <v>7.4999995E-2</v>
      </c>
      <c r="L340" s="1">
        <f t="shared" si="68"/>
        <v>5.0000000000000001E-4</v>
      </c>
      <c r="M340" s="1">
        <f t="shared" si="69"/>
        <v>0.36483313053917238</v>
      </c>
      <c r="N340" s="1">
        <f t="shared" si="70"/>
        <v>3.4722222222222224E-2</v>
      </c>
      <c r="O340" s="1">
        <v>370</v>
      </c>
      <c r="P340" s="1">
        <v>3</v>
      </c>
      <c r="Q340" s="1">
        <v>4148</v>
      </c>
      <c r="R340" s="1">
        <f>[1]!HeatTransferArea(J340,D340,0.36,L340)</f>
        <v>0.55417690714810997</v>
      </c>
      <c r="S340" s="1">
        <f>[1]!Convection(J340,N340,1000,9*10^-4,L340,0.6,0.36,7)</f>
        <v>20550.079694253804</v>
      </c>
      <c r="U340" s="1">
        <f t="shared" si="71"/>
        <v>0.35565507596033108</v>
      </c>
      <c r="V340" s="1">
        <f t="shared" si="72"/>
        <v>7.6013503378378718E-6</v>
      </c>
      <c r="W340" s="1">
        <f t="shared" si="73"/>
        <v>1.6554054054054055E-6</v>
      </c>
      <c r="X340" s="1">
        <f t="shared" si="74"/>
        <v>2.1428569999999998</v>
      </c>
      <c r="Y340" s="1">
        <f t="shared" si="75"/>
        <v>56.243803473838668</v>
      </c>
      <c r="Z340" s="1">
        <f t="shared" si="76"/>
        <v>6.666666666666667</v>
      </c>
      <c r="AA340" s="1">
        <f t="shared" si="77"/>
        <v>5.1232473816686198E-2</v>
      </c>
    </row>
    <row r="341" spans="1:27" x14ac:dyDescent="0.25">
      <c r="A341" s="1">
        <f>35</f>
        <v>35</v>
      </c>
      <c r="B341" s="1">
        <v>0.5</v>
      </c>
      <c r="C341" s="1">
        <v>2.8571430000000002</v>
      </c>
      <c r="D341" s="1">
        <f t="shared" si="65"/>
        <v>0.100000005</v>
      </c>
      <c r="E341" s="1">
        <v>15</v>
      </c>
      <c r="F341" s="1">
        <v>0.5</v>
      </c>
      <c r="G341" s="1">
        <v>125</v>
      </c>
      <c r="H341" s="1">
        <v>46.130781480000003</v>
      </c>
      <c r="J341" s="1">
        <f t="shared" si="66"/>
        <v>3.5000000000000003E-2</v>
      </c>
      <c r="K341" s="1">
        <f t="shared" si="67"/>
        <v>0.100000005</v>
      </c>
      <c r="L341" s="1">
        <f t="shared" si="68"/>
        <v>5.0000000000000001E-4</v>
      </c>
      <c r="M341" s="1">
        <f t="shared" si="69"/>
        <v>0.48644423080405397</v>
      </c>
      <c r="N341" s="1">
        <f t="shared" si="70"/>
        <v>3.4722222222222224E-2</v>
      </c>
      <c r="O341" s="1">
        <v>370</v>
      </c>
      <c r="P341" s="1">
        <v>3</v>
      </c>
      <c r="Q341" s="1">
        <v>4148</v>
      </c>
      <c r="R341" s="1">
        <f>[1]!HeatTransferArea(J341,D341,0.36,L341)</f>
        <v>0.73890262906944904</v>
      </c>
      <c r="S341" s="1">
        <f>[1]!Convection(J341,N341,1000,9*10^-4,L341,0.6,0.36,7)</f>
        <v>20550.079694253804</v>
      </c>
      <c r="U341" s="1">
        <f t="shared" si="71"/>
        <v>0.80022382755129218</v>
      </c>
      <c r="V341" s="1">
        <f t="shared" si="72"/>
        <v>4.5045049549549668E-6</v>
      </c>
      <c r="W341" s="1">
        <f t="shared" si="73"/>
        <v>5.5180180180180184E-7</v>
      </c>
      <c r="X341" s="1">
        <f t="shared" si="74"/>
        <v>2.8571430000000002</v>
      </c>
      <c r="Y341" s="1">
        <f t="shared" si="75"/>
        <v>168.73141042151602</v>
      </c>
      <c r="Z341" s="1">
        <f t="shared" si="76"/>
        <v>5</v>
      </c>
      <c r="AA341" s="1">
        <f t="shared" si="77"/>
        <v>0.17086958776713379</v>
      </c>
    </row>
    <row r="342" spans="1:27" x14ac:dyDescent="0.25">
      <c r="A342" s="1">
        <f>35</f>
        <v>35</v>
      </c>
      <c r="B342" s="1">
        <v>0.5</v>
      </c>
      <c r="C342" s="1">
        <v>2.8571430000000002</v>
      </c>
      <c r="D342" s="1">
        <f t="shared" si="65"/>
        <v>0.100000005</v>
      </c>
      <c r="E342" s="1">
        <v>15</v>
      </c>
      <c r="F342" s="1">
        <v>1</v>
      </c>
      <c r="G342" s="1">
        <v>125</v>
      </c>
      <c r="H342" s="1">
        <v>48.188271389999997</v>
      </c>
      <c r="J342" s="1">
        <f t="shared" si="66"/>
        <v>3.5000000000000003E-2</v>
      </c>
      <c r="K342" s="1">
        <f t="shared" si="67"/>
        <v>0.100000005</v>
      </c>
      <c r="L342" s="1">
        <f t="shared" si="68"/>
        <v>5.0000000000000001E-4</v>
      </c>
      <c r="M342" s="1">
        <f t="shared" si="69"/>
        <v>0.48644423080405397</v>
      </c>
      <c r="N342" s="1">
        <f t="shared" si="70"/>
        <v>3.4722222222222224E-2</v>
      </c>
      <c r="O342" s="1">
        <v>370</v>
      </c>
      <c r="P342" s="1">
        <v>3</v>
      </c>
      <c r="Q342" s="1">
        <v>4148</v>
      </c>
      <c r="R342" s="1">
        <f>[1]!HeatTransferArea(J342,D342,0.36,L342)</f>
        <v>0.73890262906944904</v>
      </c>
      <c r="S342" s="1">
        <f>[1]!Convection(J342,N342,1000,9*10^-4,L342,0.6,0.36,7)</f>
        <v>20550.079694253804</v>
      </c>
      <c r="U342" s="1">
        <f t="shared" si="71"/>
        <v>0.40011191377564609</v>
      </c>
      <c r="V342" s="1">
        <f t="shared" si="72"/>
        <v>9.0090099099099335E-6</v>
      </c>
      <c r="W342" s="1">
        <f t="shared" si="73"/>
        <v>1.1036036036036037E-6</v>
      </c>
      <c r="X342" s="1">
        <f t="shared" si="74"/>
        <v>2.8571430000000002</v>
      </c>
      <c r="Y342" s="1">
        <f t="shared" si="75"/>
        <v>84.365705210758009</v>
      </c>
      <c r="Z342" s="1">
        <f t="shared" si="76"/>
        <v>5</v>
      </c>
      <c r="AA342" s="1">
        <f t="shared" si="77"/>
        <v>8.9245291359196649E-2</v>
      </c>
    </row>
    <row r="343" spans="1:27" x14ac:dyDescent="0.25">
      <c r="A343" s="1">
        <f>35</f>
        <v>35</v>
      </c>
      <c r="B343" s="1">
        <v>0.5</v>
      </c>
      <c r="C343" s="1">
        <v>2.8571430000000002</v>
      </c>
      <c r="D343" s="1">
        <f t="shared" si="65"/>
        <v>0.100000005</v>
      </c>
      <c r="E343" s="1">
        <v>15</v>
      </c>
      <c r="F343" s="1">
        <v>1.5</v>
      </c>
      <c r="G343" s="1">
        <v>125</v>
      </c>
      <c r="H343" s="1">
        <v>48.159225159999998</v>
      </c>
      <c r="J343" s="1">
        <f t="shared" si="66"/>
        <v>3.5000000000000003E-2</v>
      </c>
      <c r="K343" s="1">
        <f t="shared" si="67"/>
        <v>0.100000005</v>
      </c>
      <c r="L343" s="1">
        <f t="shared" si="68"/>
        <v>5.0000000000000001E-4</v>
      </c>
      <c r="M343" s="1">
        <f t="shared" si="69"/>
        <v>0.48644423080405397</v>
      </c>
      <c r="N343" s="1">
        <f t="shared" si="70"/>
        <v>3.4722222222222224E-2</v>
      </c>
      <c r="O343" s="1">
        <v>370</v>
      </c>
      <c r="P343" s="1">
        <v>3</v>
      </c>
      <c r="Q343" s="1">
        <v>4148</v>
      </c>
      <c r="R343" s="1">
        <f>[1]!HeatTransferArea(J343,D343,0.36,L343)</f>
        <v>0.73890262906944904</v>
      </c>
      <c r="S343" s="1">
        <f>[1]!Convection(J343,N343,1000,9*10^-4,L343,0.6,0.36,7)</f>
        <v>20550.079694253804</v>
      </c>
      <c r="U343" s="1">
        <f t="shared" si="71"/>
        <v>0.26674127585043073</v>
      </c>
      <c r="V343" s="1">
        <f t="shared" si="72"/>
        <v>1.35135148648649E-5</v>
      </c>
      <c r="W343" s="1">
        <f t="shared" si="73"/>
        <v>1.6554054054054055E-6</v>
      </c>
      <c r="X343" s="1">
        <f t="shared" si="74"/>
        <v>2.8571430000000002</v>
      </c>
      <c r="Y343" s="1">
        <f t="shared" si="75"/>
        <v>56.243803473838675</v>
      </c>
      <c r="Z343" s="1">
        <f t="shared" si="76"/>
        <v>5</v>
      </c>
      <c r="AA343" s="1">
        <f t="shared" si="77"/>
        <v>5.9460998247930094E-2</v>
      </c>
    </row>
    <row r="344" spans="1:27" x14ac:dyDescent="0.25">
      <c r="A344" s="1">
        <f>35</f>
        <v>35</v>
      </c>
      <c r="B344" s="1">
        <v>0.5</v>
      </c>
      <c r="C344" s="1">
        <v>2.8571430000000002</v>
      </c>
      <c r="D344" s="1">
        <f t="shared" si="65"/>
        <v>0.100000005</v>
      </c>
      <c r="E344" s="1">
        <v>20</v>
      </c>
      <c r="F344" s="1">
        <v>0.5</v>
      </c>
      <c r="G344" s="1">
        <v>125</v>
      </c>
      <c r="H344" s="1">
        <v>27.468653360000001</v>
      </c>
      <c r="J344" s="1">
        <f t="shared" si="66"/>
        <v>3.5000000000000003E-2</v>
      </c>
      <c r="K344" s="1">
        <f t="shared" si="67"/>
        <v>0.100000005</v>
      </c>
      <c r="L344" s="1">
        <f t="shared" si="68"/>
        <v>5.0000000000000001E-4</v>
      </c>
      <c r="M344" s="1">
        <f t="shared" si="69"/>
        <v>0.48644423080405397</v>
      </c>
      <c r="N344" s="1">
        <f t="shared" si="70"/>
        <v>3.4722222222222224E-2</v>
      </c>
      <c r="O344" s="1">
        <v>370</v>
      </c>
      <c r="P344" s="1">
        <v>3</v>
      </c>
      <c r="Q344" s="1">
        <v>4148</v>
      </c>
      <c r="R344" s="1">
        <f>[1]!HeatTransferArea(J344,D344,0.36,L344)</f>
        <v>0.73890262906944904</v>
      </c>
      <c r="S344" s="1">
        <f>[1]!Convection(J344,N344,1000,9*10^-4,L344,0.6,0.36,7)</f>
        <v>20550.079694253804</v>
      </c>
      <c r="U344" s="1">
        <f t="shared" si="71"/>
        <v>0.80022382755129218</v>
      </c>
      <c r="V344" s="1">
        <f t="shared" si="72"/>
        <v>4.5045049549549668E-6</v>
      </c>
      <c r="W344" s="1">
        <f t="shared" si="73"/>
        <v>5.5180180180180184E-7</v>
      </c>
      <c r="X344" s="1">
        <f t="shared" si="74"/>
        <v>2.8571430000000002</v>
      </c>
      <c r="Y344" s="1">
        <f t="shared" si="75"/>
        <v>168.73141042151602</v>
      </c>
      <c r="Z344" s="1">
        <f t="shared" si="76"/>
        <v>6.666666666666667</v>
      </c>
      <c r="AA344" s="1">
        <f t="shared" si="77"/>
        <v>0.10174459060868904</v>
      </c>
    </row>
    <row r="345" spans="1:27" x14ac:dyDescent="0.25">
      <c r="A345" s="1">
        <f>35</f>
        <v>35</v>
      </c>
      <c r="B345" s="1">
        <v>0.5</v>
      </c>
      <c r="C345" s="1">
        <v>2.8571430000000002</v>
      </c>
      <c r="D345" s="1">
        <f t="shared" si="65"/>
        <v>0.100000005</v>
      </c>
      <c r="E345" s="1">
        <v>20</v>
      </c>
      <c r="F345" s="1">
        <v>1</v>
      </c>
      <c r="G345" s="1">
        <v>125</v>
      </c>
      <c r="H345" s="1">
        <v>30.98650335</v>
      </c>
      <c r="J345" s="1">
        <f t="shared" si="66"/>
        <v>3.5000000000000003E-2</v>
      </c>
      <c r="K345" s="1">
        <f t="shared" si="67"/>
        <v>0.100000005</v>
      </c>
      <c r="L345" s="1">
        <f t="shared" si="68"/>
        <v>5.0000000000000001E-4</v>
      </c>
      <c r="M345" s="1">
        <f t="shared" si="69"/>
        <v>0.48644423080405397</v>
      </c>
      <c r="N345" s="1">
        <f t="shared" si="70"/>
        <v>3.4722222222222224E-2</v>
      </c>
      <c r="O345" s="1">
        <v>370</v>
      </c>
      <c r="P345" s="1">
        <v>3</v>
      </c>
      <c r="Q345" s="1">
        <v>4148</v>
      </c>
      <c r="R345" s="1">
        <f>[1]!HeatTransferArea(J345,D345,0.36,L345)</f>
        <v>0.73890262906944904</v>
      </c>
      <c r="S345" s="1">
        <f>[1]!Convection(J345,N345,1000,9*10^-4,L345,0.6,0.36,7)</f>
        <v>20550.079694253804</v>
      </c>
      <c r="U345" s="1">
        <f t="shared" si="71"/>
        <v>0.40011191377564609</v>
      </c>
      <c r="V345" s="1">
        <f t="shared" si="72"/>
        <v>9.0090099099099335E-6</v>
      </c>
      <c r="W345" s="1">
        <f t="shared" si="73"/>
        <v>1.1036036036036037E-6</v>
      </c>
      <c r="X345" s="1">
        <f t="shared" si="74"/>
        <v>2.8571430000000002</v>
      </c>
      <c r="Y345" s="1">
        <f t="shared" si="75"/>
        <v>84.365705210758009</v>
      </c>
      <c r="Z345" s="1">
        <f t="shared" si="76"/>
        <v>6.666666666666667</v>
      </c>
      <c r="AA345" s="1">
        <f t="shared" si="77"/>
        <v>5.7387398217553565E-2</v>
      </c>
    </row>
    <row r="346" spans="1:27" x14ac:dyDescent="0.25">
      <c r="A346" s="1">
        <f>35</f>
        <v>35</v>
      </c>
      <c r="B346" s="1">
        <v>0.5</v>
      </c>
      <c r="C346" s="1">
        <v>2.8571430000000002</v>
      </c>
      <c r="D346" s="1">
        <f t="shared" si="65"/>
        <v>0.100000005</v>
      </c>
      <c r="E346" s="1">
        <v>20</v>
      </c>
      <c r="F346" s="1">
        <v>1.5</v>
      </c>
      <c r="G346" s="1">
        <v>125</v>
      </c>
      <c r="H346" s="1">
        <v>31.393398560000001</v>
      </c>
      <c r="J346" s="1">
        <f t="shared" si="66"/>
        <v>3.5000000000000003E-2</v>
      </c>
      <c r="K346" s="1">
        <f t="shared" si="67"/>
        <v>0.100000005</v>
      </c>
      <c r="L346" s="1">
        <f t="shared" si="68"/>
        <v>5.0000000000000001E-4</v>
      </c>
      <c r="M346" s="1">
        <f t="shared" si="69"/>
        <v>0.48644423080405397</v>
      </c>
      <c r="N346" s="1">
        <f t="shared" si="70"/>
        <v>3.4722222222222224E-2</v>
      </c>
      <c r="O346" s="1">
        <v>370</v>
      </c>
      <c r="P346" s="1">
        <v>3</v>
      </c>
      <c r="Q346" s="1">
        <v>4148</v>
      </c>
      <c r="R346" s="1">
        <f>[1]!HeatTransferArea(J346,D346,0.36,L346)</f>
        <v>0.73890262906944904</v>
      </c>
      <c r="S346" s="1">
        <f>[1]!Convection(J346,N346,1000,9*10^-4,L346,0.6,0.36,7)</f>
        <v>20550.079694253804</v>
      </c>
      <c r="U346" s="1">
        <f t="shared" si="71"/>
        <v>0.26674127585043073</v>
      </c>
      <c r="V346" s="1">
        <f t="shared" si="72"/>
        <v>1.35135148648649E-5</v>
      </c>
      <c r="W346" s="1">
        <f t="shared" si="73"/>
        <v>1.6554054054054055E-6</v>
      </c>
      <c r="X346" s="1">
        <f t="shared" si="74"/>
        <v>2.8571430000000002</v>
      </c>
      <c r="Y346" s="1">
        <f t="shared" si="75"/>
        <v>56.243803473838675</v>
      </c>
      <c r="Z346" s="1">
        <f t="shared" si="76"/>
        <v>6.666666666666667</v>
      </c>
      <c r="AA346" s="1">
        <f t="shared" si="77"/>
        <v>3.8760648880272211E-2</v>
      </c>
    </row>
    <row r="347" spans="1:27" x14ac:dyDescent="0.25">
      <c r="A347" s="1">
        <f>35</f>
        <v>35</v>
      </c>
      <c r="B347" s="1">
        <v>0.5</v>
      </c>
      <c r="C347" s="1">
        <v>3.5714290000000002</v>
      </c>
      <c r="D347" s="1">
        <f t="shared" si="65"/>
        <v>0.12500001499999999</v>
      </c>
      <c r="E347" s="1">
        <v>15</v>
      </c>
      <c r="F347" s="1">
        <v>0.5</v>
      </c>
      <c r="G347" s="1">
        <v>125</v>
      </c>
      <c r="H347" s="1">
        <v>47.197862559999997</v>
      </c>
      <c r="J347" s="1">
        <f t="shared" si="66"/>
        <v>3.5000000000000003E-2</v>
      </c>
      <c r="K347" s="1">
        <f t="shared" si="67"/>
        <v>0.12500001499999999</v>
      </c>
      <c r="L347" s="1">
        <f t="shared" si="68"/>
        <v>5.0000000000000001E-4</v>
      </c>
      <c r="M347" s="1">
        <f t="shared" si="69"/>
        <v>0.6080553310689355</v>
      </c>
      <c r="N347" s="1">
        <f t="shared" si="70"/>
        <v>3.4722222222222224E-2</v>
      </c>
      <c r="O347" s="1">
        <v>370</v>
      </c>
      <c r="P347" s="1">
        <v>3</v>
      </c>
      <c r="Q347" s="1">
        <v>4148</v>
      </c>
      <c r="R347" s="1">
        <f>[1]!HeatTransferArea(J347,D347,0.36,L347)</f>
        <v>0.92362835099078811</v>
      </c>
      <c r="S347" s="1">
        <f>[1]!Convection(J347,N347,1000,9*10^-4,L347,0.6,0.36,7)</f>
        <v>20550.079694253804</v>
      </c>
      <c r="U347" s="1">
        <f t="shared" si="71"/>
        <v>0.64017901722850479</v>
      </c>
      <c r="V347" s="1">
        <f t="shared" si="72"/>
        <v>7.0382899774775779E-6</v>
      </c>
      <c r="W347" s="1">
        <f t="shared" si="73"/>
        <v>5.5180180180180184E-7</v>
      </c>
      <c r="X347" s="1">
        <f t="shared" si="74"/>
        <v>3.5714290000000002</v>
      </c>
      <c r="Y347" s="1">
        <f t="shared" si="75"/>
        <v>168.73141042151599</v>
      </c>
      <c r="Z347" s="1">
        <f t="shared" si="76"/>
        <v>5</v>
      </c>
      <c r="AA347" s="1">
        <f t="shared" si="77"/>
        <v>0.139857656789725</v>
      </c>
    </row>
    <row r="348" spans="1:27" x14ac:dyDescent="0.25">
      <c r="A348" s="1">
        <f>35</f>
        <v>35</v>
      </c>
      <c r="B348" s="1">
        <v>0.5</v>
      </c>
      <c r="C348" s="1">
        <v>3.5714290000000002</v>
      </c>
      <c r="D348" s="1">
        <f t="shared" si="65"/>
        <v>0.12500001499999999</v>
      </c>
      <c r="E348" s="1">
        <v>15</v>
      </c>
      <c r="F348" s="1">
        <v>1</v>
      </c>
      <c r="G348" s="1">
        <v>125</v>
      </c>
      <c r="H348" s="1">
        <v>47.874445540000004</v>
      </c>
      <c r="J348" s="1">
        <f t="shared" si="66"/>
        <v>3.5000000000000003E-2</v>
      </c>
      <c r="K348" s="1">
        <f t="shared" si="67"/>
        <v>0.12500001499999999</v>
      </c>
      <c r="L348" s="1">
        <f t="shared" si="68"/>
        <v>5.0000000000000001E-4</v>
      </c>
      <c r="M348" s="1">
        <f t="shared" si="69"/>
        <v>0.6080553310689355</v>
      </c>
      <c r="N348" s="1">
        <f t="shared" si="70"/>
        <v>3.4722222222222224E-2</v>
      </c>
      <c r="O348" s="1">
        <v>370</v>
      </c>
      <c r="P348" s="1">
        <v>3</v>
      </c>
      <c r="Q348" s="1">
        <v>4148</v>
      </c>
      <c r="R348" s="1">
        <f>[1]!HeatTransferArea(J348,D348,0.36,L348)</f>
        <v>0.92362835099078811</v>
      </c>
      <c r="S348" s="1">
        <f>[1]!Convection(J348,N348,1000,9*10^-4,L348,0.6,0.36,7)</f>
        <v>20550.079694253804</v>
      </c>
      <c r="U348" s="1">
        <f t="shared" si="71"/>
        <v>0.32008950861425239</v>
      </c>
      <c r="V348" s="1">
        <f t="shared" si="72"/>
        <v>1.4076579954955156E-5</v>
      </c>
      <c r="W348" s="1">
        <f t="shared" si="73"/>
        <v>1.1036036036036037E-6</v>
      </c>
      <c r="X348" s="1">
        <f t="shared" si="74"/>
        <v>3.5714290000000002</v>
      </c>
      <c r="Y348" s="1">
        <f t="shared" si="75"/>
        <v>84.365705210757994</v>
      </c>
      <c r="Z348" s="1">
        <f t="shared" si="76"/>
        <v>5</v>
      </c>
      <c r="AA348" s="1">
        <f t="shared" si="77"/>
        <v>7.0931260550411046E-2</v>
      </c>
    </row>
    <row r="349" spans="1:27" x14ac:dyDescent="0.25">
      <c r="A349" s="1">
        <f>35</f>
        <v>35</v>
      </c>
      <c r="B349" s="1">
        <v>0.5</v>
      </c>
      <c r="C349" s="1">
        <v>3.5714290000000002</v>
      </c>
      <c r="D349" s="1">
        <f t="shared" si="65"/>
        <v>0.12500001499999999</v>
      </c>
      <c r="E349" s="1">
        <v>15</v>
      </c>
      <c r="F349" s="1">
        <v>1.5</v>
      </c>
      <c r="G349" s="1">
        <v>125</v>
      </c>
      <c r="H349" s="1">
        <v>47.684476549999999</v>
      </c>
      <c r="J349" s="1">
        <f t="shared" si="66"/>
        <v>3.5000000000000003E-2</v>
      </c>
      <c r="K349" s="1">
        <f t="shared" si="67"/>
        <v>0.12500001499999999</v>
      </c>
      <c r="L349" s="1">
        <f t="shared" si="68"/>
        <v>5.0000000000000001E-4</v>
      </c>
      <c r="M349" s="1">
        <f t="shared" si="69"/>
        <v>0.6080553310689355</v>
      </c>
      <c r="N349" s="1">
        <f t="shared" si="70"/>
        <v>3.4722222222222224E-2</v>
      </c>
      <c r="O349" s="1">
        <v>370</v>
      </c>
      <c r="P349" s="1">
        <v>3</v>
      </c>
      <c r="Q349" s="1">
        <v>4148</v>
      </c>
      <c r="R349" s="1">
        <f>[1]!HeatTransferArea(J349,D349,0.36,L349)</f>
        <v>0.92362835099078811</v>
      </c>
      <c r="S349" s="1">
        <f>[1]!Convection(J349,N349,1000,9*10^-4,L349,0.6,0.36,7)</f>
        <v>20550.079694253804</v>
      </c>
      <c r="U349" s="1">
        <f t="shared" si="71"/>
        <v>0.21339300574283493</v>
      </c>
      <c r="V349" s="1">
        <f t="shared" si="72"/>
        <v>2.1114869932432732E-5</v>
      </c>
      <c r="W349" s="1">
        <f t="shared" si="73"/>
        <v>1.6554054054054055E-6</v>
      </c>
      <c r="X349" s="1">
        <f t="shared" si="74"/>
        <v>3.5714290000000002</v>
      </c>
      <c r="Y349" s="1">
        <f t="shared" si="75"/>
        <v>56.243803473838668</v>
      </c>
      <c r="Z349" s="1">
        <f t="shared" si="76"/>
        <v>5</v>
      </c>
      <c r="AA349" s="1">
        <f t="shared" si="77"/>
        <v>4.7099867054711177E-2</v>
      </c>
    </row>
    <row r="350" spans="1:27" x14ac:dyDescent="0.25">
      <c r="A350" s="1">
        <f>35</f>
        <v>35</v>
      </c>
      <c r="B350" s="1">
        <v>0.5</v>
      </c>
      <c r="C350" s="1">
        <v>3.5714290000000002</v>
      </c>
      <c r="D350" s="1">
        <f t="shared" si="65"/>
        <v>0.12500001499999999</v>
      </c>
      <c r="E350" s="1">
        <v>20</v>
      </c>
      <c r="F350" s="1">
        <v>0.5</v>
      </c>
      <c r="G350" s="1">
        <v>125</v>
      </c>
      <c r="H350" s="1">
        <v>29.459596019999999</v>
      </c>
      <c r="J350" s="1">
        <f t="shared" si="66"/>
        <v>3.5000000000000003E-2</v>
      </c>
      <c r="K350" s="1">
        <f t="shared" si="67"/>
        <v>0.12500001499999999</v>
      </c>
      <c r="L350" s="1">
        <f t="shared" si="68"/>
        <v>5.0000000000000001E-4</v>
      </c>
      <c r="M350" s="1">
        <f t="shared" si="69"/>
        <v>0.6080553310689355</v>
      </c>
      <c r="N350" s="1">
        <f t="shared" si="70"/>
        <v>3.4722222222222224E-2</v>
      </c>
      <c r="O350" s="1">
        <v>370</v>
      </c>
      <c r="P350" s="1">
        <v>3</v>
      </c>
      <c r="Q350" s="1">
        <v>4148</v>
      </c>
      <c r="R350" s="1">
        <f>[1]!HeatTransferArea(J350,D350,0.36,L350)</f>
        <v>0.92362835099078811</v>
      </c>
      <c r="S350" s="1">
        <f>[1]!Convection(J350,N350,1000,9*10^-4,L350,0.6,0.36,7)</f>
        <v>20550.079694253804</v>
      </c>
      <c r="U350" s="1">
        <f t="shared" si="71"/>
        <v>0.64017901722850479</v>
      </c>
      <c r="V350" s="1">
        <f t="shared" si="72"/>
        <v>7.0382899774775779E-6</v>
      </c>
      <c r="W350" s="1">
        <f t="shared" si="73"/>
        <v>5.5180180180180184E-7</v>
      </c>
      <c r="X350" s="1">
        <f t="shared" si="74"/>
        <v>3.5714290000000002</v>
      </c>
      <c r="Y350" s="1">
        <f t="shared" si="75"/>
        <v>168.73141042151599</v>
      </c>
      <c r="Z350" s="1">
        <f t="shared" si="76"/>
        <v>6.666666666666667</v>
      </c>
      <c r="AA350" s="1">
        <f t="shared" si="77"/>
        <v>8.729526817218454E-2</v>
      </c>
    </row>
    <row r="351" spans="1:27" x14ac:dyDescent="0.25">
      <c r="A351" s="1">
        <f>35</f>
        <v>35</v>
      </c>
      <c r="B351" s="1">
        <v>0.5</v>
      </c>
      <c r="C351" s="1">
        <v>3.5714290000000002</v>
      </c>
      <c r="D351" s="1">
        <f t="shared" si="65"/>
        <v>0.12500001499999999</v>
      </c>
      <c r="E351" s="1">
        <v>20</v>
      </c>
      <c r="F351" s="1">
        <v>1</v>
      </c>
      <c r="G351" s="1">
        <v>125</v>
      </c>
      <c r="H351" s="1">
        <v>31.116413619999999</v>
      </c>
      <c r="J351" s="1">
        <f t="shared" si="66"/>
        <v>3.5000000000000003E-2</v>
      </c>
      <c r="K351" s="1">
        <f t="shared" si="67"/>
        <v>0.12500001499999999</v>
      </c>
      <c r="L351" s="1">
        <f t="shared" si="68"/>
        <v>5.0000000000000001E-4</v>
      </c>
      <c r="M351" s="1">
        <f t="shared" si="69"/>
        <v>0.6080553310689355</v>
      </c>
      <c r="N351" s="1">
        <f t="shared" si="70"/>
        <v>3.4722222222222224E-2</v>
      </c>
      <c r="O351" s="1">
        <v>370</v>
      </c>
      <c r="P351" s="1">
        <v>3</v>
      </c>
      <c r="Q351" s="1">
        <v>4148</v>
      </c>
      <c r="R351" s="1">
        <f>[1]!HeatTransferArea(J351,D351,0.36,L351)</f>
        <v>0.92362835099078811</v>
      </c>
      <c r="S351" s="1">
        <f>[1]!Convection(J351,N351,1000,9*10^-4,L351,0.6,0.36,7)</f>
        <v>20550.079694253804</v>
      </c>
      <c r="U351" s="1">
        <f t="shared" si="71"/>
        <v>0.32008950861425239</v>
      </c>
      <c r="V351" s="1">
        <f t="shared" si="72"/>
        <v>1.4076579954955156E-5</v>
      </c>
      <c r="W351" s="1">
        <f t="shared" si="73"/>
        <v>1.1036036036036037E-6</v>
      </c>
      <c r="X351" s="1">
        <f t="shared" si="74"/>
        <v>3.5714290000000002</v>
      </c>
      <c r="Y351" s="1">
        <f t="shared" si="75"/>
        <v>84.365705210757994</v>
      </c>
      <c r="Z351" s="1">
        <f t="shared" si="76"/>
        <v>6.666666666666667</v>
      </c>
      <c r="AA351" s="1">
        <f t="shared" si="77"/>
        <v>4.6102391724421814E-2</v>
      </c>
    </row>
    <row r="352" spans="1:27" x14ac:dyDescent="0.25">
      <c r="A352" s="1">
        <f>35</f>
        <v>35</v>
      </c>
      <c r="B352" s="1">
        <v>0.5</v>
      </c>
      <c r="C352" s="1">
        <v>3.5714290000000002</v>
      </c>
      <c r="D352" s="1">
        <f t="shared" si="65"/>
        <v>0.12500001499999999</v>
      </c>
      <c r="E352" s="1">
        <v>20</v>
      </c>
      <c r="F352" s="1">
        <v>1.5</v>
      </c>
      <c r="G352" s="1">
        <v>125</v>
      </c>
      <c r="H352" s="1">
        <v>31.246745050000001</v>
      </c>
      <c r="J352" s="1">
        <f t="shared" si="66"/>
        <v>3.5000000000000003E-2</v>
      </c>
      <c r="K352" s="1">
        <f t="shared" si="67"/>
        <v>0.12500001499999999</v>
      </c>
      <c r="L352" s="1">
        <f t="shared" si="68"/>
        <v>5.0000000000000001E-4</v>
      </c>
      <c r="M352" s="1">
        <f t="shared" si="69"/>
        <v>0.6080553310689355</v>
      </c>
      <c r="N352" s="1">
        <f t="shared" si="70"/>
        <v>3.4722222222222224E-2</v>
      </c>
      <c r="O352" s="1">
        <v>370</v>
      </c>
      <c r="P352" s="1">
        <v>3</v>
      </c>
      <c r="Q352" s="1">
        <v>4148</v>
      </c>
      <c r="R352" s="1">
        <f>[1]!HeatTransferArea(J352,D352,0.36,L352)</f>
        <v>0.92362835099078811</v>
      </c>
      <c r="S352" s="1">
        <f>[1]!Convection(J352,N352,1000,9*10^-4,L352,0.6,0.36,7)</f>
        <v>20550.079694253804</v>
      </c>
      <c r="U352" s="1">
        <f t="shared" si="71"/>
        <v>0.21339300574283493</v>
      </c>
      <c r="V352" s="1">
        <f t="shared" si="72"/>
        <v>2.1114869932432732E-5</v>
      </c>
      <c r="W352" s="1">
        <f t="shared" si="73"/>
        <v>1.6554054054054055E-6</v>
      </c>
      <c r="X352" s="1">
        <f t="shared" si="74"/>
        <v>3.5714290000000002</v>
      </c>
      <c r="Y352" s="1">
        <f t="shared" si="75"/>
        <v>56.243803473838668</v>
      </c>
      <c r="Z352" s="1">
        <f t="shared" si="76"/>
        <v>6.666666666666667</v>
      </c>
      <c r="AA352" s="1">
        <f t="shared" si="77"/>
        <v>3.0863661388927519E-2</v>
      </c>
    </row>
    <row r="353" spans="1:27" x14ac:dyDescent="0.25">
      <c r="A353" s="1">
        <f>25</f>
        <v>25</v>
      </c>
      <c r="B353" s="1">
        <v>0.3</v>
      </c>
      <c r="C353" s="1">
        <v>3</v>
      </c>
      <c r="D353" s="1">
        <f t="shared" si="65"/>
        <v>7.4999999999999997E-2</v>
      </c>
      <c r="E353" s="1">
        <v>10</v>
      </c>
      <c r="F353" s="1">
        <v>0.5</v>
      </c>
      <c r="G353" s="1">
        <v>100</v>
      </c>
      <c r="H353" s="1">
        <v>12.21349946</v>
      </c>
      <c r="J353" s="1">
        <f t="shared" si="66"/>
        <v>2.5000000000000001E-2</v>
      </c>
      <c r="K353" s="1">
        <f t="shared" si="67"/>
        <v>7.4999999999999997E-2</v>
      </c>
      <c r="L353" s="1">
        <f t="shared" si="68"/>
        <v>2.9999999999999997E-4</v>
      </c>
      <c r="M353" s="1">
        <f t="shared" si="69"/>
        <v>0.18613936472519524</v>
      </c>
      <c r="N353" s="1">
        <f t="shared" si="70"/>
        <v>2.7777777777777776E-2</v>
      </c>
      <c r="O353" s="1">
        <v>370</v>
      </c>
      <c r="P353" s="1">
        <v>3</v>
      </c>
      <c r="Q353" s="1">
        <v>4148</v>
      </c>
      <c r="R353" s="1">
        <f>[1]!HeatTransferArea(J353,D353,0.36,L353)</f>
        <v>0.47123889803846908</v>
      </c>
      <c r="S353" s="1">
        <f>[1]!Convection(J353,N353,1000,9*10^-4,L353,0.6,0.36,7)</f>
        <v>34185.213621900613</v>
      </c>
      <c r="U353" s="1">
        <f t="shared" si="71"/>
        <v>1.6730013657839657</v>
      </c>
      <c r="V353" s="1">
        <f t="shared" si="72"/>
        <v>2.5337837837837837E-6</v>
      </c>
      <c r="W353" s="1">
        <f t="shared" si="73"/>
        <v>2.815315315315316E-7</v>
      </c>
      <c r="X353" s="1">
        <f t="shared" si="74"/>
        <v>3</v>
      </c>
      <c r="Y353" s="1">
        <f t="shared" si="75"/>
        <v>467.8099708778737</v>
      </c>
      <c r="Z353" s="1">
        <f t="shared" si="76"/>
        <v>3.3333333333333335</v>
      </c>
      <c r="AA353" s="1">
        <f t="shared" si="77"/>
        <v>0.11822488685196758</v>
      </c>
    </row>
    <row r="354" spans="1:27" x14ac:dyDescent="0.25">
      <c r="A354" s="1">
        <f>25</f>
        <v>25</v>
      </c>
      <c r="B354" s="1">
        <v>0.3</v>
      </c>
      <c r="C354" s="1">
        <v>3</v>
      </c>
      <c r="D354" s="1">
        <f t="shared" si="65"/>
        <v>7.4999999999999997E-2</v>
      </c>
      <c r="E354" s="1">
        <v>10</v>
      </c>
      <c r="F354" s="1">
        <v>1</v>
      </c>
      <c r="G354" s="1">
        <v>100</v>
      </c>
      <c r="H354" s="1">
        <v>48.980884140000001</v>
      </c>
      <c r="J354" s="1">
        <f t="shared" si="66"/>
        <v>2.5000000000000001E-2</v>
      </c>
      <c r="K354" s="1">
        <f t="shared" si="67"/>
        <v>7.4999999999999997E-2</v>
      </c>
      <c r="L354" s="1">
        <f t="shared" si="68"/>
        <v>2.9999999999999997E-4</v>
      </c>
      <c r="M354" s="1">
        <f t="shared" si="69"/>
        <v>0.18613936472519524</v>
      </c>
      <c r="N354" s="1">
        <f t="shared" si="70"/>
        <v>2.7777777777777776E-2</v>
      </c>
      <c r="O354" s="1">
        <v>370</v>
      </c>
      <c r="P354" s="1">
        <v>3</v>
      </c>
      <c r="Q354" s="1">
        <v>4148</v>
      </c>
      <c r="R354" s="1">
        <f>[1]!HeatTransferArea(J354,D354,0.36,L354)</f>
        <v>0.47123889803846908</v>
      </c>
      <c r="S354" s="1">
        <f>[1]!Convection(J354,N354,1000,9*10^-4,L354,0.6,0.36,7)</f>
        <v>34185.213621900613</v>
      </c>
      <c r="U354" s="1">
        <f t="shared" si="71"/>
        <v>0.83650068289198287</v>
      </c>
      <c r="V354" s="1">
        <f t="shared" si="72"/>
        <v>5.0675675675675673E-6</v>
      </c>
      <c r="W354" s="1">
        <f t="shared" si="73"/>
        <v>5.630630630630632E-7</v>
      </c>
      <c r="X354" s="1">
        <f t="shared" si="74"/>
        <v>3</v>
      </c>
      <c r="Y354" s="1">
        <f t="shared" si="75"/>
        <v>233.90498543893685</v>
      </c>
      <c r="Z354" s="1">
        <f t="shared" si="76"/>
        <v>3.3333333333333335</v>
      </c>
      <c r="AA354" s="1">
        <f t="shared" si="77"/>
        <v>0.2370638941085618</v>
      </c>
    </row>
    <row r="355" spans="1:27" x14ac:dyDescent="0.25">
      <c r="A355" s="1">
        <f>25</f>
        <v>25</v>
      </c>
      <c r="B355" s="1">
        <v>0.3</v>
      </c>
      <c r="C355" s="1">
        <v>3</v>
      </c>
      <c r="D355" s="1">
        <f t="shared" si="65"/>
        <v>7.4999999999999997E-2</v>
      </c>
      <c r="E355" s="1">
        <v>10</v>
      </c>
      <c r="F355" s="1">
        <v>1.5</v>
      </c>
      <c r="G355" s="1">
        <v>100</v>
      </c>
      <c r="H355" s="1">
        <v>50.551791020000003</v>
      </c>
      <c r="J355" s="1">
        <f t="shared" si="66"/>
        <v>2.5000000000000001E-2</v>
      </c>
      <c r="K355" s="1">
        <f t="shared" si="67"/>
        <v>7.4999999999999997E-2</v>
      </c>
      <c r="L355" s="1">
        <f t="shared" si="68"/>
        <v>2.9999999999999997E-4</v>
      </c>
      <c r="M355" s="1">
        <f t="shared" si="69"/>
        <v>0.18613936472519524</v>
      </c>
      <c r="N355" s="1">
        <f t="shared" si="70"/>
        <v>2.7777777777777776E-2</v>
      </c>
      <c r="O355" s="1">
        <v>370</v>
      </c>
      <c r="P355" s="1">
        <v>3</v>
      </c>
      <c r="Q355" s="1">
        <v>4148</v>
      </c>
      <c r="R355" s="1">
        <f>[1]!HeatTransferArea(J355,D355,0.36,L355)</f>
        <v>0.47123889803846908</v>
      </c>
      <c r="S355" s="1">
        <f>[1]!Convection(J355,N355,1000,9*10^-4,L355,0.6,0.36,7)</f>
        <v>34185.213621900613</v>
      </c>
      <c r="U355" s="1">
        <f t="shared" si="71"/>
        <v>0.55766712192798862</v>
      </c>
      <c r="V355" s="1">
        <f t="shared" si="72"/>
        <v>7.6013513513513518E-6</v>
      </c>
      <c r="W355" s="1">
        <f t="shared" si="73"/>
        <v>8.445945945945948E-7</v>
      </c>
      <c r="X355" s="1">
        <f t="shared" si="74"/>
        <v>3</v>
      </c>
      <c r="Y355" s="1">
        <f t="shared" si="75"/>
        <v>155.93665695929124</v>
      </c>
      <c r="Z355" s="1">
        <f t="shared" si="76"/>
        <v>3.3333333333333335</v>
      </c>
      <c r="AA355" s="1">
        <f t="shared" si="77"/>
        <v>0.16311131228406101</v>
      </c>
    </row>
    <row r="356" spans="1:27" x14ac:dyDescent="0.25">
      <c r="A356" s="1">
        <f>25</f>
        <v>25</v>
      </c>
      <c r="B356" s="1">
        <v>0.3</v>
      </c>
      <c r="C356" s="1">
        <v>4</v>
      </c>
      <c r="D356" s="1">
        <f t="shared" si="65"/>
        <v>0.1</v>
      </c>
      <c r="E356" s="1">
        <v>10</v>
      </c>
      <c r="F356" s="1">
        <v>0.5</v>
      </c>
      <c r="G356" s="1">
        <v>100</v>
      </c>
      <c r="H356" s="1">
        <v>42.028898699999999</v>
      </c>
      <c r="J356" s="1">
        <f t="shared" si="66"/>
        <v>2.5000000000000001E-2</v>
      </c>
      <c r="K356" s="1">
        <f t="shared" si="67"/>
        <v>0.1</v>
      </c>
      <c r="L356" s="1">
        <f t="shared" si="68"/>
        <v>2.9999999999999997E-4</v>
      </c>
      <c r="M356" s="1">
        <f t="shared" si="69"/>
        <v>0.24818581963359368</v>
      </c>
      <c r="N356" s="1">
        <f t="shared" si="70"/>
        <v>2.7777777777777776E-2</v>
      </c>
      <c r="O356" s="1">
        <v>370</v>
      </c>
      <c r="P356" s="1">
        <v>3</v>
      </c>
      <c r="Q356" s="1">
        <v>4148</v>
      </c>
      <c r="R356" s="1">
        <f>[1]!HeatTransferArea(J356,D356,0.36,L356)</f>
        <v>0.62831853071795885</v>
      </c>
      <c r="S356" s="1">
        <f>[1]!Convection(J356,N356,1000,9*10^-4,L356,0.6,0.36,7)</f>
        <v>34185.213621900613</v>
      </c>
      <c r="U356" s="1">
        <f t="shared" si="71"/>
        <v>1.2547510243379743</v>
      </c>
      <c r="V356" s="1">
        <f t="shared" si="72"/>
        <v>4.5045045045045056E-6</v>
      </c>
      <c r="W356" s="1">
        <f t="shared" si="73"/>
        <v>2.815315315315316E-7</v>
      </c>
      <c r="X356" s="1">
        <f t="shared" si="74"/>
        <v>4</v>
      </c>
      <c r="Y356" s="1">
        <f t="shared" si="75"/>
        <v>467.8099708778737</v>
      </c>
      <c r="Z356" s="1">
        <f t="shared" si="76"/>
        <v>3.3333333333333335</v>
      </c>
      <c r="AA356" s="1">
        <f t="shared" si="77"/>
        <v>0.3051251901386034</v>
      </c>
    </row>
    <row r="357" spans="1:27" x14ac:dyDescent="0.25">
      <c r="A357" s="1">
        <f>25</f>
        <v>25</v>
      </c>
      <c r="B357" s="1">
        <v>0.3</v>
      </c>
      <c r="C357" s="1">
        <v>4</v>
      </c>
      <c r="D357" s="1">
        <f t="shared" si="65"/>
        <v>0.1</v>
      </c>
      <c r="E357" s="1">
        <v>10</v>
      </c>
      <c r="F357" s="1">
        <v>1</v>
      </c>
      <c r="G357" s="1">
        <v>100</v>
      </c>
      <c r="H357" s="1">
        <v>49.445233780000002</v>
      </c>
      <c r="J357" s="1">
        <f t="shared" si="66"/>
        <v>2.5000000000000001E-2</v>
      </c>
      <c r="K357" s="1">
        <f t="shared" si="67"/>
        <v>0.1</v>
      </c>
      <c r="L357" s="1">
        <f t="shared" si="68"/>
        <v>2.9999999999999997E-4</v>
      </c>
      <c r="M357" s="1">
        <f t="shared" si="69"/>
        <v>0.24818581963359368</v>
      </c>
      <c r="N357" s="1">
        <f t="shared" si="70"/>
        <v>2.7777777777777776E-2</v>
      </c>
      <c r="O357" s="1">
        <v>370</v>
      </c>
      <c r="P357" s="1">
        <v>3</v>
      </c>
      <c r="Q357" s="1">
        <v>4148</v>
      </c>
      <c r="R357" s="1">
        <f>[1]!HeatTransferArea(J357,D357,0.36,L357)</f>
        <v>0.62831853071795885</v>
      </c>
      <c r="S357" s="1">
        <f>[1]!Convection(J357,N357,1000,9*10^-4,L357,0.6,0.36,7)</f>
        <v>34185.213621900613</v>
      </c>
      <c r="U357" s="1">
        <f t="shared" si="71"/>
        <v>0.62737551216898713</v>
      </c>
      <c r="V357" s="1">
        <f t="shared" si="72"/>
        <v>9.0090090090090112E-6</v>
      </c>
      <c r="W357" s="1">
        <f t="shared" si="73"/>
        <v>5.630630630630632E-7</v>
      </c>
      <c r="X357" s="1">
        <f t="shared" si="74"/>
        <v>4</v>
      </c>
      <c r="Y357" s="1">
        <f t="shared" si="75"/>
        <v>233.90498543893685</v>
      </c>
      <c r="Z357" s="1">
        <f t="shared" si="76"/>
        <v>3.3333333333333335</v>
      </c>
      <c r="AA357" s="1">
        <f t="shared" si="77"/>
        <v>0.17948348428375779</v>
      </c>
    </row>
    <row r="358" spans="1:27" x14ac:dyDescent="0.25">
      <c r="A358" s="1">
        <f>25</f>
        <v>25</v>
      </c>
      <c r="B358" s="1">
        <v>0.3</v>
      </c>
      <c r="C358" s="1">
        <v>4</v>
      </c>
      <c r="D358" s="1">
        <f t="shared" si="65"/>
        <v>0.1</v>
      </c>
      <c r="E358" s="1">
        <v>10</v>
      </c>
      <c r="F358" s="1">
        <v>1.5</v>
      </c>
      <c r="G358" s="1">
        <v>100</v>
      </c>
      <c r="H358" s="1">
        <v>49.785726160000003</v>
      </c>
      <c r="J358" s="1">
        <f t="shared" si="66"/>
        <v>2.5000000000000001E-2</v>
      </c>
      <c r="K358" s="1">
        <f t="shared" si="67"/>
        <v>0.1</v>
      </c>
      <c r="L358" s="1">
        <f t="shared" si="68"/>
        <v>2.9999999999999997E-4</v>
      </c>
      <c r="M358" s="1">
        <f t="shared" si="69"/>
        <v>0.24818581963359368</v>
      </c>
      <c r="N358" s="1">
        <f t="shared" si="70"/>
        <v>2.7777777777777776E-2</v>
      </c>
      <c r="O358" s="1">
        <v>370</v>
      </c>
      <c r="P358" s="1">
        <v>3</v>
      </c>
      <c r="Q358" s="1">
        <v>4148</v>
      </c>
      <c r="R358" s="1">
        <f>[1]!HeatTransferArea(J358,D358,0.36,L358)</f>
        <v>0.62831853071795885</v>
      </c>
      <c r="S358" s="1">
        <f>[1]!Convection(J358,N358,1000,9*10^-4,L358,0.6,0.36,7)</f>
        <v>34185.213621900613</v>
      </c>
      <c r="U358" s="1">
        <f t="shared" si="71"/>
        <v>0.41825034144599144</v>
      </c>
      <c r="V358" s="1">
        <f t="shared" si="72"/>
        <v>1.3513513513513517E-5</v>
      </c>
      <c r="W358" s="1">
        <f t="shared" si="73"/>
        <v>8.445945945945948E-7</v>
      </c>
      <c r="X358" s="1">
        <f t="shared" si="74"/>
        <v>4</v>
      </c>
      <c r="Y358" s="1">
        <f t="shared" si="75"/>
        <v>155.93665695929124</v>
      </c>
      <c r="Z358" s="1">
        <f t="shared" si="76"/>
        <v>3.3333333333333335</v>
      </c>
      <c r="AA358" s="1">
        <f t="shared" si="77"/>
        <v>0.12047963528769508</v>
      </c>
    </row>
    <row r="359" spans="1:27" x14ac:dyDescent="0.25">
      <c r="A359" s="1">
        <f>25</f>
        <v>25</v>
      </c>
      <c r="B359" s="1">
        <v>0.3</v>
      </c>
      <c r="C359" s="1">
        <v>5</v>
      </c>
      <c r="D359" s="1">
        <f t="shared" si="65"/>
        <v>0.125</v>
      </c>
      <c r="E359" s="1">
        <v>10</v>
      </c>
      <c r="F359" s="1">
        <v>0.5</v>
      </c>
      <c r="G359" s="1">
        <v>100</v>
      </c>
      <c r="H359" s="1">
        <v>46.034613630000003</v>
      </c>
      <c r="J359" s="1">
        <f t="shared" si="66"/>
        <v>2.5000000000000001E-2</v>
      </c>
      <c r="K359" s="1">
        <f t="shared" si="67"/>
        <v>0.125</v>
      </c>
      <c r="L359" s="1">
        <f t="shared" si="68"/>
        <v>2.9999999999999997E-4</v>
      </c>
      <c r="M359" s="1">
        <f t="shared" si="69"/>
        <v>0.31023227454199215</v>
      </c>
      <c r="N359" s="1">
        <f t="shared" si="70"/>
        <v>2.7777777777777776E-2</v>
      </c>
      <c r="O359" s="1">
        <v>370</v>
      </c>
      <c r="P359" s="1">
        <v>3</v>
      </c>
      <c r="Q359" s="1">
        <v>4148</v>
      </c>
      <c r="R359" s="1">
        <f>[1]!HeatTransferArea(J359,D359,0.36,L359)</f>
        <v>0.7853981633974485</v>
      </c>
      <c r="S359" s="1">
        <f>[1]!Convection(J359,N359,1000,9*10^-4,L359,0.6,0.36,7)</f>
        <v>34185.213621900613</v>
      </c>
      <c r="U359" s="1">
        <f t="shared" si="71"/>
        <v>1.0038008194703791</v>
      </c>
      <c r="V359" s="1">
        <f t="shared" si="72"/>
        <v>7.0382882882882884E-6</v>
      </c>
      <c r="W359" s="1">
        <f t="shared" si="73"/>
        <v>2.815315315315316E-7</v>
      </c>
      <c r="X359" s="1">
        <f t="shared" si="74"/>
        <v>5</v>
      </c>
      <c r="Y359" s="1">
        <f t="shared" si="75"/>
        <v>467.80997087787358</v>
      </c>
      <c r="Z359" s="1">
        <f t="shared" si="76"/>
        <v>3.3333333333333335</v>
      </c>
      <c r="AA359" s="1">
        <f t="shared" si="77"/>
        <v>0.26736499258898533</v>
      </c>
    </row>
    <row r="360" spans="1:27" x14ac:dyDescent="0.25">
      <c r="A360" s="1">
        <f>25</f>
        <v>25</v>
      </c>
      <c r="B360" s="1">
        <v>0.3</v>
      </c>
      <c r="C360" s="1">
        <v>5</v>
      </c>
      <c r="D360" s="1">
        <f t="shared" si="65"/>
        <v>0.125</v>
      </c>
      <c r="E360" s="1">
        <v>10</v>
      </c>
      <c r="F360" s="1">
        <v>1</v>
      </c>
      <c r="G360" s="1">
        <v>100</v>
      </c>
      <c r="H360" s="1">
        <v>48.836247299999997</v>
      </c>
      <c r="J360" s="1">
        <f t="shared" si="66"/>
        <v>2.5000000000000001E-2</v>
      </c>
      <c r="K360" s="1">
        <f t="shared" si="67"/>
        <v>0.125</v>
      </c>
      <c r="L360" s="1">
        <f t="shared" si="68"/>
        <v>2.9999999999999997E-4</v>
      </c>
      <c r="M360" s="1">
        <f t="shared" si="69"/>
        <v>0.31023227454199215</v>
      </c>
      <c r="N360" s="1">
        <f t="shared" si="70"/>
        <v>2.7777777777777776E-2</v>
      </c>
      <c r="O360" s="1">
        <v>370</v>
      </c>
      <c r="P360" s="1">
        <v>3</v>
      </c>
      <c r="Q360" s="1">
        <v>4148</v>
      </c>
      <c r="R360" s="1">
        <f>[1]!HeatTransferArea(J360,D360,0.36,L360)</f>
        <v>0.7853981633974485</v>
      </c>
      <c r="S360" s="1">
        <f>[1]!Convection(J360,N360,1000,9*10^-4,L360,0.6,0.36,7)</f>
        <v>34185.213621900613</v>
      </c>
      <c r="U360" s="1">
        <f t="shared" si="71"/>
        <v>0.50190040973518957</v>
      </c>
      <c r="V360" s="1">
        <f t="shared" si="72"/>
        <v>1.4076576576576577E-5</v>
      </c>
      <c r="W360" s="1">
        <f t="shared" si="73"/>
        <v>5.630630630630632E-7</v>
      </c>
      <c r="X360" s="1">
        <f t="shared" si="74"/>
        <v>5</v>
      </c>
      <c r="Y360" s="1">
        <f t="shared" si="75"/>
        <v>233.90498543893679</v>
      </c>
      <c r="Z360" s="1">
        <f t="shared" si="76"/>
        <v>3.3333333333333335</v>
      </c>
      <c r="AA360" s="1">
        <f t="shared" si="77"/>
        <v>0.14181831743374568</v>
      </c>
    </row>
    <row r="361" spans="1:27" x14ac:dyDescent="0.25">
      <c r="A361" s="1">
        <f>25</f>
        <v>25</v>
      </c>
      <c r="B361" s="1">
        <v>0.3</v>
      </c>
      <c r="C361" s="1">
        <v>5</v>
      </c>
      <c r="D361" s="1">
        <f t="shared" si="65"/>
        <v>0.125</v>
      </c>
      <c r="E361" s="1">
        <v>10</v>
      </c>
      <c r="F361" s="1">
        <v>1.5</v>
      </c>
      <c r="G361" s="1">
        <v>100</v>
      </c>
      <c r="H361" s="1">
        <v>48.734413250000003</v>
      </c>
      <c r="J361" s="1">
        <f t="shared" si="66"/>
        <v>2.5000000000000001E-2</v>
      </c>
      <c r="K361" s="1">
        <f t="shared" si="67"/>
        <v>0.125</v>
      </c>
      <c r="L361" s="1">
        <f t="shared" si="68"/>
        <v>2.9999999999999997E-4</v>
      </c>
      <c r="M361" s="1">
        <f t="shared" si="69"/>
        <v>0.31023227454199215</v>
      </c>
      <c r="N361" s="1">
        <f t="shared" si="70"/>
        <v>2.7777777777777776E-2</v>
      </c>
      <c r="O361" s="1">
        <v>370</v>
      </c>
      <c r="P361" s="1">
        <v>3</v>
      </c>
      <c r="Q361" s="1">
        <v>4148</v>
      </c>
      <c r="R361" s="1">
        <f>[1]!HeatTransferArea(J361,D361,0.36,L361)</f>
        <v>0.7853981633974485</v>
      </c>
      <c r="S361" s="1">
        <f>[1]!Convection(J361,N361,1000,9*10^-4,L361,0.6,0.36,7)</f>
        <v>34185.213621900613</v>
      </c>
      <c r="U361" s="1">
        <f t="shared" si="71"/>
        <v>0.33460027315679308</v>
      </c>
      <c r="V361" s="1">
        <f t="shared" si="72"/>
        <v>2.1114864864864866E-5</v>
      </c>
      <c r="W361" s="1">
        <f t="shared" si="73"/>
        <v>8.445945945945948E-7</v>
      </c>
      <c r="X361" s="1">
        <f t="shared" si="74"/>
        <v>5</v>
      </c>
      <c r="Y361" s="1">
        <f t="shared" si="75"/>
        <v>155.93665695929118</v>
      </c>
      <c r="Z361" s="1">
        <f t="shared" si="76"/>
        <v>3.3333333333333335</v>
      </c>
      <c r="AA361" s="1">
        <f t="shared" si="77"/>
        <v>9.4348397216505522E-2</v>
      </c>
    </row>
    <row r="362" spans="1:27" x14ac:dyDescent="0.25">
      <c r="A362" s="1">
        <f>25</f>
        <v>25</v>
      </c>
      <c r="B362" s="1">
        <v>0.4</v>
      </c>
      <c r="C362" s="1">
        <v>3</v>
      </c>
      <c r="D362" s="1">
        <f t="shared" si="65"/>
        <v>7.4999999999999997E-2</v>
      </c>
      <c r="E362" s="1">
        <v>10</v>
      </c>
      <c r="F362" s="1">
        <v>0.5</v>
      </c>
      <c r="G362" s="1">
        <v>100</v>
      </c>
      <c r="H362" s="1">
        <v>10.389395090000001</v>
      </c>
      <c r="J362" s="1">
        <f t="shared" si="66"/>
        <v>2.5000000000000001E-2</v>
      </c>
      <c r="K362" s="1">
        <f t="shared" si="67"/>
        <v>7.4999999999999997E-2</v>
      </c>
      <c r="L362" s="1">
        <f t="shared" si="68"/>
        <v>4.0000000000000002E-4</v>
      </c>
      <c r="M362" s="1">
        <f t="shared" si="69"/>
        <v>0.18613936472519524</v>
      </c>
      <c r="N362" s="1">
        <f t="shared" si="70"/>
        <v>2.7777777777777776E-2</v>
      </c>
      <c r="O362" s="1">
        <v>370</v>
      </c>
      <c r="P362" s="1">
        <v>3</v>
      </c>
      <c r="Q362" s="1">
        <v>4148</v>
      </c>
      <c r="R362" s="1">
        <f>[1]!HeatTransferArea(J362,D362,0.36,L362)</f>
        <v>0.35342917352885178</v>
      </c>
      <c r="S362" s="1">
        <f>[1]!Convection(J362,N362,1000,9*10^-4,L362,0.6,0.36,7)</f>
        <v>25884.883040575744</v>
      </c>
      <c r="U362" s="1">
        <f t="shared" si="71"/>
        <v>1.6730013657839657</v>
      </c>
      <c r="V362" s="1">
        <f t="shared" si="72"/>
        <v>2.5337837837837837E-6</v>
      </c>
      <c r="W362" s="1">
        <f t="shared" si="73"/>
        <v>2.815315315315316E-7</v>
      </c>
      <c r="X362" s="1">
        <f t="shared" si="74"/>
        <v>3</v>
      </c>
      <c r="Y362" s="1">
        <f t="shared" si="75"/>
        <v>265.66763298572437</v>
      </c>
      <c r="Z362" s="1">
        <f t="shared" si="76"/>
        <v>3.3333333333333335</v>
      </c>
      <c r="AA362" s="1">
        <f t="shared" si="77"/>
        <v>0.10056782357901194</v>
      </c>
    </row>
    <row r="363" spans="1:27" x14ac:dyDescent="0.25">
      <c r="A363" s="1">
        <f>25</f>
        <v>25</v>
      </c>
      <c r="B363" s="1">
        <v>0.4</v>
      </c>
      <c r="C363" s="1">
        <v>3</v>
      </c>
      <c r="D363" s="1">
        <f t="shared" si="65"/>
        <v>7.4999999999999997E-2</v>
      </c>
      <c r="E363" s="1">
        <v>10</v>
      </c>
      <c r="F363" s="1">
        <v>1</v>
      </c>
      <c r="G363" s="1">
        <v>100</v>
      </c>
      <c r="H363" s="1">
        <v>48.62765014</v>
      </c>
      <c r="J363" s="1">
        <f t="shared" si="66"/>
        <v>2.5000000000000001E-2</v>
      </c>
      <c r="K363" s="1">
        <f t="shared" si="67"/>
        <v>7.4999999999999997E-2</v>
      </c>
      <c r="L363" s="1">
        <f t="shared" si="68"/>
        <v>4.0000000000000002E-4</v>
      </c>
      <c r="M363" s="1">
        <f t="shared" si="69"/>
        <v>0.18613936472519524</v>
      </c>
      <c r="N363" s="1">
        <f t="shared" si="70"/>
        <v>2.7777777777777776E-2</v>
      </c>
      <c r="O363" s="1">
        <v>370</v>
      </c>
      <c r="P363" s="1">
        <v>3</v>
      </c>
      <c r="Q363" s="1">
        <v>4148</v>
      </c>
      <c r="R363" s="1">
        <f>[1]!HeatTransferArea(J363,D363,0.36,L363)</f>
        <v>0.35342917352885178</v>
      </c>
      <c r="S363" s="1">
        <f>[1]!Convection(J363,N363,1000,9*10^-4,L363,0.6,0.36,7)</f>
        <v>25884.883040575744</v>
      </c>
      <c r="U363" s="1">
        <f t="shared" si="71"/>
        <v>0.83650068289198287</v>
      </c>
      <c r="V363" s="1">
        <f t="shared" si="72"/>
        <v>5.0675675675675673E-6</v>
      </c>
      <c r="W363" s="1">
        <f t="shared" si="73"/>
        <v>5.630630630630632E-7</v>
      </c>
      <c r="X363" s="1">
        <f t="shared" si="74"/>
        <v>3</v>
      </c>
      <c r="Y363" s="1">
        <f t="shared" si="75"/>
        <v>132.83381649286218</v>
      </c>
      <c r="Z363" s="1">
        <f t="shared" si="76"/>
        <v>3.3333333333333335</v>
      </c>
      <c r="AA363" s="1">
        <f t="shared" si="77"/>
        <v>0.23535426740333132</v>
      </c>
    </row>
    <row r="364" spans="1:27" x14ac:dyDescent="0.25">
      <c r="A364" s="1">
        <f>25</f>
        <v>25</v>
      </c>
      <c r="B364" s="1">
        <v>0.4</v>
      </c>
      <c r="C364" s="1">
        <v>3</v>
      </c>
      <c r="D364" s="1">
        <f t="shared" si="65"/>
        <v>7.4999999999999997E-2</v>
      </c>
      <c r="E364" s="1">
        <v>10</v>
      </c>
      <c r="F364" s="1">
        <v>1.5</v>
      </c>
      <c r="G364" s="1">
        <v>100</v>
      </c>
      <c r="H364" s="1">
        <v>50.665215629999999</v>
      </c>
      <c r="J364" s="1">
        <f t="shared" si="66"/>
        <v>2.5000000000000001E-2</v>
      </c>
      <c r="K364" s="1">
        <f t="shared" si="67"/>
        <v>7.4999999999999997E-2</v>
      </c>
      <c r="L364" s="1">
        <f t="shared" si="68"/>
        <v>4.0000000000000002E-4</v>
      </c>
      <c r="M364" s="1">
        <f t="shared" si="69"/>
        <v>0.18613936472519524</v>
      </c>
      <c r="N364" s="1">
        <f t="shared" si="70"/>
        <v>2.7777777777777776E-2</v>
      </c>
      <c r="O364" s="1">
        <v>370</v>
      </c>
      <c r="P364" s="1">
        <v>3</v>
      </c>
      <c r="Q364" s="1">
        <v>4148</v>
      </c>
      <c r="R364" s="1">
        <f>[1]!HeatTransferArea(J364,D364,0.36,L364)</f>
        <v>0.35342917352885178</v>
      </c>
      <c r="S364" s="1">
        <f>[1]!Convection(J364,N364,1000,9*10^-4,L364,0.6,0.36,7)</f>
        <v>25884.883040575744</v>
      </c>
      <c r="U364" s="1">
        <f t="shared" si="71"/>
        <v>0.55766712192798862</v>
      </c>
      <c r="V364" s="1">
        <f t="shared" si="72"/>
        <v>7.6013513513513518E-6</v>
      </c>
      <c r="W364" s="1">
        <f t="shared" si="73"/>
        <v>8.445945945945948E-7</v>
      </c>
      <c r="X364" s="1">
        <f t="shared" si="74"/>
        <v>3</v>
      </c>
      <c r="Y364" s="1">
        <f t="shared" si="75"/>
        <v>88.555877661908127</v>
      </c>
      <c r="Z364" s="1">
        <f t="shared" si="76"/>
        <v>3.3333333333333335</v>
      </c>
      <c r="AA364" s="1">
        <f t="shared" si="77"/>
        <v>0.1634772901576261</v>
      </c>
    </row>
    <row r="365" spans="1:27" x14ac:dyDescent="0.25">
      <c r="A365" s="1">
        <f>25</f>
        <v>25</v>
      </c>
      <c r="B365" s="1">
        <v>0.4</v>
      </c>
      <c r="C365" s="1">
        <v>4</v>
      </c>
      <c r="D365" s="1">
        <f t="shared" si="65"/>
        <v>0.1</v>
      </c>
      <c r="E365" s="1">
        <v>10</v>
      </c>
      <c r="F365" s="1">
        <v>0.5</v>
      </c>
      <c r="G365" s="1">
        <v>100</v>
      </c>
      <c r="H365" s="1">
        <v>41.551920359999997</v>
      </c>
      <c r="J365" s="1">
        <f t="shared" si="66"/>
        <v>2.5000000000000001E-2</v>
      </c>
      <c r="K365" s="1">
        <f t="shared" si="67"/>
        <v>0.1</v>
      </c>
      <c r="L365" s="1">
        <f t="shared" si="68"/>
        <v>4.0000000000000002E-4</v>
      </c>
      <c r="M365" s="1">
        <f t="shared" si="69"/>
        <v>0.24818581963359368</v>
      </c>
      <c r="N365" s="1">
        <f t="shared" si="70"/>
        <v>2.7777777777777776E-2</v>
      </c>
      <c r="O365" s="1">
        <v>370</v>
      </c>
      <c r="P365" s="1">
        <v>3</v>
      </c>
      <c r="Q365" s="1">
        <v>4148</v>
      </c>
      <c r="R365" s="1">
        <f>[1]!HeatTransferArea(J365,D365,0.36,L365)</f>
        <v>0.47123889803846908</v>
      </c>
      <c r="S365" s="1">
        <f>[1]!Convection(J365,N365,1000,9*10^-4,L365,0.6,0.36,7)</f>
        <v>25884.883040575744</v>
      </c>
      <c r="U365" s="1">
        <f t="shared" si="71"/>
        <v>1.2547510243379743</v>
      </c>
      <c r="V365" s="1">
        <f t="shared" si="72"/>
        <v>4.5045045045045056E-6</v>
      </c>
      <c r="W365" s="1">
        <f t="shared" si="73"/>
        <v>2.815315315315316E-7</v>
      </c>
      <c r="X365" s="1">
        <f t="shared" si="74"/>
        <v>4</v>
      </c>
      <c r="Y365" s="1">
        <f t="shared" si="75"/>
        <v>265.66763298572437</v>
      </c>
      <c r="Z365" s="1">
        <f t="shared" si="76"/>
        <v>3.3333333333333335</v>
      </c>
      <c r="AA365" s="1">
        <f t="shared" si="77"/>
        <v>0.30166237975845667</v>
      </c>
    </row>
    <row r="366" spans="1:27" x14ac:dyDescent="0.25">
      <c r="A366" s="1">
        <f>25</f>
        <v>25</v>
      </c>
      <c r="B366" s="1">
        <v>0.4</v>
      </c>
      <c r="C366" s="1">
        <v>4</v>
      </c>
      <c r="D366" s="1">
        <f t="shared" si="65"/>
        <v>0.1</v>
      </c>
      <c r="E366" s="1">
        <v>10</v>
      </c>
      <c r="F366" s="1">
        <v>1</v>
      </c>
      <c r="G366" s="1">
        <v>100</v>
      </c>
      <c r="H366" s="1">
        <v>50.016092290000003</v>
      </c>
      <c r="J366" s="1">
        <f t="shared" si="66"/>
        <v>2.5000000000000001E-2</v>
      </c>
      <c r="K366" s="1">
        <f t="shared" si="67"/>
        <v>0.1</v>
      </c>
      <c r="L366" s="1">
        <f t="shared" si="68"/>
        <v>4.0000000000000002E-4</v>
      </c>
      <c r="M366" s="1">
        <f t="shared" si="69"/>
        <v>0.24818581963359368</v>
      </c>
      <c r="N366" s="1">
        <f t="shared" si="70"/>
        <v>2.7777777777777776E-2</v>
      </c>
      <c r="O366" s="1">
        <v>370</v>
      </c>
      <c r="P366" s="1">
        <v>3</v>
      </c>
      <c r="Q366" s="1">
        <v>4148</v>
      </c>
      <c r="R366" s="1">
        <f>[1]!HeatTransferArea(J366,D366,0.36,L366)</f>
        <v>0.47123889803846908</v>
      </c>
      <c r="S366" s="1">
        <f>[1]!Convection(J366,N366,1000,9*10^-4,L366,0.6,0.36,7)</f>
        <v>25884.883040575744</v>
      </c>
      <c r="U366" s="1">
        <f t="shared" si="71"/>
        <v>0.62737551216898713</v>
      </c>
      <c r="V366" s="1">
        <f t="shared" si="72"/>
        <v>9.0090090090090112E-6</v>
      </c>
      <c r="W366" s="1">
        <f t="shared" si="73"/>
        <v>5.630630630630632E-7</v>
      </c>
      <c r="X366" s="1">
        <f t="shared" si="74"/>
        <v>4</v>
      </c>
      <c r="Y366" s="1">
        <f t="shared" si="75"/>
        <v>132.83381649286218</v>
      </c>
      <c r="Z366" s="1">
        <f t="shared" si="76"/>
        <v>3.3333333333333335</v>
      </c>
      <c r="AA366" s="1">
        <f t="shared" si="77"/>
        <v>0.18155566933730038</v>
      </c>
    </row>
    <row r="367" spans="1:27" x14ac:dyDescent="0.25">
      <c r="A367" s="1">
        <f>25</f>
        <v>25</v>
      </c>
      <c r="B367" s="1">
        <v>0.4</v>
      </c>
      <c r="C367" s="1">
        <v>4</v>
      </c>
      <c r="D367" s="1">
        <f t="shared" si="65"/>
        <v>0.1</v>
      </c>
      <c r="E367" s="1">
        <v>10</v>
      </c>
      <c r="F367" s="1">
        <v>1.5</v>
      </c>
      <c r="G367" s="1">
        <v>100</v>
      </c>
      <c r="H367" s="1">
        <v>50.660508559999997</v>
      </c>
      <c r="J367" s="1">
        <f t="shared" si="66"/>
        <v>2.5000000000000001E-2</v>
      </c>
      <c r="K367" s="1">
        <f t="shared" si="67"/>
        <v>0.1</v>
      </c>
      <c r="L367" s="1">
        <f t="shared" si="68"/>
        <v>4.0000000000000002E-4</v>
      </c>
      <c r="M367" s="1">
        <f t="shared" si="69"/>
        <v>0.24818581963359368</v>
      </c>
      <c r="N367" s="1">
        <f t="shared" si="70"/>
        <v>2.7777777777777776E-2</v>
      </c>
      <c r="O367" s="1">
        <v>370</v>
      </c>
      <c r="P367" s="1">
        <v>3</v>
      </c>
      <c r="Q367" s="1">
        <v>4148</v>
      </c>
      <c r="R367" s="1">
        <f>[1]!HeatTransferArea(J367,D367,0.36,L367)</f>
        <v>0.47123889803846908</v>
      </c>
      <c r="S367" s="1">
        <f>[1]!Convection(J367,N367,1000,9*10^-4,L367,0.6,0.36,7)</f>
        <v>25884.883040575744</v>
      </c>
      <c r="U367" s="1">
        <f t="shared" si="71"/>
        <v>0.41825034144599144</v>
      </c>
      <c r="V367" s="1">
        <f t="shared" si="72"/>
        <v>1.3513513513513517E-5</v>
      </c>
      <c r="W367" s="1">
        <f t="shared" si="73"/>
        <v>8.445945945945948E-7</v>
      </c>
      <c r="X367" s="1">
        <f t="shared" si="74"/>
        <v>4</v>
      </c>
      <c r="Y367" s="1">
        <f t="shared" si="75"/>
        <v>88.555877661908141</v>
      </c>
      <c r="Z367" s="1">
        <f t="shared" si="76"/>
        <v>3.3333333333333335</v>
      </c>
      <c r="AA367" s="1">
        <f t="shared" si="77"/>
        <v>0.12259657668108528</v>
      </c>
    </row>
    <row r="368" spans="1:27" x14ac:dyDescent="0.25">
      <c r="A368" s="1">
        <f>25</f>
        <v>25</v>
      </c>
      <c r="B368" s="1">
        <v>0.4</v>
      </c>
      <c r="C368" s="1">
        <v>5</v>
      </c>
      <c r="D368" s="1">
        <f t="shared" si="65"/>
        <v>0.125</v>
      </c>
      <c r="E368" s="1">
        <v>10</v>
      </c>
      <c r="F368" s="1">
        <v>0.5</v>
      </c>
      <c r="G368" s="1">
        <v>100</v>
      </c>
      <c r="H368" s="1">
        <v>46.506139419999997</v>
      </c>
      <c r="J368" s="1">
        <f t="shared" si="66"/>
        <v>2.5000000000000001E-2</v>
      </c>
      <c r="K368" s="1">
        <f t="shared" si="67"/>
        <v>0.125</v>
      </c>
      <c r="L368" s="1">
        <f t="shared" si="68"/>
        <v>4.0000000000000002E-4</v>
      </c>
      <c r="M368" s="1">
        <f t="shared" si="69"/>
        <v>0.31023227454199215</v>
      </c>
      <c r="N368" s="1">
        <f t="shared" si="70"/>
        <v>2.7777777777777776E-2</v>
      </c>
      <c r="O368" s="1">
        <v>370</v>
      </c>
      <c r="P368" s="1">
        <v>3</v>
      </c>
      <c r="Q368" s="1">
        <v>4148</v>
      </c>
      <c r="R368" s="1">
        <f>[1]!HeatTransferArea(J368,D368,0.36,L368)</f>
        <v>0.58904862254808632</v>
      </c>
      <c r="S368" s="1">
        <f>[1]!Convection(J368,N368,1000,9*10^-4,L368,0.6,0.36,7)</f>
        <v>25884.883040575744</v>
      </c>
      <c r="U368" s="1">
        <f t="shared" si="71"/>
        <v>1.0038008194703791</v>
      </c>
      <c r="V368" s="1">
        <f t="shared" si="72"/>
        <v>7.0382882882882884E-6</v>
      </c>
      <c r="W368" s="1">
        <f t="shared" si="73"/>
        <v>2.815315315315316E-7</v>
      </c>
      <c r="X368" s="1">
        <f t="shared" si="74"/>
        <v>5</v>
      </c>
      <c r="Y368" s="1">
        <f t="shared" si="75"/>
        <v>265.66763298572431</v>
      </c>
      <c r="Z368" s="1">
        <f t="shared" si="76"/>
        <v>3.3333333333333335</v>
      </c>
      <c r="AA368" s="1">
        <f t="shared" si="77"/>
        <v>0.27010357296161835</v>
      </c>
    </row>
    <row r="369" spans="1:27" x14ac:dyDescent="0.25">
      <c r="A369" s="1">
        <f>25</f>
        <v>25</v>
      </c>
      <c r="B369" s="1">
        <v>0.4</v>
      </c>
      <c r="C369" s="1">
        <v>5</v>
      </c>
      <c r="D369" s="1">
        <f t="shared" si="65"/>
        <v>0.125</v>
      </c>
      <c r="E369" s="1">
        <v>10</v>
      </c>
      <c r="F369" s="1">
        <v>1</v>
      </c>
      <c r="G369" s="1">
        <v>100</v>
      </c>
      <c r="H369" s="1">
        <v>50.022426699999997</v>
      </c>
      <c r="J369" s="1">
        <f t="shared" si="66"/>
        <v>2.5000000000000001E-2</v>
      </c>
      <c r="K369" s="1">
        <f t="shared" si="67"/>
        <v>0.125</v>
      </c>
      <c r="L369" s="1">
        <f t="shared" si="68"/>
        <v>4.0000000000000002E-4</v>
      </c>
      <c r="M369" s="1">
        <f t="shared" si="69"/>
        <v>0.31023227454199215</v>
      </c>
      <c r="N369" s="1">
        <f t="shared" si="70"/>
        <v>2.7777777777777776E-2</v>
      </c>
      <c r="O369" s="1">
        <v>370</v>
      </c>
      <c r="P369" s="1">
        <v>3</v>
      </c>
      <c r="Q369" s="1">
        <v>4148</v>
      </c>
      <c r="R369" s="1">
        <f>[1]!HeatTransferArea(J369,D369,0.36,L369)</f>
        <v>0.58904862254808632</v>
      </c>
      <c r="S369" s="1">
        <f>[1]!Convection(J369,N369,1000,9*10^-4,L369,0.6,0.36,7)</f>
        <v>25884.883040575744</v>
      </c>
      <c r="U369" s="1">
        <f t="shared" si="71"/>
        <v>0.50190040973518957</v>
      </c>
      <c r="V369" s="1">
        <f t="shared" si="72"/>
        <v>1.4076576576576577E-5</v>
      </c>
      <c r="W369" s="1">
        <f t="shared" si="73"/>
        <v>5.630630630630632E-7</v>
      </c>
      <c r="X369" s="1">
        <f t="shared" si="74"/>
        <v>5</v>
      </c>
      <c r="Y369" s="1">
        <f t="shared" si="75"/>
        <v>132.83381649286216</v>
      </c>
      <c r="Z369" s="1">
        <f t="shared" si="76"/>
        <v>3.3333333333333335</v>
      </c>
      <c r="AA369" s="1">
        <f t="shared" si="77"/>
        <v>0.14526293031829404</v>
      </c>
    </row>
    <row r="370" spans="1:27" x14ac:dyDescent="0.25">
      <c r="A370" s="1">
        <f>25</f>
        <v>25</v>
      </c>
      <c r="B370" s="1">
        <v>0.4</v>
      </c>
      <c r="C370" s="1">
        <v>5</v>
      </c>
      <c r="D370" s="1">
        <f t="shared" si="65"/>
        <v>0.125</v>
      </c>
      <c r="E370" s="1">
        <v>10</v>
      </c>
      <c r="F370" s="1">
        <v>1.5</v>
      </c>
      <c r="G370" s="1">
        <v>100</v>
      </c>
      <c r="H370" s="1">
        <v>50.135345880000003</v>
      </c>
      <c r="J370" s="1">
        <f t="shared" si="66"/>
        <v>2.5000000000000001E-2</v>
      </c>
      <c r="K370" s="1">
        <f t="shared" si="67"/>
        <v>0.125</v>
      </c>
      <c r="L370" s="1">
        <f t="shared" si="68"/>
        <v>4.0000000000000002E-4</v>
      </c>
      <c r="M370" s="1">
        <f t="shared" si="69"/>
        <v>0.31023227454199215</v>
      </c>
      <c r="N370" s="1">
        <f t="shared" si="70"/>
        <v>2.7777777777777776E-2</v>
      </c>
      <c r="O370" s="1">
        <v>370</v>
      </c>
      <c r="P370" s="1">
        <v>3</v>
      </c>
      <c r="Q370" s="1">
        <v>4148</v>
      </c>
      <c r="R370" s="1">
        <f>[1]!HeatTransferArea(J370,D370,0.36,L370)</f>
        <v>0.58904862254808632</v>
      </c>
      <c r="S370" s="1">
        <f>[1]!Convection(J370,N370,1000,9*10^-4,L370,0.6,0.36,7)</f>
        <v>25884.883040575744</v>
      </c>
      <c r="U370" s="1">
        <f t="shared" si="71"/>
        <v>0.33460027315679308</v>
      </c>
      <c r="V370" s="1">
        <f t="shared" si="72"/>
        <v>2.1114864864864866E-5</v>
      </c>
      <c r="W370" s="1">
        <f t="shared" si="73"/>
        <v>8.445945945945948E-7</v>
      </c>
      <c r="X370" s="1">
        <f t="shared" si="74"/>
        <v>5</v>
      </c>
      <c r="Y370" s="1">
        <f t="shared" si="75"/>
        <v>88.555877661908113</v>
      </c>
      <c r="Z370" s="1">
        <f t="shared" si="76"/>
        <v>3.3333333333333335</v>
      </c>
      <c r="AA370" s="1">
        <f t="shared" si="77"/>
        <v>9.7060561771986312E-2</v>
      </c>
    </row>
    <row r="371" spans="1:27" x14ac:dyDescent="0.25">
      <c r="A371" s="1">
        <f>25</f>
        <v>25</v>
      </c>
      <c r="B371" s="1">
        <v>0.5</v>
      </c>
      <c r="C371" s="1">
        <v>3</v>
      </c>
      <c r="D371" s="1">
        <f t="shared" si="65"/>
        <v>7.4999999999999997E-2</v>
      </c>
      <c r="E371" s="1">
        <v>10</v>
      </c>
      <c r="F371" s="1">
        <v>0.5</v>
      </c>
      <c r="G371" s="1">
        <v>100</v>
      </c>
      <c r="H371" s="1">
        <v>7.8022921900000002</v>
      </c>
      <c r="J371" s="1">
        <f t="shared" si="66"/>
        <v>2.5000000000000001E-2</v>
      </c>
      <c r="K371" s="1">
        <f t="shared" si="67"/>
        <v>7.4999999999999997E-2</v>
      </c>
      <c r="L371" s="1">
        <f t="shared" si="68"/>
        <v>5.0000000000000001E-4</v>
      </c>
      <c r="M371" s="1">
        <f t="shared" si="69"/>
        <v>0.18613936472519524</v>
      </c>
      <c r="N371" s="1">
        <f t="shared" si="70"/>
        <v>2.7777777777777776E-2</v>
      </c>
      <c r="O371" s="1">
        <v>370</v>
      </c>
      <c r="P371" s="1">
        <v>3</v>
      </c>
      <c r="Q371" s="1">
        <v>4148</v>
      </c>
      <c r="R371" s="1">
        <f>[1]!HeatTransferArea(J371,D371,0.36,L371)</f>
        <v>0.28274333882308145</v>
      </c>
      <c r="S371" s="1">
        <f>[1]!Convection(J371,N371,1000,9*10^-4,L371,0.6,0.36,7)</f>
        <v>20885.729705543305</v>
      </c>
      <c r="U371" s="1">
        <f t="shared" si="71"/>
        <v>1.6730013657839657</v>
      </c>
      <c r="V371" s="1">
        <f t="shared" si="72"/>
        <v>2.5337837837837837E-6</v>
      </c>
      <c r="W371" s="1">
        <f t="shared" si="73"/>
        <v>2.815315315315316E-7</v>
      </c>
      <c r="X371" s="1">
        <f t="shared" si="74"/>
        <v>3</v>
      </c>
      <c r="Y371" s="1">
        <f t="shared" si="75"/>
        <v>171.48734619672919</v>
      </c>
      <c r="Z371" s="1">
        <f t="shared" si="76"/>
        <v>3.3333333333333335</v>
      </c>
      <c r="AA371" s="1">
        <f t="shared" si="77"/>
        <v>7.5525046230176876E-2</v>
      </c>
    </row>
    <row r="372" spans="1:27" x14ac:dyDescent="0.25">
      <c r="A372" s="1">
        <f>25</f>
        <v>25</v>
      </c>
      <c r="B372" s="1">
        <v>0.5</v>
      </c>
      <c r="C372" s="1">
        <v>3</v>
      </c>
      <c r="D372" s="1">
        <f t="shared" si="65"/>
        <v>7.4999999999999997E-2</v>
      </c>
      <c r="E372" s="1">
        <v>10</v>
      </c>
      <c r="F372" s="1">
        <v>1</v>
      </c>
      <c r="G372" s="1">
        <v>100</v>
      </c>
      <c r="H372" s="1">
        <v>47.448119550000001</v>
      </c>
      <c r="J372" s="1">
        <f t="shared" si="66"/>
        <v>2.5000000000000001E-2</v>
      </c>
      <c r="K372" s="1">
        <f t="shared" si="67"/>
        <v>7.4999999999999997E-2</v>
      </c>
      <c r="L372" s="1">
        <f t="shared" si="68"/>
        <v>5.0000000000000001E-4</v>
      </c>
      <c r="M372" s="1">
        <f t="shared" si="69"/>
        <v>0.18613936472519524</v>
      </c>
      <c r="N372" s="1">
        <f t="shared" si="70"/>
        <v>2.7777777777777776E-2</v>
      </c>
      <c r="O372" s="1">
        <v>370</v>
      </c>
      <c r="P372" s="1">
        <v>3</v>
      </c>
      <c r="Q372" s="1">
        <v>4148</v>
      </c>
      <c r="R372" s="1">
        <f>[1]!HeatTransferArea(J372,D372,0.36,L372)</f>
        <v>0.28274333882308145</v>
      </c>
      <c r="S372" s="1">
        <f>[1]!Convection(J372,N372,1000,9*10^-4,L372,0.6,0.36,7)</f>
        <v>20885.729705543305</v>
      </c>
      <c r="U372" s="1">
        <f t="shared" si="71"/>
        <v>0.83650068289198287</v>
      </c>
      <c r="V372" s="1">
        <f t="shared" si="72"/>
        <v>5.0675675675675673E-6</v>
      </c>
      <c r="W372" s="1">
        <f t="shared" si="73"/>
        <v>5.630630630630632E-7</v>
      </c>
      <c r="X372" s="1">
        <f t="shared" si="74"/>
        <v>3</v>
      </c>
      <c r="Y372" s="1">
        <f t="shared" si="75"/>
        <v>85.743673098364596</v>
      </c>
      <c r="Z372" s="1">
        <f t="shared" si="76"/>
        <v>3.3333333333333335</v>
      </c>
      <c r="AA372" s="1">
        <f t="shared" si="77"/>
        <v>0.22964542568282806</v>
      </c>
    </row>
    <row r="373" spans="1:27" x14ac:dyDescent="0.25">
      <c r="A373" s="1">
        <f>25</f>
        <v>25</v>
      </c>
      <c r="B373" s="1">
        <v>0.5</v>
      </c>
      <c r="C373" s="1">
        <v>3</v>
      </c>
      <c r="D373" s="1">
        <f t="shared" si="65"/>
        <v>7.4999999999999997E-2</v>
      </c>
      <c r="E373" s="1">
        <v>10</v>
      </c>
      <c r="F373" s="1">
        <v>1.5</v>
      </c>
      <c r="G373" s="1">
        <v>100</v>
      </c>
      <c r="H373" s="1">
        <v>49.878932200000001</v>
      </c>
      <c r="J373" s="1">
        <f t="shared" si="66"/>
        <v>2.5000000000000001E-2</v>
      </c>
      <c r="K373" s="1">
        <f t="shared" si="67"/>
        <v>7.4999999999999997E-2</v>
      </c>
      <c r="L373" s="1">
        <f t="shared" si="68"/>
        <v>5.0000000000000001E-4</v>
      </c>
      <c r="M373" s="1">
        <f t="shared" si="69"/>
        <v>0.18613936472519524</v>
      </c>
      <c r="N373" s="1">
        <f t="shared" si="70"/>
        <v>2.7777777777777776E-2</v>
      </c>
      <c r="O373" s="1">
        <v>370</v>
      </c>
      <c r="P373" s="1">
        <v>3</v>
      </c>
      <c r="Q373" s="1">
        <v>4148</v>
      </c>
      <c r="R373" s="1">
        <f>[1]!HeatTransferArea(J373,D373,0.36,L373)</f>
        <v>0.28274333882308145</v>
      </c>
      <c r="S373" s="1">
        <f>[1]!Convection(J373,N373,1000,9*10^-4,L373,0.6,0.36,7)</f>
        <v>20885.729705543305</v>
      </c>
      <c r="U373" s="1">
        <f t="shared" si="71"/>
        <v>0.55766712192798862</v>
      </c>
      <c r="V373" s="1">
        <f t="shared" si="72"/>
        <v>7.6013513513513518E-6</v>
      </c>
      <c r="W373" s="1">
        <f t="shared" si="73"/>
        <v>8.445945945945948E-7</v>
      </c>
      <c r="X373" s="1">
        <f t="shared" si="74"/>
        <v>3</v>
      </c>
      <c r="Y373" s="1">
        <f t="shared" si="75"/>
        <v>57.162448732243064</v>
      </c>
      <c r="Z373" s="1">
        <f t="shared" si="76"/>
        <v>3.3333333333333335</v>
      </c>
      <c r="AA373" s="1">
        <f t="shared" si="77"/>
        <v>0.16094025399121667</v>
      </c>
    </row>
    <row r="374" spans="1:27" x14ac:dyDescent="0.25">
      <c r="A374" s="1">
        <f>25</f>
        <v>25</v>
      </c>
      <c r="B374" s="1">
        <v>0.5</v>
      </c>
      <c r="C374" s="1">
        <v>4</v>
      </c>
      <c r="D374" s="1">
        <f t="shared" si="65"/>
        <v>0.1</v>
      </c>
      <c r="E374" s="1">
        <v>10</v>
      </c>
      <c r="F374" s="1">
        <v>0.5</v>
      </c>
      <c r="G374" s="1">
        <v>100</v>
      </c>
      <c r="H374" s="1">
        <v>40.26497818</v>
      </c>
      <c r="J374" s="1">
        <f t="shared" si="66"/>
        <v>2.5000000000000001E-2</v>
      </c>
      <c r="K374" s="1">
        <f t="shared" si="67"/>
        <v>0.1</v>
      </c>
      <c r="L374" s="1">
        <f t="shared" si="68"/>
        <v>5.0000000000000001E-4</v>
      </c>
      <c r="M374" s="1">
        <f t="shared" si="69"/>
        <v>0.24818581963359368</v>
      </c>
      <c r="N374" s="1">
        <f t="shared" si="70"/>
        <v>2.7777777777777776E-2</v>
      </c>
      <c r="O374" s="1">
        <v>370</v>
      </c>
      <c r="P374" s="1">
        <v>3</v>
      </c>
      <c r="Q374" s="1">
        <v>4148</v>
      </c>
      <c r="R374" s="1">
        <f>[1]!HeatTransferArea(J374,D374,0.36,L374)</f>
        <v>0.37699111843077526</v>
      </c>
      <c r="S374" s="1">
        <f>[1]!Convection(J374,N374,1000,9*10^-4,L374,0.6,0.36,7)</f>
        <v>20885.729705543305</v>
      </c>
      <c r="U374" s="1">
        <f t="shared" si="71"/>
        <v>1.2547510243379743</v>
      </c>
      <c r="V374" s="1">
        <f t="shared" si="72"/>
        <v>4.5045045045045056E-6</v>
      </c>
      <c r="W374" s="1">
        <f t="shared" si="73"/>
        <v>2.815315315315316E-7</v>
      </c>
      <c r="X374" s="1">
        <f t="shared" si="74"/>
        <v>4</v>
      </c>
      <c r="Y374" s="1">
        <f t="shared" si="75"/>
        <v>171.48734619672916</v>
      </c>
      <c r="Z374" s="1">
        <f t="shared" si="76"/>
        <v>3.3333333333333335</v>
      </c>
      <c r="AA374" s="1">
        <f t="shared" si="77"/>
        <v>0.29231932082720069</v>
      </c>
    </row>
    <row r="375" spans="1:27" x14ac:dyDescent="0.25">
      <c r="A375" s="1">
        <f>25</f>
        <v>25</v>
      </c>
      <c r="B375" s="1">
        <v>0.5</v>
      </c>
      <c r="C375" s="1">
        <v>4</v>
      </c>
      <c r="D375" s="1">
        <f t="shared" si="65"/>
        <v>0.1</v>
      </c>
      <c r="E375" s="1">
        <v>10</v>
      </c>
      <c r="F375" s="1">
        <v>1</v>
      </c>
      <c r="G375" s="1">
        <v>100</v>
      </c>
      <c r="H375" s="1">
        <v>49.696030919999998</v>
      </c>
      <c r="J375" s="1">
        <f t="shared" si="66"/>
        <v>2.5000000000000001E-2</v>
      </c>
      <c r="K375" s="1">
        <f t="shared" si="67"/>
        <v>0.1</v>
      </c>
      <c r="L375" s="1">
        <f t="shared" si="68"/>
        <v>5.0000000000000001E-4</v>
      </c>
      <c r="M375" s="1">
        <f t="shared" si="69"/>
        <v>0.24818581963359368</v>
      </c>
      <c r="N375" s="1">
        <f t="shared" si="70"/>
        <v>2.7777777777777776E-2</v>
      </c>
      <c r="O375" s="1">
        <v>370</v>
      </c>
      <c r="P375" s="1">
        <v>3</v>
      </c>
      <c r="Q375" s="1">
        <v>4148</v>
      </c>
      <c r="R375" s="1">
        <f>[1]!HeatTransferArea(J375,D375,0.36,L375)</f>
        <v>0.37699111843077526</v>
      </c>
      <c r="S375" s="1">
        <f>[1]!Convection(J375,N375,1000,9*10^-4,L375,0.6,0.36,7)</f>
        <v>20885.729705543305</v>
      </c>
      <c r="U375" s="1">
        <f t="shared" si="71"/>
        <v>0.62737551216898713</v>
      </c>
      <c r="V375" s="1">
        <f t="shared" si="72"/>
        <v>9.0090090090090112E-6</v>
      </c>
      <c r="W375" s="1">
        <f t="shared" si="73"/>
        <v>5.630630630630632E-7</v>
      </c>
      <c r="X375" s="1">
        <f t="shared" si="74"/>
        <v>4</v>
      </c>
      <c r="Y375" s="1">
        <f t="shared" si="75"/>
        <v>85.743673098364582</v>
      </c>
      <c r="Z375" s="1">
        <f t="shared" si="76"/>
        <v>3.3333333333333335</v>
      </c>
      <c r="AA375" s="1">
        <f t="shared" si="77"/>
        <v>0.18039386413423811</v>
      </c>
    </row>
    <row r="376" spans="1:27" x14ac:dyDescent="0.25">
      <c r="A376" s="1">
        <f>25</f>
        <v>25</v>
      </c>
      <c r="B376" s="1">
        <v>0.5</v>
      </c>
      <c r="C376" s="1">
        <v>4</v>
      </c>
      <c r="D376" s="1">
        <f t="shared" si="65"/>
        <v>0.1</v>
      </c>
      <c r="E376" s="1">
        <v>10</v>
      </c>
      <c r="F376" s="1">
        <v>1.5</v>
      </c>
      <c r="G376" s="1">
        <v>100</v>
      </c>
      <c r="H376" s="1">
        <v>50.576929100000001</v>
      </c>
      <c r="J376" s="1">
        <f t="shared" si="66"/>
        <v>2.5000000000000001E-2</v>
      </c>
      <c r="K376" s="1">
        <f t="shared" si="67"/>
        <v>0.1</v>
      </c>
      <c r="L376" s="1">
        <f t="shared" si="68"/>
        <v>5.0000000000000001E-4</v>
      </c>
      <c r="M376" s="1">
        <f t="shared" si="69"/>
        <v>0.24818581963359368</v>
      </c>
      <c r="N376" s="1">
        <f t="shared" si="70"/>
        <v>2.7777777777777776E-2</v>
      </c>
      <c r="O376" s="1">
        <v>370</v>
      </c>
      <c r="P376" s="1">
        <v>3</v>
      </c>
      <c r="Q376" s="1">
        <v>4148</v>
      </c>
      <c r="R376" s="1">
        <f>[1]!HeatTransferArea(J376,D376,0.36,L376)</f>
        <v>0.37699111843077526</v>
      </c>
      <c r="S376" s="1">
        <f>[1]!Convection(J376,N376,1000,9*10^-4,L376,0.6,0.36,7)</f>
        <v>20885.729705543305</v>
      </c>
      <c r="U376" s="1">
        <f t="shared" si="71"/>
        <v>0.41825034144599144</v>
      </c>
      <c r="V376" s="1">
        <f t="shared" si="72"/>
        <v>1.3513513513513517E-5</v>
      </c>
      <c r="W376" s="1">
        <f t="shared" si="73"/>
        <v>8.445945945945948E-7</v>
      </c>
      <c r="X376" s="1">
        <f t="shared" si="74"/>
        <v>4</v>
      </c>
      <c r="Y376" s="1">
        <f t="shared" si="75"/>
        <v>57.162448732243057</v>
      </c>
      <c r="Z376" s="1">
        <f t="shared" si="76"/>
        <v>3.3333333333333335</v>
      </c>
      <c r="AA376" s="1">
        <f t="shared" si="77"/>
        <v>0.12239431744666174</v>
      </c>
    </row>
    <row r="377" spans="1:27" x14ac:dyDescent="0.25">
      <c r="A377" s="1">
        <f>25</f>
        <v>25</v>
      </c>
      <c r="B377" s="1">
        <v>0.5</v>
      </c>
      <c r="C377" s="1">
        <v>5</v>
      </c>
      <c r="D377" s="1">
        <f t="shared" si="65"/>
        <v>0.125</v>
      </c>
      <c r="E377" s="1">
        <v>10</v>
      </c>
      <c r="F377" s="1">
        <v>0.5</v>
      </c>
      <c r="G377" s="1">
        <v>100</v>
      </c>
      <c r="H377" s="1">
        <v>46.095773129999998</v>
      </c>
      <c r="J377" s="1">
        <f t="shared" si="66"/>
        <v>2.5000000000000001E-2</v>
      </c>
      <c r="K377" s="1">
        <f t="shared" si="67"/>
        <v>0.125</v>
      </c>
      <c r="L377" s="1">
        <f t="shared" si="68"/>
        <v>5.0000000000000001E-4</v>
      </c>
      <c r="M377" s="1">
        <f t="shared" si="69"/>
        <v>0.31023227454199215</v>
      </c>
      <c r="N377" s="1">
        <f t="shared" si="70"/>
        <v>2.7777777777777776E-2</v>
      </c>
      <c r="O377" s="1">
        <v>370</v>
      </c>
      <c r="P377" s="1">
        <v>3</v>
      </c>
      <c r="Q377" s="1">
        <v>4148</v>
      </c>
      <c r="R377" s="1">
        <f>[1]!HeatTransferArea(J377,D377,0.36,L377)</f>
        <v>0.47123889803846908</v>
      </c>
      <c r="S377" s="1">
        <f>[1]!Convection(J377,N377,1000,9*10^-4,L377,0.6,0.36,7)</f>
        <v>20885.729705543305</v>
      </c>
      <c r="U377" s="1">
        <f t="shared" si="71"/>
        <v>1.0038008194703791</v>
      </c>
      <c r="V377" s="1">
        <f t="shared" si="72"/>
        <v>7.0382882882882884E-6</v>
      </c>
      <c r="W377" s="1">
        <f t="shared" si="73"/>
        <v>2.815315315315316E-7</v>
      </c>
      <c r="X377" s="1">
        <f t="shared" si="74"/>
        <v>5</v>
      </c>
      <c r="Y377" s="1">
        <f t="shared" si="75"/>
        <v>171.48734619672913</v>
      </c>
      <c r="Z377" s="1">
        <f t="shared" si="76"/>
        <v>3.3333333333333335</v>
      </c>
      <c r="AA377" s="1">
        <f t="shared" si="77"/>
        <v>0.26772020159314186</v>
      </c>
    </row>
    <row r="378" spans="1:27" x14ac:dyDescent="0.25">
      <c r="A378" s="1">
        <f>25</f>
        <v>25</v>
      </c>
      <c r="B378" s="1">
        <v>0.5</v>
      </c>
      <c r="C378" s="1">
        <v>5</v>
      </c>
      <c r="D378" s="1">
        <f t="shared" si="65"/>
        <v>0.125</v>
      </c>
      <c r="E378" s="1">
        <v>10</v>
      </c>
      <c r="F378" s="1">
        <v>1</v>
      </c>
      <c r="G378" s="1">
        <v>100</v>
      </c>
      <c r="H378" s="1">
        <v>50.208405290000002</v>
      </c>
      <c r="J378" s="1">
        <f t="shared" si="66"/>
        <v>2.5000000000000001E-2</v>
      </c>
      <c r="K378" s="1">
        <f t="shared" si="67"/>
        <v>0.125</v>
      </c>
      <c r="L378" s="1">
        <f t="shared" si="68"/>
        <v>5.0000000000000001E-4</v>
      </c>
      <c r="M378" s="1">
        <f t="shared" si="69"/>
        <v>0.31023227454199215</v>
      </c>
      <c r="N378" s="1">
        <f t="shared" si="70"/>
        <v>2.7777777777777776E-2</v>
      </c>
      <c r="O378" s="1">
        <v>370</v>
      </c>
      <c r="P378" s="1">
        <v>3</v>
      </c>
      <c r="Q378" s="1">
        <v>4148</v>
      </c>
      <c r="R378" s="1">
        <f>[1]!HeatTransferArea(J378,D378,0.36,L378)</f>
        <v>0.47123889803846908</v>
      </c>
      <c r="S378" s="1">
        <f>[1]!Convection(J378,N378,1000,9*10^-4,L378,0.6,0.36,7)</f>
        <v>20885.729705543305</v>
      </c>
      <c r="U378" s="1">
        <f t="shared" si="71"/>
        <v>0.50190040973518957</v>
      </c>
      <c r="V378" s="1">
        <f t="shared" si="72"/>
        <v>1.4076576576576577E-5</v>
      </c>
      <c r="W378" s="1">
        <f t="shared" si="73"/>
        <v>5.630630630630632E-7</v>
      </c>
      <c r="X378" s="1">
        <f t="shared" si="74"/>
        <v>5</v>
      </c>
      <c r="Y378" s="1">
        <f t="shared" si="75"/>
        <v>85.743673098364567</v>
      </c>
      <c r="Z378" s="1">
        <f t="shared" si="76"/>
        <v>3.3333333333333335</v>
      </c>
      <c r="AA378" s="1">
        <f t="shared" si="77"/>
        <v>0.14580300397609333</v>
      </c>
    </row>
    <row r="379" spans="1:27" x14ac:dyDescent="0.25">
      <c r="A379" s="1">
        <f>25</f>
        <v>25</v>
      </c>
      <c r="B379" s="1">
        <v>0.5</v>
      </c>
      <c r="C379" s="1">
        <v>5</v>
      </c>
      <c r="D379" s="1">
        <f t="shared" si="65"/>
        <v>0.125</v>
      </c>
      <c r="E379" s="1">
        <v>10</v>
      </c>
      <c r="F379" s="1">
        <v>1.5</v>
      </c>
      <c r="G379" s="1">
        <v>100</v>
      </c>
      <c r="H379" s="1">
        <v>50.475172909999998</v>
      </c>
      <c r="J379" s="1">
        <f t="shared" si="66"/>
        <v>2.5000000000000001E-2</v>
      </c>
      <c r="K379" s="1">
        <f t="shared" si="67"/>
        <v>0.125</v>
      </c>
      <c r="L379" s="1">
        <f t="shared" si="68"/>
        <v>5.0000000000000001E-4</v>
      </c>
      <c r="M379" s="1">
        <f t="shared" si="69"/>
        <v>0.31023227454199215</v>
      </c>
      <c r="N379" s="1">
        <f t="shared" si="70"/>
        <v>2.7777777777777776E-2</v>
      </c>
      <c r="O379" s="1">
        <v>370</v>
      </c>
      <c r="P379" s="1">
        <v>3</v>
      </c>
      <c r="Q379" s="1">
        <v>4148</v>
      </c>
      <c r="R379" s="1">
        <f>[1]!HeatTransferArea(J379,D379,0.36,L379)</f>
        <v>0.47123889803846908</v>
      </c>
      <c r="S379" s="1">
        <f>[1]!Convection(J379,N379,1000,9*10^-4,L379,0.6,0.36,7)</f>
        <v>20885.729705543305</v>
      </c>
      <c r="U379" s="1">
        <f t="shared" si="71"/>
        <v>0.33460027315679308</v>
      </c>
      <c r="V379" s="1">
        <f t="shared" si="72"/>
        <v>2.1114864864864866E-5</v>
      </c>
      <c r="W379" s="1">
        <f t="shared" si="73"/>
        <v>8.445945945945948E-7</v>
      </c>
      <c r="X379" s="1">
        <f t="shared" si="74"/>
        <v>5</v>
      </c>
      <c r="Y379" s="1">
        <f t="shared" si="75"/>
        <v>57.162448732243043</v>
      </c>
      <c r="Z379" s="1">
        <f t="shared" si="76"/>
        <v>3.3333333333333335</v>
      </c>
      <c r="AA379" s="1">
        <f t="shared" si="77"/>
        <v>9.7718456952684829E-2</v>
      </c>
    </row>
    <row r="380" spans="1:27" x14ac:dyDescent="0.25">
      <c r="A380" s="1">
        <f>25</f>
        <v>25</v>
      </c>
      <c r="B380" s="1">
        <v>0.3</v>
      </c>
      <c r="C380" s="1">
        <v>3</v>
      </c>
      <c r="D380" s="1">
        <f t="shared" si="65"/>
        <v>7.4999999999999997E-2</v>
      </c>
      <c r="E380" s="1">
        <v>10</v>
      </c>
      <c r="F380" s="1">
        <v>0.5</v>
      </c>
      <c r="G380" s="1">
        <v>125</v>
      </c>
      <c r="H380" s="1">
        <v>-94.933384599999997</v>
      </c>
      <c r="J380" s="1">
        <f t="shared" si="66"/>
        <v>2.5000000000000001E-2</v>
      </c>
      <c r="K380" s="1">
        <f t="shared" si="67"/>
        <v>7.4999999999999997E-2</v>
      </c>
      <c r="L380" s="1">
        <f t="shared" si="68"/>
        <v>2.9999999999999997E-4</v>
      </c>
      <c r="M380" s="1">
        <f t="shared" si="69"/>
        <v>0.18613936472519524</v>
      </c>
      <c r="N380" s="1">
        <f t="shared" si="70"/>
        <v>3.4722222222222224E-2</v>
      </c>
      <c r="O380" s="1">
        <v>370</v>
      </c>
      <c r="P380" s="1">
        <v>3</v>
      </c>
      <c r="Q380" s="1">
        <v>4148</v>
      </c>
      <c r="R380" s="1">
        <f>[1]!HeatTransferArea(J380,D380,0.36,L380)</f>
        <v>0.47123889803846908</v>
      </c>
      <c r="S380" s="1">
        <f>[1]!Convection(J380,N380,1000,9*10^-4,L380,0.6,0.36,7)</f>
        <v>34434.600792169651</v>
      </c>
      <c r="U380" s="1">
        <f t="shared" si="71"/>
        <v>2.091251707229957</v>
      </c>
      <c r="V380" s="1">
        <f t="shared" si="72"/>
        <v>2.5337837837837837E-6</v>
      </c>
      <c r="W380" s="1">
        <f t="shared" si="73"/>
        <v>2.815315315315316E-7</v>
      </c>
      <c r="X380" s="1">
        <f t="shared" si="74"/>
        <v>3</v>
      </c>
      <c r="Y380" s="1">
        <f t="shared" si="75"/>
        <v>471.22272722777495</v>
      </c>
      <c r="Z380" s="1">
        <f t="shared" si="76"/>
        <v>3.3333333333333335</v>
      </c>
      <c r="AA380" s="1">
        <f t="shared" si="77"/>
        <v>-0.918941265733623</v>
      </c>
    </row>
    <row r="381" spans="1:27" x14ac:dyDescent="0.25">
      <c r="A381" s="1">
        <f>25</f>
        <v>25</v>
      </c>
      <c r="B381" s="1">
        <v>0.3</v>
      </c>
      <c r="C381" s="1">
        <v>3</v>
      </c>
      <c r="D381" s="1">
        <f t="shared" si="65"/>
        <v>7.4999999999999997E-2</v>
      </c>
      <c r="E381" s="1">
        <v>10</v>
      </c>
      <c r="F381" s="1">
        <v>1</v>
      </c>
      <c r="G381" s="1">
        <v>125</v>
      </c>
      <c r="H381" s="1">
        <v>57.1450101</v>
      </c>
      <c r="J381" s="1">
        <f t="shared" si="66"/>
        <v>2.5000000000000001E-2</v>
      </c>
      <c r="K381" s="1">
        <f t="shared" si="67"/>
        <v>7.4999999999999997E-2</v>
      </c>
      <c r="L381" s="1">
        <f t="shared" si="68"/>
        <v>2.9999999999999997E-4</v>
      </c>
      <c r="M381" s="1">
        <f t="shared" si="69"/>
        <v>0.18613936472519524</v>
      </c>
      <c r="N381" s="1">
        <f t="shared" si="70"/>
        <v>3.4722222222222224E-2</v>
      </c>
      <c r="O381" s="1">
        <v>370</v>
      </c>
      <c r="P381" s="1">
        <v>3</v>
      </c>
      <c r="Q381" s="1">
        <v>4148</v>
      </c>
      <c r="R381" s="1">
        <f>[1]!HeatTransferArea(J381,D381,0.36,L381)</f>
        <v>0.47123889803846908</v>
      </c>
      <c r="S381" s="1">
        <f>[1]!Convection(J381,N381,1000,9*10^-4,L381,0.6,0.36,7)</f>
        <v>34434.600792169651</v>
      </c>
      <c r="U381" s="1">
        <f t="shared" si="71"/>
        <v>1.0456258536149785</v>
      </c>
      <c r="V381" s="1">
        <f t="shared" si="72"/>
        <v>5.0675675675675673E-6</v>
      </c>
      <c r="W381" s="1">
        <f t="shared" si="73"/>
        <v>5.630630630630632E-7</v>
      </c>
      <c r="X381" s="1">
        <f t="shared" si="74"/>
        <v>3</v>
      </c>
      <c r="Y381" s="1">
        <f t="shared" si="75"/>
        <v>235.61136361388748</v>
      </c>
      <c r="Z381" s="1">
        <f t="shared" si="76"/>
        <v>3.3333333333333335</v>
      </c>
      <c r="AA381" s="1">
        <f t="shared" si="77"/>
        <v>0.27657766618622526</v>
      </c>
    </row>
    <row r="382" spans="1:27" x14ac:dyDescent="0.25">
      <c r="A382" s="1">
        <f>25</f>
        <v>25</v>
      </c>
      <c r="B382" s="1">
        <v>0.3</v>
      </c>
      <c r="C382" s="1">
        <v>3</v>
      </c>
      <c r="D382" s="1">
        <f t="shared" si="65"/>
        <v>7.4999999999999997E-2</v>
      </c>
      <c r="E382" s="1">
        <v>10</v>
      </c>
      <c r="F382" s="1">
        <v>1.5</v>
      </c>
      <c r="G382" s="1">
        <v>125</v>
      </c>
      <c r="H382" s="1">
        <v>61.525200259999998</v>
      </c>
      <c r="J382" s="1">
        <f t="shared" si="66"/>
        <v>2.5000000000000001E-2</v>
      </c>
      <c r="K382" s="1">
        <f t="shared" si="67"/>
        <v>7.4999999999999997E-2</v>
      </c>
      <c r="L382" s="1">
        <f t="shared" si="68"/>
        <v>2.9999999999999997E-4</v>
      </c>
      <c r="M382" s="1">
        <f t="shared" si="69"/>
        <v>0.18613936472519524</v>
      </c>
      <c r="N382" s="1">
        <f t="shared" si="70"/>
        <v>3.4722222222222224E-2</v>
      </c>
      <c r="O382" s="1">
        <v>370</v>
      </c>
      <c r="P382" s="1">
        <v>3</v>
      </c>
      <c r="Q382" s="1">
        <v>4148</v>
      </c>
      <c r="R382" s="1">
        <f>[1]!HeatTransferArea(J382,D382,0.36,L382)</f>
        <v>0.47123889803846908</v>
      </c>
      <c r="S382" s="1">
        <f>[1]!Convection(J382,N382,1000,9*10^-4,L382,0.6,0.36,7)</f>
        <v>34434.600792169651</v>
      </c>
      <c r="U382" s="1">
        <f t="shared" si="71"/>
        <v>0.69708390240998575</v>
      </c>
      <c r="V382" s="1">
        <f t="shared" si="72"/>
        <v>7.6013513513513518E-6</v>
      </c>
      <c r="W382" s="1">
        <f t="shared" si="73"/>
        <v>8.445945945945948E-7</v>
      </c>
      <c r="X382" s="1">
        <f t="shared" si="74"/>
        <v>3</v>
      </c>
      <c r="Y382" s="1">
        <f t="shared" si="75"/>
        <v>157.07424240925832</v>
      </c>
      <c r="Z382" s="1">
        <f t="shared" si="76"/>
        <v>3.3333333333333335</v>
      </c>
      <c r="AA382" s="1">
        <f t="shared" si="77"/>
        <v>0.19851831063666733</v>
      </c>
    </row>
    <row r="383" spans="1:27" x14ac:dyDescent="0.25">
      <c r="A383" s="1">
        <f>25</f>
        <v>25</v>
      </c>
      <c r="B383" s="1">
        <v>0.3</v>
      </c>
      <c r="C383" s="1">
        <v>4</v>
      </c>
      <c r="D383" s="1">
        <f t="shared" si="65"/>
        <v>0.1</v>
      </c>
      <c r="E383" s="1">
        <v>10</v>
      </c>
      <c r="F383" s="1">
        <v>0.5</v>
      </c>
      <c r="G383" s="1">
        <v>125</v>
      </c>
      <c r="H383" s="1">
        <v>30.147310210000001</v>
      </c>
      <c r="J383" s="1">
        <f t="shared" si="66"/>
        <v>2.5000000000000001E-2</v>
      </c>
      <c r="K383" s="1">
        <f t="shared" si="67"/>
        <v>0.1</v>
      </c>
      <c r="L383" s="1">
        <f t="shared" si="68"/>
        <v>2.9999999999999997E-4</v>
      </c>
      <c r="M383" s="1">
        <f t="shared" si="69"/>
        <v>0.24818581963359368</v>
      </c>
      <c r="N383" s="1">
        <f t="shared" si="70"/>
        <v>3.4722222222222224E-2</v>
      </c>
      <c r="O383" s="1">
        <v>370</v>
      </c>
      <c r="P383" s="1">
        <v>3</v>
      </c>
      <c r="Q383" s="1">
        <v>4148</v>
      </c>
      <c r="R383" s="1">
        <f>[1]!HeatTransferArea(J383,D383,0.36,L383)</f>
        <v>0.62831853071795885</v>
      </c>
      <c r="S383" s="1">
        <f>[1]!Convection(J383,N383,1000,9*10^-4,L383,0.6,0.36,7)</f>
        <v>34434.600792169651</v>
      </c>
      <c r="U383" s="1">
        <f t="shared" si="71"/>
        <v>1.5684387804224678</v>
      </c>
      <c r="V383" s="1">
        <f t="shared" si="72"/>
        <v>4.5045045045045056E-6</v>
      </c>
      <c r="W383" s="1">
        <f t="shared" si="73"/>
        <v>2.815315315315316E-7</v>
      </c>
      <c r="X383" s="1">
        <f t="shared" si="74"/>
        <v>4</v>
      </c>
      <c r="Y383" s="1">
        <f t="shared" si="75"/>
        <v>471.22272722777507</v>
      </c>
      <c r="Z383" s="1">
        <f t="shared" si="76"/>
        <v>3.3333333333333335</v>
      </c>
      <c r="AA383" s="1">
        <f t="shared" si="77"/>
        <v>0.21886616220076474</v>
      </c>
    </row>
    <row r="384" spans="1:27" x14ac:dyDescent="0.25">
      <c r="A384" s="1">
        <f>25</f>
        <v>25</v>
      </c>
      <c r="B384" s="1">
        <v>0.3</v>
      </c>
      <c r="C384" s="1">
        <v>4</v>
      </c>
      <c r="D384" s="1">
        <f t="shared" si="65"/>
        <v>0.1</v>
      </c>
      <c r="E384" s="1">
        <v>10</v>
      </c>
      <c r="F384" s="1">
        <v>1</v>
      </c>
      <c r="G384" s="1">
        <v>125</v>
      </c>
      <c r="H384" s="1">
        <v>59.737227310000002</v>
      </c>
      <c r="J384" s="1">
        <f t="shared" si="66"/>
        <v>2.5000000000000001E-2</v>
      </c>
      <c r="K384" s="1">
        <f t="shared" si="67"/>
        <v>0.1</v>
      </c>
      <c r="L384" s="1">
        <f t="shared" si="68"/>
        <v>2.9999999999999997E-4</v>
      </c>
      <c r="M384" s="1">
        <f t="shared" si="69"/>
        <v>0.24818581963359368</v>
      </c>
      <c r="N384" s="1">
        <f t="shared" si="70"/>
        <v>3.4722222222222224E-2</v>
      </c>
      <c r="O384" s="1">
        <v>370</v>
      </c>
      <c r="P384" s="1">
        <v>3</v>
      </c>
      <c r="Q384" s="1">
        <v>4148</v>
      </c>
      <c r="R384" s="1">
        <f>[1]!HeatTransferArea(J384,D384,0.36,L384)</f>
        <v>0.62831853071795885</v>
      </c>
      <c r="S384" s="1">
        <f>[1]!Convection(J384,N384,1000,9*10^-4,L384,0.6,0.36,7)</f>
        <v>34434.600792169651</v>
      </c>
      <c r="U384" s="1">
        <f t="shared" si="71"/>
        <v>0.78421939021123388</v>
      </c>
      <c r="V384" s="1">
        <f t="shared" si="72"/>
        <v>9.0090090090090112E-6</v>
      </c>
      <c r="W384" s="1">
        <f t="shared" si="73"/>
        <v>5.630630630630632E-7</v>
      </c>
      <c r="X384" s="1">
        <f t="shared" si="74"/>
        <v>4</v>
      </c>
      <c r="Y384" s="1">
        <f t="shared" si="75"/>
        <v>235.61136361388753</v>
      </c>
      <c r="Z384" s="1">
        <f t="shared" si="76"/>
        <v>3.3333333333333335</v>
      </c>
      <c r="AA384" s="1">
        <f t="shared" si="77"/>
        <v>0.21684285581002774</v>
      </c>
    </row>
    <row r="385" spans="1:27" x14ac:dyDescent="0.25">
      <c r="A385" s="1">
        <f>25</f>
        <v>25</v>
      </c>
      <c r="B385" s="1">
        <v>0.3</v>
      </c>
      <c r="C385" s="1">
        <v>4</v>
      </c>
      <c r="D385" s="1">
        <f t="shared" si="65"/>
        <v>0.1</v>
      </c>
      <c r="E385" s="1">
        <v>10</v>
      </c>
      <c r="F385" s="1">
        <v>1.5</v>
      </c>
      <c r="G385" s="1">
        <v>125</v>
      </c>
      <c r="H385" s="1">
        <v>61.057342609999999</v>
      </c>
      <c r="J385" s="1">
        <f t="shared" si="66"/>
        <v>2.5000000000000001E-2</v>
      </c>
      <c r="K385" s="1">
        <f t="shared" si="67"/>
        <v>0.1</v>
      </c>
      <c r="L385" s="1">
        <f t="shared" si="68"/>
        <v>2.9999999999999997E-4</v>
      </c>
      <c r="M385" s="1">
        <f t="shared" si="69"/>
        <v>0.24818581963359368</v>
      </c>
      <c r="N385" s="1">
        <f t="shared" si="70"/>
        <v>3.4722222222222224E-2</v>
      </c>
      <c r="O385" s="1">
        <v>370</v>
      </c>
      <c r="P385" s="1">
        <v>3</v>
      </c>
      <c r="Q385" s="1">
        <v>4148</v>
      </c>
      <c r="R385" s="1">
        <f>[1]!HeatTransferArea(J385,D385,0.36,L385)</f>
        <v>0.62831853071795885</v>
      </c>
      <c r="S385" s="1">
        <f>[1]!Convection(J385,N385,1000,9*10^-4,L385,0.6,0.36,7)</f>
        <v>34434.600792169651</v>
      </c>
      <c r="U385" s="1">
        <f t="shared" si="71"/>
        <v>0.52281292680748925</v>
      </c>
      <c r="V385" s="1">
        <f t="shared" si="72"/>
        <v>1.3513513513513517E-5</v>
      </c>
      <c r="W385" s="1">
        <f t="shared" si="73"/>
        <v>8.445945945945948E-7</v>
      </c>
      <c r="X385" s="1">
        <f t="shared" si="74"/>
        <v>4</v>
      </c>
      <c r="Y385" s="1">
        <f t="shared" si="75"/>
        <v>157.07424240925835</v>
      </c>
      <c r="Z385" s="1">
        <f t="shared" si="76"/>
        <v>3.3333333333333335</v>
      </c>
      <c r="AA385" s="1">
        <f t="shared" si="77"/>
        <v>0.14775653458679297</v>
      </c>
    </row>
    <row r="386" spans="1:27" x14ac:dyDescent="0.25">
      <c r="A386" s="1">
        <f>25</f>
        <v>25</v>
      </c>
      <c r="B386" s="1">
        <v>0.3</v>
      </c>
      <c r="C386" s="1">
        <v>5</v>
      </c>
      <c r="D386" s="1">
        <f t="shared" si="65"/>
        <v>0.125</v>
      </c>
      <c r="E386" s="1">
        <v>10</v>
      </c>
      <c r="F386" s="1">
        <v>0.5</v>
      </c>
      <c r="G386" s="1">
        <v>125</v>
      </c>
      <c r="H386" s="1">
        <v>50.619632709999998</v>
      </c>
      <c r="J386" s="1">
        <f t="shared" si="66"/>
        <v>2.5000000000000001E-2</v>
      </c>
      <c r="K386" s="1">
        <f t="shared" si="67"/>
        <v>0.125</v>
      </c>
      <c r="L386" s="1">
        <f t="shared" si="68"/>
        <v>2.9999999999999997E-4</v>
      </c>
      <c r="M386" s="1">
        <f t="shared" si="69"/>
        <v>0.31023227454199215</v>
      </c>
      <c r="N386" s="1">
        <f t="shared" si="70"/>
        <v>3.4722222222222224E-2</v>
      </c>
      <c r="O386" s="1">
        <v>370</v>
      </c>
      <c r="P386" s="1">
        <v>3</v>
      </c>
      <c r="Q386" s="1">
        <v>4148</v>
      </c>
      <c r="R386" s="1">
        <f>[1]!HeatTransferArea(J386,D386,0.36,L386)</f>
        <v>0.7853981633974485</v>
      </c>
      <c r="S386" s="1">
        <f>[1]!Convection(J386,N386,1000,9*10^-4,L386,0.6,0.36,7)</f>
        <v>34434.600792169651</v>
      </c>
      <c r="U386" s="1">
        <f t="shared" si="71"/>
        <v>1.254751024337974</v>
      </c>
      <c r="V386" s="1">
        <f t="shared" si="72"/>
        <v>7.0382882882882884E-6</v>
      </c>
      <c r="W386" s="1">
        <f t="shared" si="73"/>
        <v>2.815315315315316E-7</v>
      </c>
      <c r="X386" s="1">
        <f t="shared" si="74"/>
        <v>5</v>
      </c>
      <c r="Y386" s="1">
        <f t="shared" si="75"/>
        <v>471.2227272277749</v>
      </c>
      <c r="Z386" s="1">
        <f t="shared" si="76"/>
        <v>3.3333333333333335</v>
      </c>
      <c r="AA386" s="1">
        <f t="shared" si="77"/>
        <v>0.29399438068806721</v>
      </c>
    </row>
    <row r="387" spans="1:27" x14ac:dyDescent="0.25">
      <c r="A387" s="1">
        <f>25</f>
        <v>25</v>
      </c>
      <c r="B387" s="1">
        <v>0.3</v>
      </c>
      <c r="C387" s="1">
        <v>5</v>
      </c>
      <c r="D387" s="1">
        <f t="shared" ref="D387:D433" si="78">C387*A387/1000</f>
        <v>0.125</v>
      </c>
      <c r="E387" s="1">
        <v>10</v>
      </c>
      <c r="F387" s="1">
        <v>1</v>
      </c>
      <c r="G387" s="1">
        <v>125</v>
      </c>
      <c r="H387" s="1">
        <v>59.486497200000002</v>
      </c>
      <c r="J387" s="1">
        <f t="shared" ref="J387:J433" si="79">A387/1000</f>
        <v>2.5000000000000001E-2</v>
      </c>
      <c r="K387" s="1">
        <f t="shared" ref="K387:K433" si="80">D387</f>
        <v>0.125</v>
      </c>
      <c r="L387" s="1">
        <f t="shared" ref="L387:L433" si="81">B387/1000</f>
        <v>2.9999999999999997E-4</v>
      </c>
      <c r="M387" s="1">
        <f t="shared" ref="M387:M433" si="82">PI()*J387^2*K387/4*(1-0.36)*7900</f>
        <v>0.31023227454199215</v>
      </c>
      <c r="N387" s="1">
        <f t="shared" ref="N387:N433" si="83">G387/3600</f>
        <v>3.4722222222222224E-2</v>
      </c>
      <c r="O387" s="1">
        <v>370</v>
      </c>
      <c r="P387" s="1">
        <v>3</v>
      </c>
      <c r="Q387" s="1">
        <v>4148</v>
      </c>
      <c r="R387" s="1">
        <f>[1]!HeatTransferArea(J387,D387,0.36,L387)</f>
        <v>0.7853981633974485</v>
      </c>
      <c r="S387" s="1">
        <f>[1]!Convection(J387,N387,1000,9*10^-4,L387,0.6,0.36,7)</f>
        <v>34434.600792169651</v>
      </c>
      <c r="U387" s="1">
        <f t="shared" ref="U387:U433" si="84">N387*Q387/(2*F387*M387*O387)</f>
        <v>0.62737551216898702</v>
      </c>
      <c r="V387" s="1">
        <f t="shared" ref="V387:V433" si="85">K387^2*F387/(O387*P387)</f>
        <v>1.4076576576576577E-5</v>
      </c>
      <c r="W387" s="1">
        <f t="shared" ref="W387:W433" si="86">J387^2*F387/(O387*P387)</f>
        <v>5.630630630630632E-7</v>
      </c>
      <c r="X387" s="1">
        <f t="shared" ref="X387:X433" si="87">C387</f>
        <v>5</v>
      </c>
      <c r="Y387" s="1">
        <f t="shared" ref="Y387:Y433" si="88">S387*R387/(F387*M387*O387)</f>
        <v>235.61136361388745</v>
      </c>
      <c r="Z387" s="1">
        <f t="shared" ref="Z387:Z433" si="89">E387/P387</f>
        <v>3.3333333333333335</v>
      </c>
      <c r="AA387" s="1">
        <f t="shared" ref="AA387:AA433" si="90">H387/(M387*F387*O387*P387)</f>
        <v>0.17274617541981416</v>
      </c>
    </row>
    <row r="388" spans="1:27" x14ac:dyDescent="0.25">
      <c r="A388" s="1">
        <f>25</f>
        <v>25</v>
      </c>
      <c r="B388" s="1">
        <v>0.3</v>
      </c>
      <c r="C388" s="1">
        <v>5</v>
      </c>
      <c r="D388" s="1">
        <f t="shared" si="78"/>
        <v>0.125</v>
      </c>
      <c r="E388" s="1">
        <v>10</v>
      </c>
      <c r="F388" s="1">
        <v>1.5</v>
      </c>
      <c r="G388" s="1">
        <v>125</v>
      </c>
      <c r="H388" s="1">
        <v>59.740393910000002</v>
      </c>
      <c r="J388" s="1">
        <f t="shared" si="79"/>
        <v>2.5000000000000001E-2</v>
      </c>
      <c r="K388" s="1">
        <f t="shared" si="80"/>
        <v>0.125</v>
      </c>
      <c r="L388" s="1">
        <f t="shared" si="81"/>
        <v>2.9999999999999997E-4</v>
      </c>
      <c r="M388" s="1">
        <f t="shared" si="82"/>
        <v>0.31023227454199215</v>
      </c>
      <c r="N388" s="1">
        <f t="shared" si="83"/>
        <v>3.4722222222222224E-2</v>
      </c>
      <c r="O388" s="1">
        <v>370</v>
      </c>
      <c r="P388" s="1">
        <v>3</v>
      </c>
      <c r="Q388" s="1">
        <v>4148</v>
      </c>
      <c r="R388" s="1">
        <f>[1]!HeatTransferArea(J388,D388,0.36,L388)</f>
        <v>0.7853981633974485</v>
      </c>
      <c r="S388" s="1">
        <f>[1]!Convection(J388,N388,1000,9*10^-4,L388,0.6,0.36,7)</f>
        <v>34434.600792169651</v>
      </c>
      <c r="U388" s="1">
        <f t="shared" si="84"/>
        <v>0.41825034144599132</v>
      </c>
      <c r="V388" s="1">
        <f t="shared" si="85"/>
        <v>2.1114864864864866E-5</v>
      </c>
      <c r="W388" s="1">
        <f t="shared" si="86"/>
        <v>8.445945945945948E-7</v>
      </c>
      <c r="X388" s="1">
        <f t="shared" si="87"/>
        <v>5</v>
      </c>
      <c r="Y388" s="1">
        <f t="shared" si="88"/>
        <v>157.07424240925829</v>
      </c>
      <c r="Z388" s="1">
        <f t="shared" si="89"/>
        <v>3.3333333333333335</v>
      </c>
      <c r="AA388" s="1">
        <f t="shared" si="90"/>
        <v>0.11565565354357041</v>
      </c>
    </row>
    <row r="389" spans="1:27" x14ac:dyDescent="0.25">
      <c r="A389" s="1">
        <f>25</f>
        <v>25</v>
      </c>
      <c r="B389" s="1">
        <v>0.4</v>
      </c>
      <c r="C389" s="1">
        <v>3</v>
      </c>
      <c r="D389" s="1">
        <f t="shared" si="78"/>
        <v>7.4999999999999997E-2</v>
      </c>
      <c r="E389" s="1">
        <v>10</v>
      </c>
      <c r="F389" s="1">
        <v>0.5</v>
      </c>
      <c r="G389" s="1">
        <v>125</v>
      </c>
      <c r="H389" s="1">
        <v>-94.126235469999997</v>
      </c>
      <c r="J389" s="1">
        <f t="shared" si="79"/>
        <v>2.5000000000000001E-2</v>
      </c>
      <c r="K389" s="1">
        <f t="shared" si="80"/>
        <v>7.4999999999999997E-2</v>
      </c>
      <c r="L389" s="1">
        <f t="shared" si="81"/>
        <v>4.0000000000000002E-4</v>
      </c>
      <c r="M389" s="1">
        <f t="shared" si="82"/>
        <v>0.18613936472519524</v>
      </c>
      <c r="N389" s="1">
        <f t="shared" si="83"/>
        <v>3.4722222222222224E-2</v>
      </c>
      <c r="O389" s="1">
        <v>370</v>
      </c>
      <c r="P389" s="1">
        <v>3</v>
      </c>
      <c r="Q389" s="1">
        <v>4148</v>
      </c>
      <c r="R389" s="1">
        <f>[1]!HeatTransferArea(J389,D389,0.36,L389)</f>
        <v>0.35342917352885178</v>
      </c>
      <c r="S389" s="1">
        <f>[1]!Convection(J389,N389,1000,9*10^-4,L389,0.6,0.36,7)</f>
        <v>26107.16213192913</v>
      </c>
      <c r="U389" s="1">
        <f t="shared" si="84"/>
        <v>2.091251707229957</v>
      </c>
      <c r="V389" s="1">
        <f t="shared" si="85"/>
        <v>2.5337837837837837E-6</v>
      </c>
      <c r="W389" s="1">
        <f t="shared" si="86"/>
        <v>2.815315315315316E-7</v>
      </c>
      <c r="X389" s="1">
        <f t="shared" si="87"/>
        <v>3</v>
      </c>
      <c r="Y389" s="1">
        <f t="shared" si="88"/>
        <v>267.94897843238931</v>
      </c>
      <c r="Z389" s="1">
        <f t="shared" si="89"/>
        <v>3.3333333333333335</v>
      </c>
      <c r="AA389" s="1">
        <f t="shared" si="90"/>
        <v>-0.91112818031290166</v>
      </c>
    </row>
    <row r="390" spans="1:27" x14ac:dyDescent="0.25">
      <c r="A390" s="1">
        <f>25</f>
        <v>25</v>
      </c>
      <c r="B390" s="1">
        <v>0.4</v>
      </c>
      <c r="C390" s="1">
        <v>3</v>
      </c>
      <c r="D390" s="1">
        <f t="shared" si="78"/>
        <v>7.4999999999999997E-2</v>
      </c>
      <c r="E390" s="1">
        <v>10</v>
      </c>
      <c r="F390" s="1">
        <v>1</v>
      </c>
      <c r="G390" s="1">
        <v>125</v>
      </c>
      <c r="H390" s="1">
        <v>56.099723279999999</v>
      </c>
      <c r="J390" s="1">
        <f t="shared" si="79"/>
        <v>2.5000000000000001E-2</v>
      </c>
      <c r="K390" s="1">
        <f t="shared" si="80"/>
        <v>7.4999999999999997E-2</v>
      </c>
      <c r="L390" s="1">
        <f t="shared" si="81"/>
        <v>4.0000000000000002E-4</v>
      </c>
      <c r="M390" s="1">
        <f t="shared" si="82"/>
        <v>0.18613936472519524</v>
      </c>
      <c r="N390" s="1">
        <f t="shared" si="83"/>
        <v>3.4722222222222224E-2</v>
      </c>
      <c r="O390" s="1">
        <v>370</v>
      </c>
      <c r="P390" s="1">
        <v>3</v>
      </c>
      <c r="Q390" s="1">
        <v>4148</v>
      </c>
      <c r="R390" s="1">
        <f>[1]!HeatTransferArea(J390,D390,0.36,L390)</f>
        <v>0.35342917352885178</v>
      </c>
      <c r="S390" s="1">
        <f>[1]!Convection(J390,N390,1000,9*10^-4,L390,0.6,0.36,7)</f>
        <v>26107.16213192913</v>
      </c>
      <c r="U390" s="1">
        <f t="shared" si="84"/>
        <v>1.0456258536149785</v>
      </c>
      <c r="V390" s="1">
        <f t="shared" si="85"/>
        <v>5.0675675675675673E-6</v>
      </c>
      <c r="W390" s="1">
        <f t="shared" si="86"/>
        <v>5.630630630630632E-7</v>
      </c>
      <c r="X390" s="1">
        <f t="shared" si="87"/>
        <v>3</v>
      </c>
      <c r="Y390" s="1">
        <f t="shared" si="88"/>
        <v>133.97448921619466</v>
      </c>
      <c r="Z390" s="1">
        <f t="shared" si="89"/>
        <v>3.3333333333333335</v>
      </c>
      <c r="AA390" s="1">
        <f t="shared" si="90"/>
        <v>0.2715185544866226</v>
      </c>
    </row>
    <row r="391" spans="1:27" x14ac:dyDescent="0.25">
      <c r="A391" s="1">
        <f>25</f>
        <v>25</v>
      </c>
      <c r="B391" s="1">
        <v>0.4</v>
      </c>
      <c r="C391" s="1">
        <v>3</v>
      </c>
      <c r="D391" s="1">
        <f t="shared" si="78"/>
        <v>7.4999999999999997E-2</v>
      </c>
      <c r="E391" s="1">
        <v>10</v>
      </c>
      <c r="F391" s="1">
        <v>1.5</v>
      </c>
      <c r="G391" s="1">
        <v>125</v>
      </c>
      <c r="H391" s="1">
        <v>61.366964459999998</v>
      </c>
      <c r="J391" s="1">
        <f t="shared" si="79"/>
        <v>2.5000000000000001E-2</v>
      </c>
      <c r="K391" s="1">
        <f t="shared" si="80"/>
        <v>7.4999999999999997E-2</v>
      </c>
      <c r="L391" s="1">
        <f t="shared" si="81"/>
        <v>4.0000000000000002E-4</v>
      </c>
      <c r="M391" s="1">
        <f t="shared" si="82"/>
        <v>0.18613936472519524</v>
      </c>
      <c r="N391" s="1">
        <f t="shared" si="83"/>
        <v>3.4722222222222224E-2</v>
      </c>
      <c r="O391" s="1">
        <v>370</v>
      </c>
      <c r="P391" s="1">
        <v>3</v>
      </c>
      <c r="Q391" s="1">
        <v>4148</v>
      </c>
      <c r="R391" s="1">
        <f>[1]!HeatTransferArea(J391,D391,0.36,L391)</f>
        <v>0.35342917352885178</v>
      </c>
      <c r="S391" s="1">
        <f>[1]!Convection(J391,N391,1000,9*10^-4,L391,0.6,0.36,7)</f>
        <v>26107.16213192913</v>
      </c>
      <c r="U391" s="1">
        <f t="shared" si="84"/>
        <v>0.69708390240998575</v>
      </c>
      <c r="V391" s="1">
        <f t="shared" si="85"/>
        <v>7.6013513513513518E-6</v>
      </c>
      <c r="W391" s="1">
        <f t="shared" si="86"/>
        <v>8.445945945945948E-7</v>
      </c>
      <c r="X391" s="1">
        <f t="shared" si="87"/>
        <v>3</v>
      </c>
      <c r="Y391" s="1">
        <f t="shared" si="88"/>
        <v>89.316326144129775</v>
      </c>
      <c r="Z391" s="1">
        <f t="shared" si="89"/>
        <v>3.3333333333333335</v>
      </c>
      <c r="AA391" s="1">
        <f t="shared" si="90"/>
        <v>0.19800774417665593</v>
      </c>
    </row>
    <row r="392" spans="1:27" x14ac:dyDescent="0.25">
      <c r="A392" s="1">
        <f>25</f>
        <v>25</v>
      </c>
      <c r="B392" s="1">
        <v>0.4</v>
      </c>
      <c r="C392" s="1">
        <v>4</v>
      </c>
      <c r="D392" s="1">
        <f t="shared" si="78"/>
        <v>0.1</v>
      </c>
      <c r="E392" s="1">
        <v>10</v>
      </c>
      <c r="F392" s="1">
        <v>0.5</v>
      </c>
      <c r="G392" s="1">
        <v>125</v>
      </c>
      <c r="H392" s="1">
        <v>28.644961760000001</v>
      </c>
      <c r="J392" s="1">
        <f t="shared" si="79"/>
        <v>2.5000000000000001E-2</v>
      </c>
      <c r="K392" s="1">
        <f t="shared" si="80"/>
        <v>0.1</v>
      </c>
      <c r="L392" s="1">
        <f t="shared" si="81"/>
        <v>4.0000000000000002E-4</v>
      </c>
      <c r="M392" s="1">
        <f t="shared" si="82"/>
        <v>0.24818581963359368</v>
      </c>
      <c r="N392" s="1">
        <f t="shared" si="83"/>
        <v>3.4722222222222224E-2</v>
      </c>
      <c r="O392" s="1">
        <v>370</v>
      </c>
      <c r="P392" s="1">
        <v>3</v>
      </c>
      <c r="Q392" s="1">
        <v>4148</v>
      </c>
      <c r="R392" s="1">
        <f>[1]!HeatTransferArea(J392,D392,0.36,L392)</f>
        <v>0.47123889803846908</v>
      </c>
      <c r="S392" s="1">
        <f>[1]!Convection(J392,N392,1000,9*10^-4,L392,0.6,0.36,7)</f>
        <v>26107.16213192913</v>
      </c>
      <c r="U392" s="1">
        <f t="shared" si="84"/>
        <v>1.5684387804224678</v>
      </c>
      <c r="V392" s="1">
        <f t="shared" si="85"/>
        <v>4.5045045045045056E-6</v>
      </c>
      <c r="W392" s="1">
        <f t="shared" si="86"/>
        <v>2.815315315315316E-7</v>
      </c>
      <c r="X392" s="1">
        <f t="shared" si="87"/>
        <v>4</v>
      </c>
      <c r="Y392" s="1">
        <f t="shared" si="88"/>
        <v>267.94897843238931</v>
      </c>
      <c r="Z392" s="1">
        <f t="shared" si="89"/>
        <v>3.3333333333333335</v>
      </c>
      <c r="AA392" s="1">
        <f t="shared" si="90"/>
        <v>0.20795927739912501</v>
      </c>
    </row>
    <row r="393" spans="1:27" x14ac:dyDescent="0.25">
      <c r="A393" s="1">
        <f>25</f>
        <v>25</v>
      </c>
      <c r="B393" s="1">
        <v>0.4</v>
      </c>
      <c r="C393" s="1">
        <v>4</v>
      </c>
      <c r="D393" s="1">
        <f t="shared" si="78"/>
        <v>0.1</v>
      </c>
      <c r="E393" s="1">
        <v>10</v>
      </c>
      <c r="F393" s="1">
        <v>1</v>
      </c>
      <c r="G393" s="1">
        <v>125</v>
      </c>
      <c r="H393" s="1">
        <v>60.299767660000001</v>
      </c>
      <c r="J393" s="1">
        <f t="shared" si="79"/>
        <v>2.5000000000000001E-2</v>
      </c>
      <c r="K393" s="1">
        <f t="shared" si="80"/>
        <v>0.1</v>
      </c>
      <c r="L393" s="1">
        <f t="shared" si="81"/>
        <v>4.0000000000000002E-4</v>
      </c>
      <c r="M393" s="1">
        <f t="shared" si="82"/>
        <v>0.24818581963359368</v>
      </c>
      <c r="N393" s="1">
        <f t="shared" si="83"/>
        <v>3.4722222222222224E-2</v>
      </c>
      <c r="O393" s="1">
        <v>370</v>
      </c>
      <c r="P393" s="1">
        <v>3</v>
      </c>
      <c r="Q393" s="1">
        <v>4148</v>
      </c>
      <c r="R393" s="1">
        <f>[1]!HeatTransferArea(J393,D393,0.36,L393)</f>
        <v>0.47123889803846908</v>
      </c>
      <c r="S393" s="1">
        <f>[1]!Convection(J393,N393,1000,9*10^-4,L393,0.6,0.36,7)</f>
        <v>26107.16213192913</v>
      </c>
      <c r="U393" s="1">
        <f t="shared" si="84"/>
        <v>0.78421939021123388</v>
      </c>
      <c r="V393" s="1">
        <f t="shared" si="85"/>
        <v>9.0090090090090112E-6</v>
      </c>
      <c r="W393" s="1">
        <f t="shared" si="86"/>
        <v>5.630630630630632E-7</v>
      </c>
      <c r="X393" s="1">
        <f t="shared" si="87"/>
        <v>4</v>
      </c>
      <c r="Y393" s="1">
        <f t="shared" si="88"/>
        <v>133.97448921619466</v>
      </c>
      <c r="Z393" s="1">
        <f t="shared" si="89"/>
        <v>3.3333333333333335</v>
      </c>
      <c r="AA393" s="1">
        <f t="shared" si="90"/>
        <v>0.21888484639940267</v>
      </c>
    </row>
    <row r="394" spans="1:27" x14ac:dyDescent="0.25">
      <c r="A394" s="1">
        <f>25</f>
        <v>25</v>
      </c>
      <c r="B394" s="1">
        <v>0.4</v>
      </c>
      <c r="C394" s="1">
        <v>4</v>
      </c>
      <c r="D394" s="1">
        <f t="shared" si="78"/>
        <v>0.1</v>
      </c>
      <c r="E394" s="1">
        <v>10</v>
      </c>
      <c r="F394" s="1">
        <v>1.5</v>
      </c>
      <c r="G394" s="1">
        <v>125</v>
      </c>
      <c r="H394" s="1">
        <v>62.196564709999997</v>
      </c>
      <c r="J394" s="1">
        <f t="shared" si="79"/>
        <v>2.5000000000000001E-2</v>
      </c>
      <c r="K394" s="1">
        <f t="shared" si="80"/>
        <v>0.1</v>
      </c>
      <c r="L394" s="1">
        <f t="shared" si="81"/>
        <v>4.0000000000000002E-4</v>
      </c>
      <c r="M394" s="1">
        <f t="shared" si="82"/>
        <v>0.24818581963359368</v>
      </c>
      <c r="N394" s="1">
        <f t="shared" si="83"/>
        <v>3.4722222222222224E-2</v>
      </c>
      <c r="O394" s="1">
        <v>370</v>
      </c>
      <c r="P394" s="1">
        <v>3</v>
      </c>
      <c r="Q394" s="1">
        <v>4148</v>
      </c>
      <c r="R394" s="1">
        <f>[1]!HeatTransferArea(J394,D394,0.36,L394)</f>
        <v>0.47123889803846908</v>
      </c>
      <c r="S394" s="1">
        <f>[1]!Convection(J394,N394,1000,9*10^-4,L394,0.6,0.36,7)</f>
        <v>26107.16213192913</v>
      </c>
      <c r="U394" s="1">
        <f t="shared" si="84"/>
        <v>0.52281292680748925</v>
      </c>
      <c r="V394" s="1">
        <f t="shared" si="85"/>
        <v>1.3513513513513517E-5</v>
      </c>
      <c r="W394" s="1">
        <f t="shared" si="86"/>
        <v>8.445945945945948E-7</v>
      </c>
      <c r="X394" s="1">
        <f t="shared" si="87"/>
        <v>4</v>
      </c>
      <c r="Y394" s="1">
        <f t="shared" si="88"/>
        <v>89.316326144129775</v>
      </c>
      <c r="Z394" s="1">
        <f t="shared" si="89"/>
        <v>3.3333333333333335</v>
      </c>
      <c r="AA394" s="1">
        <f t="shared" si="90"/>
        <v>0.15051341037642355</v>
      </c>
    </row>
    <row r="395" spans="1:27" x14ac:dyDescent="0.25">
      <c r="A395" s="1">
        <f>25</f>
        <v>25</v>
      </c>
      <c r="B395" s="1">
        <v>0.4</v>
      </c>
      <c r="C395" s="1">
        <v>5</v>
      </c>
      <c r="D395" s="1">
        <f t="shared" si="78"/>
        <v>0.125</v>
      </c>
      <c r="E395" s="1">
        <v>10</v>
      </c>
      <c r="F395" s="1">
        <v>0.5</v>
      </c>
      <c r="G395" s="1">
        <v>125</v>
      </c>
      <c r="H395" s="1">
        <v>50.81872473</v>
      </c>
      <c r="J395" s="1">
        <f t="shared" si="79"/>
        <v>2.5000000000000001E-2</v>
      </c>
      <c r="K395" s="1">
        <f t="shared" si="80"/>
        <v>0.125</v>
      </c>
      <c r="L395" s="1">
        <f t="shared" si="81"/>
        <v>4.0000000000000002E-4</v>
      </c>
      <c r="M395" s="1">
        <f t="shared" si="82"/>
        <v>0.31023227454199215</v>
      </c>
      <c r="N395" s="1">
        <f t="shared" si="83"/>
        <v>3.4722222222222224E-2</v>
      </c>
      <c r="O395" s="1">
        <v>370</v>
      </c>
      <c r="P395" s="1">
        <v>3</v>
      </c>
      <c r="Q395" s="1">
        <v>4148</v>
      </c>
      <c r="R395" s="1">
        <f>[1]!HeatTransferArea(J395,D395,0.36,L395)</f>
        <v>0.58904862254808632</v>
      </c>
      <c r="S395" s="1">
        <f>[1]!Convection(J395,N395,1000,9*10^-4,L395,0.6,0.36,7)</f>
        <v>26107.16213192913</v>
      </c>
      <c r="U395" s="1">
        <f t="shared" si="84"/>
        <v>1.254751024337974</v>
      </c>
      <c r="V395" s="1">
        <f t="shared" si="85"/>
        <v>7.0382882882882884E-6</v>
      </c>
      <c r="W395" s="1">
        <f t="shared" si="86"/>
        <v>2.815315315315316E-7</v>
      </c>
      <c r="X395" s="1">
        <f t="shared" si="87"/>
        <v>5</v>
      </c>
      <c r="Y395" s="1">
        <f t="shared" si="88"/>
        <v>267.94897843238925</v>
      </c>
      <c r="Z395" s="1">
        <f t="shared" si="89"/>
        <v>3.3333333333333335</v>
      </c>
      <c r="AA395" s="1">
        <f t="shared" si="90"/>
        <v>0.29515068965330932</v>
      </c>
    </row>
    <row r="396" spans="1:27" x14ac:dyDescent="0.25">
      <c r="A396" s="1">
        <f>25</f>
        <v>25</v>
      </c>
      <c r="B396" s="1">
        <v>0.4</v>
      </c>
      <c r="C396" s="1">
        <v>5</v>
      </c>
      <c r="D396" s="1">
        <f t="shared" si="78"/>
        <v>0.125</v>
      </c>
      <c r="E396" s="1">
        <v>10</v>
      </c>
      <c r="F396" s="1">
        <v>1</v>
      </c>
      <c r="G396" s="1">
        <v>125</v>
      </c>
      <c r="H396" s="1">
        <v>61.089273630000001</v>
      </c>
      <c r="J396" s="1">
        <f t="shared" si="79"/>
        <v>2.5000000000000001E-2</v>
      </c>
      <c r="K396" s="1">
        <f t="shared" si="80"/>
        <v>0.125</v>
      </c>
      <c r="L396" s="1">
        <f t="shared" si="81"/>
        <v>4.0000000000000002E-4</v>
      </c>
      <c r="M396" s="1">
        <f t="shared" si="82"/>
        <v>0.31023227454199215</v>
      </c>
      <c r="N396" s="1">
        <f t="shared" si="83"/>
        <v>3.4722222222222224E-2</v>
      </c>
      <c r="O396" s="1">
        <v>370</v>
      </c>
      <c r="P396" s="1">
        <v>3</v>
      </c>
      <c r="Q396" s="1">
        <v>4148</v>
      </c>
      <c r="R396" s="1">
        <f>[1]!HeatTransferArea(J396,D396,0.36,L396)</f>
        <v>0.58904862254808632</v>
      </c>
      <c r="S396" s="1">
        <f>[1]!Convection(J396,N396,1000,9*10^-4,L396,0.6,0.36,7)</f>
        <v>26107.16213192913</v>
      </c>
      <c r="U396" s="1">
        <f t="shared" si="84"/>
        <v>0.62737551216898702</v>
      </c>
      <c r="V396" s="1">
        <f t="shared" si="85"/>
        <v>1.4076576576576577E-5</v>
      </c>
      <c r="W396" s="1">
        <f t="shared" si="86"/>
        <v>5.630630630630632E-7</v>
      </c>
      <c r="X396" s="1">
        <f t="shared" si="87"/>
        <v>5</v>
      </c>
      <c r="Y396" s="1">
        <f t="shared" si="88"/>
        <v>133.97448921619463</v>
      </c>
      <c r="Z396" s="1">
        <f t="shared" si="89"/>
        <v>3.3333333333333335</v>
      </c>
      <c r="AA396" s="1">
        <f t="shared" si="90"/>
        <v>0.17740056778392738</v>
      </c>
    </row>
    <row r="397" spans="1:27" x14ac:dyDescent="0.25">
      <c r="A397" s="1">
        <f>25</f>
        <v>25</v>
      </c>
      <c r="B397" s="1">
        <v>0.4</v>
      </c>
      <c r="C397" s="1">
        <v>5</v>
      </c>
      <c r="D397" s="1">
        <f t="shared" si="78"/>
        <v>0.125</v>
      </c>
      <c r="E397" s="1">
        <v>10</v>
      </c>
      <c r="F397" s="1">
        <v>1.5</v>
      </c>
      <c r="G397" s="1">
        <v>125</v>
      </c>
      <c r="H397" s="1">
        <v>61.774975189999999</v>
      </c>
      <c r="J397" s="1">
        <f t="shared" si="79"/>
        <v>2.5000000000000001E-2</v>
      </c>
      <c r="K397" s="1">
        <f t="shared" si="80"/>
        <v>0.125</v>
      </c>
      <c r="L397" s="1">
        <f t="shared" si="81"/>
        <v>4.0000000000000002E-4</v>
      </c>
      <c r="M397" s="1">
        <f t="shared" si="82"/>
        <v>0.31023227454199215</v>
      </c>
      <c r="N397" s="1">
        <f t="shared" si="83"/>
        <v>3.4722222222222224E-2</v>
      </c>
      <c r="O397" s="1">
        <v>370</v>
      </c>
      <c r="P397" s="1">
        <v>3</v>
      </c>
      <c r="Q397" s="1">
        <v>4148</v>
      </c>
      <c r="R397" s="1">
        <f>[1]!HeatTransferArea(J397,D397,0.36,L397)</f>
        <v>0.58904862254808632</v>
      </c>
      <c r="S397" s="1">
        <f>[1]!Convection(J397,N397,1000,9*10^-4,L397,0.6,0.36,7)</f>
        <v>26107.16213192913</v>
      </c>
      <c r="U397" s="1">
        <f t="shared" si="84"/>
        <v>0.41825034144599132</v>
      </c>
      <c r="V397" s="1">
        <f t="shared" si="85"/>
        <v>2.1114864864864866E-5</v>
      </c>
      <c r="W397" s="1">
        <f t="shared" si="86"/>
        <v>8.445945945945948E-7</v>
      </c>
      <c r="X397" s="1">
        <f t="shared" si="87"/>
        <v>5</v>
      </c>
      <c r="Y397" s="1">
        <f t="shared" si="88"/>
        <v>89.316326144129746</v>
      </c>
      <c r="Z397" s="1">
        <f t="shared" si="89"/>
        <v>3.3333333333333335</v>
      </c>
      <c r="AA397" s="1">
        <f t="shared" si="90"/>
        <v>0.11959454333362458</v>
      </c>
    </row>
    <row r="398" spans="1:27" x14ac:dyDescent="0.25">
      <c r="A398" s="1">
        <f>25</f>
        <v>25</v>
      </c>
      <c r="B398" s="1">
        <v>0.5</v>
      </c>
      <c r="C398" s="1">
        <v>3</v>
      </c>
      <c r="D398" s="1">
        <f t="shared" si="78"/>
        <v>7.4999999999999997E-2</v>
      </c>
      <c r="E398" s="1">
        <v>10</v>
      </c>
      <c r="F398" s="1">
        <v>0.5</v>
      </c>
      <c r="G398" s="1">
        <v>125</v>
      </c>
      <c r="H398" s="1">
        <v>-94.149202669999994</v>
      </c>
      <c r="J398" s="1">
        <f t="shared" si="79"/>
        <v>2.5000000000000001E-2</v>
      </c>
      <c r="K398" s="1">
        <f t="shared" si="80"/>
        <v>7.4999999999999997E-2</v>
      </c>
      <c r="L398" s="1">
        <f t="shared" si="81"/>
        <v>5.0000000000000001E-4</v>
      </c>
      <c r="M398" s="1">
        <f t="shared" si="82"/>
        <v>0.18613936472519524</v>
      </c>
      <c r="N398" s="1">
        <f t="shared" si="83"/>
        <v>3.4722222222222224E-2</v>
      </c>
      <c r="O398" s="1">
        <v>370</v>
      </c>
      <c r="P398" s="1">
        <v>3</v>
      </c>
      <c r="Q398" s="1">
        <v>4148</v>
      </c>
      <c r="R398" s="1">
        <f>[1]!HeatTransferArea(J398,D398,0.36,L398)</f>
        <v>0.28274333882308145</v>
      </c>
      <c r="S398" s="1">
        <f>[1]!Convection(J398,N398,1000,9*10^-4,L398,0.6,0.36,7)</f>
        <v>21089.028408370741</v>
      </c>
      <c r="U398" s="1">
        <f t="shared" si="84"/>
        <v>2.091251707229957</v>
      </c>
      <c r="V398" s="1">
        <f t="shared" si="85"/>
        <v>2.5337837837837837E-6</v>
      </c>
      <c r="W398" s="1">
        <f t="shared" si="86"/>
        <v>2.815315315315316E-7</v>
      </c>
      <c r="X398" s="1">
        <f t="shared" si="87"/>
        <v>3</v>
      </c>
      <c r="Y398" s="1">
        <f t="shared" si="88"/>
        <v>173.15657947345122</v>
      </c>
      <c r="Z398" s="1">
        <f t="shared" si="89"/>
        <v>3.3333333333333335</v>
      </c>
      <c r="AA398" s="1">
        <f t="shared" si="90"/>
        <v>-0.91135049944675839</v>
      </c>
    </row>
    <row r="399" spans="1:27" x14ac:dyDescent="0.25">
      <c r="A399" s="1">
        <f>25</f>
        <v>25</v>
      </c>
      <c r="B399" s="1">
        <v>0.5</v>
      </c>
      <c r="C399" s="1">
        <v>3</v>
      </c>
      <c r="D399" s="1">
        <f t="shared" si="78"/>
        <v>7.4999999999999997E-2</v>
      </c>
      <c r="E399" s="1">
        <v>10</v>
      </c>
      <c r="F399" s="1">
        <v>1</v>
      </c>
      <c r="G399" s="1">
        <v>125</v>
      </c>
      <c r="H399" s="1">
        <v>53.850983890000002</v>
      </c>
      <c r="J399" s="1">
        <f t="shared" si="79"/>
        <v>2.5000000000000001E-2</v>
      </c>
      <c r="K399" s="1">
        <f t="shared" si="80"/>
        <v>7.4999999999999997E-2</v>
      </c>
      <c r="L399" s="1">
        <f t="shared" si="81"/>
        <v>5.0000000000000001E-4</v>
      </c>
      <c r="M399" s="1">
        <f t="shared" si="82"/>
        <v>0.18613936472519524</v>
      </c>
      <c r="N399" s="1">
        <f t="shared" si="83"/>
        <v>3.4722222222222224E-2</v>
      </c>
      <c r="O399" s="1">
        <v>370</v>
      </c>
      <c r="P399" s="1">
        <v>3</v>
      </c>
      <c r="Q399" s="1">
        <v>4148</v>
      </c>
      <c r="R399" s="1">
        <f>[1]!HeatTransferArea(J399,D399,0.36,L399)</f>
        <v>0.28274333882308145</v>
      </c>
      <c r="S399" s="1">
        <f>[1]!Convection(J399,N399,1000,9*10^-4,L399,0.6,0.36,7)</f>
        <v>21089.028408370741</v>
      </c>
      <c r="U399" s="1">
        <f t="shared" si="84"/>
        <v>1.0456258536149785</v>
      </c>
      <c r="V399" s="1">
        <f t="shared" si="85"/>
        <v>5.0675675675675673E-6</v>
      </c>
      <c r="W399" s="1">
        <f t="shared" si="86"/>
        <v>5.630630630630632E-7</v>
      </c>
      <c r="X399" s="1">
        <f t="shared" si="87"/>
        <v>3</v>
      </c>
      <c r="Y399" s="1">
        <f t="shared" si="88"/>
        <v>86.578289736725608</v>
      </c>
      <c r="Z399" s="1">
        <f t="shared" si="89"/>
        <v>3.3333333333333335</v>
      </c>
      <c r="AA399" s="1">
        <f t="shared" si="90"/>
        <v>0.26063482043427294</v>
      </c>
    </row>
    <row r="400" spans="1:27" x14ac:dyDescent="0.25">
      <c r="A400" s="1">
        <f>25</f>
        <v>25</v>
      </c>
      <c r="B400" s="1">
        <v>0.5</v>
      </c>
      <c r="C400" s="1">
        <v>3</v>
      </c>
      <c r="D400" s="1">
        <f t="shared" si="78"/>
        <v>7.4999999999999997E-2</v>
      </c>
      <c r="E400" s="1">
        <v>10</v>
      </c>
      <c r="F400" s="1">
        <v>1.5</v>
      </c>
      <c r="G400" s="1">
        <v>125</v>
      </c>
      <c r="H400" s="1">
        <v>59.900628730000001</v>
      </c>
      <c r="J400" s="1">
        <f t="shared" si="79"/>
        <v>2.5000000000000001E-2</v>
      </c>
      <c r="K400" s="1">
        <f t="shared" si="80"/>
        <v>7.4999999999999997E-2</v>
      </c>
      <c r="L400" s="1">
        <f t="shared" si="81"/>
        <v>5.0000000000000001E-4</v>
      </c>
      <c r="M400" s="1">
        <f t="shared" si="82"/>
        <v>0.18613936472519524</v>
      </c>
      <c r="N400" s="1">
        <f t="shared" si="83"/>
        <v>3.4722222222222224E-2</v>
      </c>
      <c r="O400" s="1">
        <v>370</v>
      </c>
      <c r="P400" s="1">
        <v>3</v>
      </c>
      <c r="Q400" s="1">
        <v>4148</v>
      </c>
      <c r="R400" s="1">
        <f>[1]!HeatTransferArea(J400,D400,0.36,L400)</f>
        <v>0.28274333882308145</v>
      </c>
      <c r="S400" s="1">
        <f>[1]!Convection(J400,N400,1000,9*10^-4,L400,0.6,0.36,7)</f>
        <v>21089.028408370741</v>
      </c>
      <c r="U400" s="1">
        <f t="shared" si="84"/>
        <v>0.69708390240998575</v>
      </c>
      <c r="V400" s="1">
        <f t="shared" si="85"/>
        <v>7.6013513513513518E-6</v>
      </c>
      <c r="W400" s="1">
        <f t="shared" si="86"/>
        <v>8.445945945945948E-7</v>
      </c>
      <c r="X400" s="1">
        <f t="shared" si="87"/>
        <v>3</v>
      </c>
      <c r="Y400" s="1">
        <f t="shared" si="88"/>
        <v>57.718859824483744</v>
      </c>
      <c r="Z400" s="1">
        <f t="shared" si="89"/>
        <v>3.3333333333333335</v>
      </c>
      <c r="AA400" s="1">
        <f t="shared" si="90"/>
        <v>0.19327643910628403</v>
      </c>
    </row>
    <row r="401" spans="1:27" x14ac:dyDescent="0.25">
      <c r="A401" s="1">
        <f>25</f>
        <v>25</v>
      </c>
      <c r="B401" s="1">
        <v>0.5</v>
      </c>
      <c r="C401" s="1">
        <v>4</v>
      </c>
      <c r="D401" s="1">
        <f t="shared" si="78"/>
        <v>0.1</v>
      </c>
      <c r="E401" s="1">
        <v>10</v>
      </c>
      <c r="F401" s="1">
        <v>0.5</v>
      </c>
      <c r="G401" s="1">
        <v>125</v>
      </c>
      <c r="H401" s="1">
        <v>25.945378099999999</v>
      </c>
      <c r="J401" s="1">
        <f t="shared" si="79"/>
        <v>2.5000000000000001E-2</v>
      </c>
      <c r="K401" s="1">
        <f t="shared" si="80"/>
        <v>0.1</v>
      </c>
      <c r="L401" s="1">
        <f t="shared" si="81"/>
        <v>5.0000000000000001E-4</v>
      </c>
      <c r="M401" s="1">
        <f t="shared" si="82"/>
        <v>0.24818581963359368</v>
      </c>
      <c r="N401" s="1">
        <f t="shared" si="83"/>
        <v>3.4722222222222224E-2</v>
      </c>
      <c r="O401" s="1">
        <v>370</v>
      </c>
      <c r="P401" s="1">
        <v>3</v>
      </c>
      <c r="Q401" s="1">
        <v>4148</v>
      </c>
      <c r="R401" s="1">
        <f>[1]!HeatTransferArea(J401,D401,0.36,L401)</f>
        <v>0.37699111843077526</v>
      </c>
      <c r="S401" s="1">
        <f>[1]!Convection(J401,N401,1000,9*10^-4,L401,0.6,0.36,7)</f>
        <v>21089.028408370741</v>
      </c>
      <c r="U401" s="1">
        <f t="shared" si="84"/>
        <v>1.5684387804224678</v>
      </c>
      <c r="V401" s="1">
        <f t="shared" si="85"/>
        <v>4.5045045045045056E-6</v>
      </c>
      <c r="W401" s="1">
        <f t="shared" si="86"/>
        <v>2.815315315315316E-7</v>
      </c>
      <c r="X401" s="1">
        <f t="shared" si="87"/>
        <v>4</v>
      </c>
      <c r="Y401" s="1">
        <f t="shared" si="88"/>
        <v>173.15657947345119</v>
      </c>
      <c r="Z401" s="1">
        <f t="shared" si="89"/>
        <v>3.3333333333333335</v>
      </c>
      <c r="AA401" s="1">
        <f t="shared" si="90"/>
        <v>0.18836059641935032</v>
      </c>
    </row>
    <row r="402" spans="1:27" x14ac:dyDescent="0.25">
      <c r="A402" s="1">
        <f>25</f>
        <v>25</v>
      </c>
      <c r="B402" s="1">
        <v>0.5</v>
      </c>
      <c r="C402" s="1">
        <v>4</v>
      </c>
      <c r="D402" s="1">
        <f t="shared" si="78"/>
        <v>0.1</v>
      </c>
      <c r="E402" s="1">
        <v>10</v>
      </c>
      <c r="F402" s="1">
        <v>1</v>
      </c>
      <c r="G402" s="1">
        <v>125</v>
      </c>
      <c r="H402" s="1">
        <v>59.538602760000003</v>
      </c>
      <c r="J402" s="1">
        <f t="shared" si="79"/>
        <v>2.5000000000000001E-2</v>
      </c>
      <c r="K402" s="1">
        <f t="shared" si="80"/>
        <v>0.1</v>
      </c>
      <c r="L402" s="1">
        <f t="shared" si="81"/>
        <v>5.0000000000000001E-4</v>
      </c>
      <c r="M402" s="1">
        <f t="shared" si="82"/>
        <v>0.24818581963359368</v>
      </c>
      <c r="N402" s="1">
        <f t="shared" si="83"/>
        <v>3.4722222222222224E-2</v>
      </c>
      <c r="O402" s="1">
        <v>370</v>
      </c>
      <c r="P402" s="1">
        <v>3</v>
      </c>
      <c r="Q402" s="1">
        <v>4148</v>
      </c>
      <c r="R402" s="1">
        <f>[1]!HeatTransferArea(J402,D402,0.36,L402)</f>
        <v>0.37699111843077526</v>
      </c>
      <c r="S402" s="1">
        <f>[1]!Convection(J402,N402,1000,9*10^-4,L402,0.6,0.36,7)</f>
        <v>21089.028408370741</v>
      </c>
      <c r="U402" s="1">
        <f t="shared" si="84"/>
        <v>0.78421939021123388</v>
      </c>
      <c r="V402" s="1">
        <f t="shared" si="85"/>
        <v>9.0090090090090112E-6</v>
      </c>
      <c r="W402" s="1">
        <f t="shared" si="86"/>
        <v>5.630630630630632E-7</v>
      </c>
      <c r="X402" s="1">
        <f t="shared" si="87"/>
        <v>4</v>
      </c>
      <c r="Y402" s="1">
        <f t="shared" si="88"/>
        <v>86.578289736725594</v>
      </c>
      <c r="Z402" s="1">
        <f t="shared" si="89"/>
        <v>3.3333333333333335</v>
      </c>
      <c r="AA402" s="1">
        <f t="shared" si="90"/>
        <v>0.21612185959718924</v>
      </c>
    </row>
    <row r="403" spans="1:27" x14ac:dyDescent="0.25">
      <c r="A403" s="1">
        <f>25</f>
        <v>25</v>
      </c>
      <c r="B403" s="1">
        <v>0.5</v>
      </c>
      <c r="C403" s="1">
        <v>4</v>
      </c>
      <c r="D403" s="1">
        <f t="shared" si="78"/>
        <v>0.1</v>
      </c>
      <c r="E403" s="1">
        <v>10</v>
      </c>
      <c r="F403" s="1">
        <v>1.5</v>
      </c>
      <c r="G403" s="1">
        <v>125</v>
      </c>
      <c r="H403" s="1">
        <v>61.891172359999999</v>
      </c>
      <c r="J403" s="1">
        <f t="shared" si="79"/>
        <v>2.5000000000000001E-2</v>
      </c>
      <c r="K403" s="1">
        <f t="shared" si="80"/>
        <v>0.1</v>
      </c>
      <c r="L403" s="1">
        <f t="shared" si="81"/>
        <v>5.0000000000000001E-4</v>
      </c>
      <c r="M403" s="1">
        <f t="shared" si="82"/>
        <v>0.24818581963359368</v>
      </c>
      <c r="N403" s="1">
        <f t="shared" si="83"/>
        <v>3.4722222222222224E-2</v>
      </c>
      <c r="O403" s="1">
        <v>370</v>
      </c>
      <c r="P403" s="1">
        <v>3</v>
      </c>
      <c r="Q403" s="1">
        <v>4148</v>
      </c>
      <c r="R403" s="1">
        <f>[1]!HeatTransferArea(J403,D403,0.36,L403)</f>
        <v>0.37699111843077526</v>
      </c>
      <c r="S403" s="1">
        <f>[1]!Convection(J403,N403,1000,9*10^-4,L403,0.6,0.36,7)</f>
        <v>21089.028408370741</v>
      </c>
      <c r="U403" s="1">
        <f t="shared" si="84"/>
        <v>0.52281292680748925</v>
      </c>
      <c r="V403" s="1">
        <f t="shared" si="85"/>
        <v>1.3513513513513517E-5</v>
      </c>
      <c r="W403" s="1">
        <f t="shared" si="86"/>
        <v>8.445945945945948E-7</v>
      </c>
      <c r="X403" s="1">
        <f t="shared" si="87"/>
        <v>4</v>
      </c>
      <c r="Y403" s="1">
        <f t="shared" si="88"/>
        <v>57.718859824483737</v>
      </c>
      <c r="Z403" s="1">
        <f t="shared" si="89"/>
        <v>3.3333333333333335</v>
      </c>
      <c r="AA403" s="1">
        <f t="shared" si="90"/>
        <v>0.14977437206593661</v>
      </c>
    </row>
    <row r="404" spans="1:27" x14ac:dyDescent="0.25">
      <c r="A404" s="1">
        <f>25</f>
        <v>25</v>
      </c>
      <c r="B404" s="1">
        <v>0.5</v>
      </c>
      <c r="C404" s="1">
        <v>5</v>
      </c>
      <c r="D404" s="1">
        <f t="shared" si="78"/>
        <v>0.125</v>
      </c>
      <c r="E404" s="1">
        <v>10</v>
      </c>
      <c r="F404" s="1">
        <v>0.5</v>
      </c>
      <c r="G404" s="1">
        <v>125</v>
      </c>
      <c r="H404" s="1">
        <v>49.683237990000002</v>
      </c>
      <c r="J404" s="1">
        <f t="shared" si="79"/>
        <v>2.5000000000000001E-2</v>
      </c>
      <c r="K404" s="1">
        <f t="shared" si="80"/>
        <v>0.125</v>
      </c>
      <c r="L404" s="1">
        <f t="shared" si="81"/>
        <v>5.0000000000000001E-4</v>
      </c>
      <c r="M404" s="1">
        <f t="shared" si="82"/>
        <v>0.31023227454199215</v>
      </c>
      <c r="N404" s="1">
        <f t="shared" si="83"/>
        <v>3.4722222222222224E-2</v>
      </c>
      <c r="O404" s="1">
        <v>370</v>
      </c>
      <c r="P404" s="1">
        <v>3</v>
      </c>
      <c r="Q404" s="1">
        <v>4148</v>
      </c>
      <c r="R404" s="1">
        <f>[1]!HeatTransferArea(J404,D404,0.36,L404)</f>
        <v>0.47123889803846908</v>
      </c>
      <c r="S404" s="1">
        <f>[1]!Convection(J404,N404,1000,9*10^-4,L404,0.6,0.36,7)</f>
        <v>21089.028408370741</v>
      </c>
      <c r="U404" s="1">
        <f t="shared" si="84"/>
        <v>1.254751024337974</v>
      </c>
      <c r="V404" s="1">
        <f t="shared" si="85"/>
        <v>7.0382882882882884E-6</v>
      </c>
      <c r="W404" s="1">
        <f t="shared" si="86"/>
        <v>2.815315315315316E-7</v>
      </c>
      <c r="X404" s="1">
        <f t="shared" si="87"/>
        <v>5</v>
      </c>
      <c r="Y404" s="1">
        <f t="shared" si="88"/>
        <v>173.15657947345116</v>
      </c>
      <c r="Z404" s="1">
        <f t="shared" si="89"/>
        <v>3.3333333333333335</v>
      </c>
      <c r="AA404" s="1">
        <f t="shared" si="90"/>
        <v>0.28855588240098679</v>
      </c>
    </row>
    <row r="405" spans="1:27" x14ac:dyDescent="0.25">
      <c r="A405" s="1">
        <f>25</f>
        <v>25</v>
      </c>
      <c r="B405" s="1">
        <v>0.5</v>
      </c>
      <c r="C405" s="1">
        <v>5</v>
      </c>
      <c r="D405" s="1">
        <f t="shared" si="78"/>
        <v>0.125</v>
      </c>
      <c r="E405" s="1">
        <v>10</v>
      </c>
      <c r="F405" s="1">
        <v>1</v>
      </c>
      <c r="G405" s="1">
        <v>125</v>
      </c>
      <c r="H405" s="1">
        <v>61.182947810000002</v>
      </c>
      <c r="J405" s="1">
        <f t="shared" si="79"/>
        <v>2.5000000000000001E-2</v>
      </c>
      <c r="K405" s="1">
        <f t="shared" si="80"/>
        <v>0.125</v>
      </c>
      <c r="L405" s="1">
        <f t="shared" si="81"/>
        <v>5.0000000000000001E-4</v>
      </c>
      <c r="M405" s="1">
        <f t="shared" si="82"/>
        <v>0.31023227454199215</v>
      </c>
      <c r="N405" s="1">
        <f t="shared" si="83"/>
        <v>3.4722222222222224E-2</v>
      </c>
      <c r="O405" s="1">
        <v>370</v>
      </c>
      <c r="P405" s="1">
        <v>3</v>
      </c>
      <c r="Q405" s="1">
        <v>4148</v>
      </c>
      <c r="R405" s="1">
        <f>[1]!HeatTransferArea(J405,D405,0.36,L405)</f>
        <v>0.47123889803846908</v>
      </c>
      <c r="S405" s="1">
        <f>[1]!Convection(J405,N405,1000,9*10^-4,L405,0.6,0.36,7)</f>
        <v>21089.028408370741</v>
      </c>
      <c r="U405" s="1">
        <f t="shared" si="84"/>
        <v>0.62737551216898702</v>
      </c>
      <c r="V405" s="1">
        <f t="shared" si="85"/>
        <v>1.4076576576576577E-5</v>
      </c>
      <c r="W405" s="1">
        <f t="shared" si="86"/>
        <v>5.630630630630632E-7</v>
      </c>
      <c r="X405" s="1">
        <f t="shared" si="87"/>
        <v>5</v>
      </c>
      <c r="Y405" s="1">
        <f t="shared" si="88"/>
        <v>86.57828973672558</v>
      </c>
      <c r="Z405" s="1">
        <f t="shared" si="89"/>
        <v>3.3333333333333335</v>
      </c>
      <c r="AA405" s="1">
        <f t="shared" si="90"/>
        <v>0.17767259348878914</v>
      </c>
    </row>
    <row r="406" spans="1:27" x14ac:dyDescent="0.25">
      <c r="A406" s="1">
        <f>25</f>
        <v>25</v>
      </c>
      <c r="B406" s="1">
        <v>0.5</v>
      </c>
      <c r="C406" s="1">
        <v>5</v>
      </c>
      <c r="D406" s="1">
        <f t="shared" si="78"/>
        <v>0.125</v>
      </c>
      <c r="E406" s="1">
        <v>10</v>
      </c>
      <c r="F406" s="1">
        <v>1.5</v>
      </c>
      <c r="G406" s="1">
        <v>125</v>
      </c>
      <c r="H406" s="1">
        <v>62.188946350000002</v>
      </c>
      <c r="J406" s="1">
        <f t="shared" si="79"/>
        <v>2.5000000000000001E-2</v>
      </c>
      <c r="K406" s="1">
        <f t="shared" si="80"/>
        <v>0.125</v>
      </c>
      <c r="L406" s="1">
        <f t="shared" si="81"/>
        <v>5.0000000000000001E-4</v>
      </c>
      <c r="M406" s="1">
        <f t="shared" si="82"/>
        <v>0.31023227454199215</v>
      </c>
      <c r="N406" s="1">
        <f t="shared" si="83"/>
        <v>3.4722222222222224E-2</v>
      </c>
      <c r="O406" s="1">
        <v>370</v>
      </c>
      <c r="P406" s="1">
        <v>3</v>
      </c>
      <c r="Q406" s="1">
        <v>4148</v>
      </c>
      <c r="R406" s="1">
        <f>[1]!HeatTransferArea(J406,D406,0.36,L406)</f>
        <v>0.47123889803846908</v>
      </c>
      <c r="S406" s="1">
        <f>[1]!Convection(J406,N406,1000,9*10^-4,L406,0.6,0.36,7)</f>
        <v>21089.028408370741</v>
      </c>
      <c r="U406" s="1">
        <f t="shared" si="84"/>
        <v>0.41825034144599132</v>
      </c>
      <c r="V406" s="1">
        <f t="shared" si="85"/>
        <v>2.1114864864864866E-5</v>
      </c>
      <c r="W406" s="1">
        <f t="shared" si="86"/>
        <v>8.445945945945948E-7</v>
      </c>
      <c r="X406" s="1">
        <f t="shared" si="87"/>
        <v>5</v>
      </c>
      <c r="Y406" s="1">
        <f t="shared" si="88"/>
        <v>57.718859824483722</v>
      </c>
      <c r="Z406" s="1">
        <f t="shared" si="89"/>
        <v>3.3333333333333335</v>
      </c>
      <c r="AA406" s="1">
        <f t="shared" si="90"/>
        <v>0.12039597937922748</v>
      </c>
    </row>
    <row r="407" spans="1:27" x14ac:dyDescent="0.25">
      <c r="A407" s="1">
        <f>30</f>
        <v>30</v>
      </c>
      <c r="B407" s="1">
        <v>0.3</v>
      </c>
      <c r="C407" s="1">
        <v>2.5</v>
      </c>
      <c r="D407" s="1">
        <f t="shared" si="78"/>
        <v>7.4999999999999997E-2</v>
      </c>
      <c r="E407" s="1">
        <v>10</v>
      </c>
      <c r="F407" s="1">
        <v>0.5</v>
      </c>
      <c r="G407" s="1">
        <v>75</v>
      </c>
      <c r="H407" s="1">
        <v>23.706186330000001</v>
      </c>
      <c r="J407" s="1">
        <f t="shared" si="79"/>
        <v>0.03</v>
      </c>
      <c r="K407" s="1">
        <f t="shared" si="80"/>
        <v>7.4999999999999997E-2</v>
      </c>
      <c r="L407" s="1">
        <f t="shared" si="81"/>
        <v>2.9999999999999997E-4</v>
      </c>
      <c r="M407" s="1">
        <f t="shared" si="82"/>
        <v>0.26804068520428115</v>
      </c>
      <c r="N407" s="1">
        <f t="shared" si="83"/>
        <v>2.0833333333333332E-2</v>
      </c>
      <c r="O407" s="1">
        <v>370</v>
      </c>
      <c r="P407" s="1">
        <v>3</v>
      </c>
      <c r="Q407" s="1">
        <v>4148</v>
      </c>
      <c r="R407" s="1">
        <f>[1]!HeatTransferArea(J407,D407,0.36,L407)</f>
        <v>0.6785840131753953</v>
      </c>
      <c r="S407" s="1">
        <f>[1]!Convection(J407,N407,1000,9*10^-4,L407,0.6,0.36,7)</f>
        <v>33621.401051203255</v>
      </c>
      <c r="U407" s="1">
        <f t="shared" si="84"/>
        <v>0.87135487801248224</v>
      </c>
      <c r="V407" s="1">
        <f t="shared" si="85"/>
        <v>2.5337837837837837E-6</v>
      </c>
      <c r="W407" s="1">
        <f t="shared" si="86"/>
        <v>4.0540540540540541E-7</v>
      </c>
      <c r="X407" s="1">
        <f t="shared" si="87"/>
        <v>2.5</v>
      </c>
      <c r="Y407" s="1">
        <f t="shared" si="88"/>
        <v>460.09443792272674</v>
      </c>
      <c r="Z407" s="1">
        <f t="shared" si="89"/>
        <v>3.3333333333333335</v>
      </c>
      <c r="AA407" s="1">
        <f t="shared" si="90"/>
        <v>0.15935584260534871</v>
      </c>
    </row>
    <row r="408" spans="1:27" x14ac:dyDescent="0.25">
      <c r="A408" s="1">
        <f>30</f>
        <v>30</v>
      </c>
      <c r="B408" s="1">
        <v>0.3</v>
      </c>
      <c r="C408" s="1">
        <v>2.5</v>
      </c>
      <c r="D408" s="1">
        <f t="shared" si="78"/>
        <v>7.4999999999999997E-2</v>
      </c>
      <c r="E408" s="1">
        <v>10</v>
      </c>
      <c r="F408" s="1">
        <v>1</v>
      </c>
      <c r="G408" s="1">
        <v>75</v>
      </c>
      <c r="H408" s="1">
        <v>37.978153470000002</v>
      </c>
      <c r="J408" s="1">
        <f t="shared" si="79"/>
        <v>0.03</v>
      </c>
      <c r="K408" s="1">
        <f t="shared" si="80"/>
        <v>7.4999999999999997E-2</v>
      </c>
      <c r="L408" s="1">
        <f t="shared" si="81"/>
        <v>2.9999999999999997E-4</v>
      </c>
      <c r="M408" s="1">
        <f t="shared" si="82"/>
        <v>0.26804068520428115</v>
      </c>
      <c r="N408" s="1">
        <f t="shared" si="83"/>
        <v>2.0833333333333332E-2</v>
      </c>
      <c r="O408" s="1">
        <v>370</v>
      </c>
      <c r="P408" s="1">
        <v>3</v>
      </c>
      <c r="Q408" s="1">
        <v>4148</v>
      </c>
      <c r="R408" s="1">
        <f>[1]!HeatTransferArea(J408,D408,0.36,L408)</f>
        <v>0.6785840131753953</v>
      </c>
      <c r="S408" s="1">
        <f>[1]!Convection(J408,N408,1000,9*10^-4,L408,0.6,0.36,7)</f>
        <v>33621.401051203255</v>
      </c>
      <c r="U408" s="1">
        <f t="shared" si="84"/>
        <v>0.43567743900624112</v>
      </c>
      <c r="V408" s="1">
        <f t="shared" si="85"/>
        <v>5.0675675675675673E-6</v>
      </c>
      <c r="W408" s="1">
        <f t="shared" si="86"/>
        <v>8.1081081081081082E-7</v>
      </c>
      <c r="X408" s="1">
        <f t="shared" si="87"/>
        <v>2.5</v>
      </c>
      <c r="Y408" s="1">
        <f t="shared" si="88"/>
        <v>230.04721896136337</v>
      </c>
      <c r="Z408" s="1">
        <f t="shared" si="89"/>
        <v>3.3333333333333335</v>
      </c>
      <c r="AA408" s="1">
        <f t="shared" si="90"/>
        <v>0.12764686319765162</v>
      </c>
    </row>
    <row r="409" spans="1:27" x14ac:dyDescent="0.25">
      <c r="A409" s="1">
        <f>30</f>
        <v>30</v>
      </c>
      <c r="B409" s="1">
        <v>0.3</v>
      </c>
      <c r="C409" s="1">
        <v>2.5</v>
      </c>
      <c r="D409" s="1">
        <f t="shared" si="78"/>
        <v>7.4999999999999997E-2</v>
      </c>
      <c r="E409" s="1">
        <v>10</v>
      </c>
      <c r="F409" s="1">
        <v>1.5</v>
      </c>
      <c r="G409" s="1">
        <v>75</v>
      </c>
      <c r="H409" s="1">
        <v>38.815388820000003</v>
      </c>
      <c r="J409" s="1">
        <f t="shared" si="79"/>
        <v>0.03</v>
      </c>
      <c r="K409" s="1">
        <f t="shared" si="80"/>
        <v>7.4999999999999997E-2</v>
      </c>
      <c r="L409" s="1">
        <f t="shared" si="81"/>
        <v>2.9999999999999997E-4</v>
      </c>
      <c r="M409" s="1">
        <f t="shared" si="82"/>
        <v>0.26804068520428115</v>
      </c>
      <c r="N409" s="1">
        <f t="shared" si="83"/>
        <v>2.0833333333333332E-2</v>
      </c>
      <c r="O409" s="1">
        <v>370</v>
      </c>
      <c r="P409" s="1">
        <v>3</v>
      </c>
      <c r="Q409" s="1">
        <v>4148</v>
      </c>
      <c r="R409" s="1">
        <f>[1]!HeatTransferArea(J409,D409,0.36,L409)</f>
        <v>0.6785840131753953</v>
      </c>
      <c r="S409" s="1">
        <f>[1]!Convection(J409,N409,1000,9*10^-4,L409,0.6,0.36,7)</f>
        <v>33621.401051203255</v>
      </c>
      <c r="U409" s="1">
        <f t="shared" si="84"/>
        <v>0.29045162600416075</v>
      </c>
      <c r="V409" s="1">
        <f t="shared" si="85"/>
        <v>7.6013513513513518E-6</v>
      </c>
      <c r="W409" s="1">
        <f t="shared" si="86"/>
        <v>1.2162162162162162E-6</v>
      </c>
      <c r="X409" s="1">
        <f t="shared" si="87"/>
        <v>2.5</v>
      </c>
      <c r="Y409" s="1">
        <f t="shared" si="88"/>
        <v>153.36481264090892</v>
      </c>
      <c r="Z409" s="1">
        <f t="shared" si="89"/>
        <v>3.3333333333333335</v>
      </c>
      <c r="AA409" s="1">
        <f t="shared" si="90"/>
        <v>8.697390778594194E-2</v>
      </c>
    </row>
    <row r="410" spans="1:27" x14ac:dyDescent="0.25">
      <c r="A410" s="1">
        <f>30</f>
        <v>30</v>
      </c>
      <c r="B410" s="1">
        <v>0.3</v>
      </c>
      <c r="C410" s="1">
        <v>3.3333330000000001</v>
      </c>
      <c r="D410" s="1">
        <f t="shared" si="78"/>
        <v>9.9999989999999997E-2</v>
      </c>
      <c r="E410" s="1">
        <v>10</v>
      </c>
      <c r="F410" s="1">
        <v>0.5</v>
      </c>
      <c r="G410" s="1">
        <v>75</v>
      </c>
      <c r="H410" s="1">
        <v>34.431023500000002</v>
      </c>
      <c r="J410" s="1">
        <f t="shared" si="79"/>
        <v>0.03</v>
      </c>
      <c r="K410" s="1">
        <f t="shared" si="80"/>
        <v>9.9999989999999997E-2</v>
      </c>
      <c r="L410" s="1">
        <f t="shared" si="81"/>
        <v>2.9999999999999997E-4</v>
      </c>
      <c r="M410" s="1">
        <f t="shared" si="82"/>
        <v>0.35738754453361682</v>
      </c>
      <c r="N410" s="1">
        <f t="shared" si="83"/>
        <v>2.0833333333333332E-2</v>
      </c>
      <c r="O410" s="1">
        <v>370</v>
      </c>
      <c r="P410" s="1">
        <v>3</v>
      </c>
      <c r="Q410" s="1">
        <v>4148</v>
      </c>
      <c r="R410" s="1">
        <f>[1]!HeatTransferArea(J410,D410,0.36,L410)</f>
        <v>0.90477859375599201</v>
      </c>
      <c r="S410" s="1">
        <f>[1]!Convection(J410,N410,1000,9*10^-4,L410,0.6,0.36,7)</f>
        <v>33621.401051203255</v>
      </c>
      <c r="U410" s="1">
        <f t="shared" si="84"/>
        <v>0.65351622386098396</v>
      </c>
      <c r="V410" s="1">
        <f t="shared" si="85"/>
        <v>4.5045036036036485E-6</v>
      </c>
      <c r="W410" s="1">
        <f t="shared" si="86"/>
        <v>4.0540540540540541E-7</v>
      </c>
      <c r="X410" s="1">
        <f t="shared" si="87"/>
        <v>3.3333330000000001</v>
      </c>
      <c r="Y410" s="1">
        <f t="shared" si="88"/>
        <v>460.09443792272668</v>
      </c>
      <c r="Z410" s="1">
        <f t="shared" si="89"/>
        <v>3.3333333333333335</v>
      </c>
      <c r="AA410" s="1">
        <f t="shared" si="90"/>
        <v>0.17358713567127332</v>
      </c>
    </row>
    <row r="411" spans="1:27" x14ac:dyDescent="0.25">
      <c r="A411" s="1">
        <f>30</f>
        <v>30</v>
      </c>
      <c r="B411" s="1">
        <v>0.3</v>
      </c>
      <c r="C411" s="1">
        <v>3.3333330000000001</v>
      </c>
      <c r="D411" s="1">
        <f t="shared" si="78"/>
        <v>9.9999989999999997E-2</v>
      </c>
      <c r="E411" s="1">
        <v>10</v>
      </c>
      <c r="F411" s="1">
        <v>1</v>
      </c>
      <c r="G411" s="1">
        <v>75</v>
      </c>
      <c r="H411" s="1">
        <v>38.175800279999997</v>
      </c>
      <c r="J411" s="1">
        <f t="shared" si="79"/>
        <v>0.03</v>
      </c>
      <c r="K411" s="1">
        <f t="shared" si="80"/>
        <v>9.9999989999999997E-2</v>
      </c>
      <c r="L411" s="1">
        <f t="shared" si="81"/>
        <v>2.9999999999999997E-4</v>
      </c>
      <c r="M411" s="1">
        <f t="shared" si="82"/>
        <v>0.35738754453361682</v>
      </c>
      <c r="N411" s="1">
        <f t="shared" si="83"/>
        <v>2.0833333333333332E-2</v>
      </c>
      <c r="O411" s="1">
        <v>370</v>
      </c>
      <c r="P411" s="1">
        <v>3</v>
      </c>
      <c r="Q411" s="1">
        <v>4148</v>
      </c>
      <c r="R411" s="1">
        <f>[1]!HeatTransferArea(J411,D411,0.36,L411)</f>
        <v>0.90477859375599201</v>
      </c>
      <c r="S411" s="1">
        <f>[1]!Convection(J411,N411,1000,9*10^-4,L411,0.6,0.36,7)</f>
        <v>33621.401051203255</v>
      </c>
      <c r="U411" s="1">
        <f t="shared" si="84"/>
        <v>0.32675811193049198</v>
      </c>
      <c r="V411" s="1">
        <f t="shared" si="85"/>
        <v>9.009007207207297E-6</v>
      </c>
      <c r="W411" s="1">
        <f t="shared" si="86"/>
        <v>8.1081081081081082E-7</v>
      </c>
      <c r="X411" s="1">
        <f t="shared" si="87"/>
        <v>3.3333330000000001</v>
      </c>
      <c r="Y411" s="1">
        <f t="shared" si="88"/>
        <v>230.04721896136334</v>
      </c>
      <c r="Z411" s="1">
        <f t="shared" si="89"/>
        <v>3.3333333333333335</v>
      </c>
      <c r="AA411" s="1">
        <f t="shared" si="90"/>
        <v>9.6233384153738458E-2</v>
      </c>
    </row>
    <row r="412" spans="1:27" x14ac:dyDescent="0.25">
      <c r="A412" s="1">
        <f>30</f>
        <v>30</v>
      </c>
      <c r="B412" s="1">
        <v>0.3</v>
      </c>
      <c r="C412" s="1">
        <v>3.3333330000000001</v>
      </c>
      <c r="D412" s="1">
        <f t="shared" si="78"/>
        <v>9.9999989999999997E-2</v>
      </c>
      <c r="E412" s="1">
        <v>10</v>
      </c>
      <c r="F412" s="1">
        <v>1.5</v>
      </c>
      <c r="G412" s="1">
        <v>75</v>
      </c>
      <c r="H412" s="1">
        <v>38.326135549999996</v>
      </c>
      <c r="J412" s="1">
        <f t="shared" si="79"/>
        <v>0.03</v>
      </c>
      <c r="K412" s="1">
        <f t="shared" si="80"/>
        <v>9.9999989999999997E-2</v>
      </c>
      <c r="L412" s="1">
        <f t="shared" si="81"/>
        <v>2.9999999999999997E-4</v>
      </c>
      <c r="M412" s="1">
        <f t="shared" si="82"/>
        <v>0.35738754453361682</v>
      </c>
      <c r="N412" s="1">
        <f t="shared" si="83"/>
        <v>2.0833333333333332E-2</v>
      </c>
      <c r="O412" s="1">
        <v>370</v>
      </c>
      <c r="P412" s="1">
        <v>3</v>
      </c>
      <c r="Q412" s="1">
        <v>4148</v>
      </c>
      <c r="R412" s="1">
        <f>[1]!HeatTransferArea(J412,D412,0.36,L412)</f>
        <v>0.90477859375599201</v>
      </c>
      <c r="S412" s="1">
        <f>[1]!Convection(J412,N412,1000,9*10^-4,L412,0.6,0.36,7)</f>
        <v>33621.401051203255</v>
      </c>
      <c r="U412" s="1">
        <f t="shared" si="84"/>
        <v>0.21783874128699468</v>
      </c>
      <c r="V412" s="1">
        <f t="shared" si="85"/>
        <v>1.3513510810810946E-5</v>
      </c>
      <c r="W412" s="1">
        <f t="shared" si="86"/>
        <v>1.2162162162162162E-6</v>
      </c>
      <c r="X412" s="1">
        <f t="shared" si="87"/>
        <v>3.3333330000000001</v>
      </c>
      <c r="Y412" s="1">
        <f t="shared" si="88"/>
        <v>153.36481264090889</v>
      </c>
      <c r="Z412" s="1">
        <f t="shared" si="89"/>
        <v>3.3333333333333335</v>
      </c>
      <c r="AA412" s="1">
        <f t="shared" si="90"/>
        <v>6.440823241355248E-2</v>
      </c>
    </row>
    <row r="413" spans="1:27" x14ac:dyDescent="0.25">
      <c r="A413" s="1">
        <f>30</f>
        <v>30</v>
      </c>
      <c r="B413" s="1">
        <v>0.3</v>
      </c>
      <c r="C413" s="1">
        <v>4.1666660000000002</v>
      </c>
      <c r="D413" s="1">
        <f t="shared" si="78"/>
        <v>0.12499998000000001</v>
      </c>
      <c r="E413" s="1">
        <v>10</v>
      </c>
      <c r="F413" s="1">
        <v>0.5</v>
      </c>
      <c r="G413" s="1">
        <v>75</v>
      </c>
      <c r="H413" s="1">
        <v>36.361894929999998</v>
      </c>
      <c r="J413" s="1">
        <f t="shared" si="79"/>
        <v>0.03</v>
      </c>
      <c r="K413" s="1">
        <f t="shared" si="80"/>
        <v>0.12499998000000001</v>
      </c>
      <c r="L413" s="1">
        <f t="shared" si="81"/>
        <v>2.9999999999999997E-4</v>
      </c>
      <c r="M413" s="1">
        <f t="shared" si="82"/>
        <v>0.4467344038629526</v>
      </c>
      <c r="N413" s="1">
        <f t="shared" si="83"/>
        <v>2.0833333333333332E-2</v>
      </c>
      <c r="O413" s="1">
        <v>370</v>
      </c>
      <c r="P413" s="1">
        <v>3</v>
      </c>
      <c r="Q413" s="1">
        <v>4148</v>
      </c>
      <c r="R413" s="1">
        <f>[1]!HeatTransferArea(J413,D413,0.36,L413)</f>
        <v>1.1309731743365889</v>
      </c>
      <c r="S413" s="1">
        <f>[1]!Convection(J413,N413,1000,9*10^-4,L413,0.6,0.36,7)</f>
        <v>33621.401051203255</v>
      </c>
      <c r="U413" s="1">
        <f t="shared" si="84"/>
        <v>0.52281301045757089</v>
      </c>
      <c r="V413" s="1">
        <f t="shared" si="85"/>
        <v>7.038286036036218E-6</v>
      </c>
      <c r="W413" s="1">
        <f t="shared" si="86"/>
        <v>4.0540540540540541E-7</v>
      </c>
      <c r="X413" s="1">
        <f t="shared" si="87"/>
        <v>4.1666660000000002</v>
      </c>
      <c r="Y413" s="1">
        <f t="shared" si="88"/>
        <v>460.09443792272674</v>
      </c>
      <c r="Z413" s="1">
        <f t="shared" si="89"/>
        <v>3.3333333333333335</v>
      </c>
      <c r="AA413" s="1">
        <f t="shared" si="90"/>
        <v>0.1466574484420072</v>
      </c>
    </row>
    <row r="414" spans="1:27" x14ac:dyDescent="0.25">
      <c r="A414" s="1">
        <f>30</f>
        <v>30</v>
      </c>
      <c r="B414" s="1">
        <v>0.3</v>
      </c>
      <c r="C414" s="1">
        <v>4.1666660000000002</v>
      </c>
      <c r="D414" s="1">
        <f t="shared" si="78"/>
        <v>0.12499998000000001</v>
      </c>
      <c r="E414" s="1">
        <v>10</v>
      </c>
      <c r="F414" s="1">
        <v>1</v>
      </c>
      <c r="G414" s="1">
        <v>75</v>
      </c>
      <c r="H414" s="1">
        <v>37.810833670000001</v>
      </c>
      <c r="J414" s="1">
        <f t="shared" si="79"/>
        <v>0.03</v>
      </c>
      <c r="K414" s="1">
        <f t="shared" si="80"/>
        <v>0.12499998000000001</v>
      </c>
      <c r="L414" s="1">
        <f t="shared" si="81"/>
        <v>2.9999999999999997E-4</v>
      </c>
      <c r="M414" s="1">
        <f t="shared" si="82"/>
        <v>0.4467344038629526</v>
      </c>
      <c r="N414" s="1">
        <f t="shared" si="83"/>
        <v>2.0833333333333332E-2</v>
      </c>
      <c r="O414" s="1">
        <v>370</v>
      </c>
      <c r="P414" s="1">
        <v>3</v>
      </c>
      <c r="Q414" s="1">
        <v>4148</v>
      </c>
      <c r="R414" s="1">
        <f>[1]!HeatTransferArea(J414,D414,0.36,L414)</f>
        <v>1.1309731743365889</v>
      </c>
      <c r="S414" s="1">
        <f>[1]!Convection(J414,N414,1000,9*10^-4,L414,0.6,0.36,7)</f>
        <v>33621.401051203255</v>
      </c>
      <c r="U414" s="1">
        <f t="shared" si="84"/>
        <v>0.26140650522878545</v>
      </c>
      <c r="V414" s="1">
        <f t="shared" si="85"/>
        <v>1.4076572072072436E-5</v>
      </c>
      <c r="W414" s="1">
        <f t="shared" si="86"/>
        <v>8.1081081081081082E-7</v>
      </c>
      <c r="X414" s="1">
        <f t="shared" si="87"/>
        <v>4.1666660000000002</v>
      </c>
      <c r="Y414" s="1">
        <f t="shared" si="88"/>
        <v>230.04721896136337</v>
      </c>
      <c r="Z414" s="1">
        <f t="shared" si="89"/>
        <v>3.3333333333333335</v>
      </c>
      <c r="AA414" s="1">
        <f t="shared" si="90"/>
        <v>7.6250706958237935E-2</v>
      </c>
    </row>
    <row r="415" spans="1:27" x14ac:dyDescent="0.25">
      <c r="A415" s="1">
        <f>30</f>
        <v>30</v>
      </c>
      <c r="B415" s="1">
        <v>0.3</v>
      </c>
      <c r="C415" s="1">
        <v>4.1666660000000002</v>
      </c>
      <c r="D415" s="1">
        <f t="shared" si="78"/>
        <v>0.12499998000000001</v>
      </c>
      <c r="E415" s="1">
        <v>10</v>
      </c>
      <c r="F415" s="1">
        <v>1.5</v>
      </c>
      <c r="G415" s="1">
        <v>75</v>
      </c>
      <c r="H415" s="1">
        <v>37.705874940000001</v>
      </c>
      <c r="J415" s="1">
        <f t="shared" si="79"/>
        <v>0.03</v>
      </c>
      <c r="K415" s="1">
        <f t="shared" si="80"/>
        <v>0.12499998000000001</v>
      </c>
      <c r="L415" s="1">
        <f t="shared" si="81"/>
        <v>2.9999999999999997E-4</v>
      </c>
      <c r="M415" s="1">
        <f t="shared" si="82"/>
        <v>0.4467344038629526</v>
      </c>
      <c r="N415" s="1">
        <f t="shared" si="83"/>
        <v>2.0833333333333332E-2</v>
      </c>
      <c r="O415" s="1">
        <v>370</v>
      </c>
      <c r="P415" s="1">
        <v>3</v>
      </c>
      <c r="Q415" s="1">
        <v>4148</v>
      </c>
      <c r="R415" s="1">
        <f>[1]!HeatTransferArea(J415,D415,0.36,L415)</f>
        <v>1.1309731743365889</v>
      </c>
      <c r="S415" s="1">
        <f>[1]!Convection(J415,N415,1000,9*10^-4,L415,0.6,0.36,7)</f>
        <v>33621.401051203255</v>
      </c>
      <c r="U415" s="1">
        <f t="shared" si="84"/>
        <v>0.17427100348585695</v>
      </c>
      <c r="V415" s="1">
        <f t="shared" si="85"/>
        <v>2.1114858108108653E-5</v>
      </c>
      <c r="W415" s="1">
        <f t="shared" si="86"/>
        <v>1.2162162162162162E-6</v>
      </c>
      <c r="X415" s="1">
        <f t="shared" si="87"/>
        <v>4.1666660000000002</v>
      </c>
      <c r="Y415" s="1">
        <f t="shared" si="88"/>
        <v>153.36481264090892</v>
      </c>
      <c r="Z415" s="1">
        <f t="shared" si="89"/>
        <v>3.3333333333333335</v>
      </c>
      <c r="AA415" s="1">
        <f t="shared" si="90"/>
        <v>5.0692695568802522E-2</v>
      </c>
    </row>
    <row r="416" spans="1:27" x14ac:dyDescent="0.25">
      <c r="A416" s="1">
        <f>30</f>
        <v>30</v>
      </c>
      <c r="B416" s="1">
        <v>0.4</v>
      </c>
      <c r="C416" s="1">
        <v>2.5</v>
      </c>
      <c r="D416" s="1">
        <f t="shared" si="78"/>
        <v>7.4999999999999997E-2</v>
      </c>
      <c r="E416" s="1">
        <v>10</v>
      </c>
      <c r="F416" s="1">
        <v>0.5</v>
      </c>
      <c r="G416" s="1">
        <v>75</v>
      </c>
      <c r="H416" s="1">
        <v>22.160251519999999</v>
      </c>
      <c r="J416" s="1">
        <f t="shared" si="79"/>
        <v>0.03</v>
      </c>
      <c r="K416" s="1">
        <f t="shared" si="80"/>
        <v>7.4999999999999997E-2</v>
      </c>
      <c r="L416" s="1">
        <f t="shared" si="81"/>
        <v>4.0000000000000002E-4</v>
      </c>
      <c r="M416" s="1">
        <f t="shared" si="82"/>
        <v>0.26804068520428115</v>
      </c>
      <c r="N416" s="1">
        <f t="shared" si="83"/>
        <v>2.0833333333333332E-2</v>
      </c>
      <c r="O416" s="1">
        <v>370</v>
      </c>
      <c r="P416" s="1">
        <v>3</v>
      </c>
      <c r="Q416" s="1">
        <v>4148</v>
      </c>
      <c r="R416" s="1">
        <f>[1]!HeatTransferArea(J416,D416,0.36,L416)</f>
        <v>0.50893800988154647</v>
      </c>
      <c r="S416" s="1">
        <f>[1]!Convection(J416,N416,1000,9*10^-4,L416,0.6,0.36,7)</f>
        <v>25382.356203397117</v>
      </c>
      <c r="U416" s="1">
        <f t="shared" si="84"/>
        <v>0.87135487801248224</v>
      </c>
      <c r="V416" s="1">
        <f t="shared" si="85"/>
        <v>2.5337837837837837E-6</v>
      </c>
      <c r="W416" s="1">
        <f t="shared" si="86"/>
        <v>4.0540540540540541E-7</v>
      </c>
      <c r="X416" s="1">
        <f t="shared" si="87"/>
        <v>2.5</v>
      </c>
      <c r="Y416" s="1">
        <f t="shared" si="88"/>
        <v>260.50998498183839</v>
      </c>
      <c r="Z416" s="1">
        <f t="shared" si="89"/>
        <v>3.3333333333333335</v>
      </c>
      <c r="AA416" s="1">
        <f t="shared" si="90"/>
        <v>0.14896388242958938</v>
      </c>
    </row>
    <row r="417" spans="1:27" x14ac:dyDescent="0.25">
      <c r="A417" s="1">
        <f>30</f>
        <v>30</v>
      </c>
      <c r="B417" s="1">
        <v>0.4</v>
      </c>
      <c r="C417" s="1">
        <v>2.5</v>
      </c>
      <c r="D417" s="1">
        <f t="shared" si="78"/>
        <v>7.4999999999999997E-2</v>
      </c>
      <c r="E417" s="1">
        <v>10</v>
      </c>
      <c r="F417" s="1">
        <v>1</v>
      </c>
      <c r="G417" s="1">
        <v>75</v>
      </c>
      <c r="H417" s="1">
        <v>37.620716270000003</v>
      </c>
      <c r="J417" s="1">
        <f t="shared" si="79"/>
        <v>0.03</v>
      </c>
      <c r="K417" s="1">
        <f t="shared" si="80"/>
        <v>7.4999999999999997E-2</v>
      </c>
      <c r="L417" s="1">
        <f t="shared" si="81"/>
        <v>4.0000000000000002E-4</v>
      </c>
      <c r="M417" s="1">
        <f t="shared" si="82"/>
        <v>0.26804068520428115</v>
      </c>
      <c r="N417" s="1">
        <f t="shared" si="83"/>
        <v>2.0833333333333332E-2</v>
      </c>
      <c r="O417" s="1">
        <v>370</v>
      </c>
      <c r="P417" s="1">
        <v>3</v>
      </c>
      <c r="Q417" s="1">
        <v>4148</v>
      </c>
      <c r="R417" s="1">
        <f>[1]!HeatTransferArea(J417,D417,0.36,L417)</f>
        <v>0.50893800988154647</v>
      </c>
      <c r="S417" s="1">
        <f>[1]!Convection(J417,N417,1000,9*10^-4,L417,0.6,0.36,7)</f>
        <v>25382.356203397117</v>
      </c>
      <c r="U417" s="1">
        <f t="shared" si="84"/>
        <v>0.43567743900624112</v>
      </c>
      <c r="V417" s="1">
        <f t="shared" si="85"/>
        <v>5.0675675675675673E-6</v>
      </c>
      <c r="W417" s="1">
        <f t="shared" si="86"/>
        <v>8.1081081081081082E-7</v>
      </c>
      <c r="X417" s="1">
        <f t="shared" si="87"/>
        <v>2.5</v>
      </c>
      <c r="Y417" s="1">
        <f t="shared" si="88"/>
        <v>130.25499249091919</v>
      </c>
      <c r="Z417" s="1">
        <f t="shared" si="89"/>
        <v>3.3333333333333335</v>
      </c>
      <c r="AA417" s="1">
        <f t="shared" si="90"/>
        <v>0.12644549522155471</v>
      </c>
    </row>
    <row r="418" spans="1:27" x14ac:dyDescent="0.25">
      <c r="A418" s="1">
        <f>30</f>
        <v>30</v>
      </c>
      <c r="B418" s="1">
        <v>0.4</v>
      </c>
      <c r="C418" s="1">
        <v>2.5</v>
      </c>
      <c r="D418" s="1">
        <f t="shared" si="78"/>
        <v>7.4999999999999997E-2</v>
      </c>
      <c r="E418" s="1">
        <v>10</v>
      </c>
      <c r="F418" s="1">
        <v>1.5</v>
      </c>
      <c r="G418" s="1">
        <v>75</v>
      </c>
      <c r="H418" s="1">
        <v>38.740036799999999</v>
      </c>
      <c r="J418" s="1">
        <f t="shared" si="79"/>
        <v>0.03</v>
      </c>
      <c r="K418" s="1">
        <f t="shared" si="80"/>
        <v>7.4999999999999997E-2</v>
      </c>
      <c r="L418" s="1">
        <f t="shared" si="81"/>
        <v>4.0000000000000002E-4</v>
      </c>
      <c r="M418" s="1">
        <f t="shared" si="82"/>
        <v>0.26804068520428115</v>
      </c>
      <c r="N418" s="1">
        <f t="shared" si="83"/>
        <v>2.0833333333333332E-2</v>
      </c>
      <c r="O418" s="1">
        <v>370</v>
      </c>
      <c r="P418" s="1">
        <v>3</v>
      </c>
      <c r="Q418" s="1">
        <v>4148</v>
      </c>
      <c r="R418" s="1">
        <f>[1]!HeatTransferArea(J418,D418,0.36,L418)</f>
        <v>0.50893800988154647</v>
      </c>
      <c r="S418" s="1">
        <f>[1]!Convection(J418,N418,1000,9*10^-4,L418,0.6,0.36,7)</f>
        <v>25382.356203397117</v>
      </c>
      <c r="U418" s="1">
        <f t="shared" si="84"/>
        <v>0.29045162600416075</v>
      </c>
      <c r="V418" s="1">
        <f t="shared" si="85"/>
        <v>7.6013513513513518E-6</v>
      </c>
      <c r="W418" s="1">
        <f t="shared" si="86"/>
        <v>1.2162162162162162E-6</v>
      </c>
      <c r="X418" s="1">
        <f t="shared" si="87"/>
        <v>2.5</v>
      </c>
      <c r="Y418" s="1">
        <f t="shared" si="88"/>
        <v>86.836661660612791</v>
      </c>
      <c r="Z418" s="1">
        <f t="shared" si="89"/>
        <v>3.3333333333333335</v>
      </c>
      <c r="AA418" s="1">
        <f t="shared" si="90"/>
        <v>8.6805065998233566E-2</v>
      </c>
    </row>
    <row r="419" spans="1:27" x14ac:dyDescent="0.25">
      <c r="A419" s="1">
        <f>30</f>
        <v>30</v>
      </c>
      <c r="B419" s="1">
        <v>0.4</v>
      </c>
      <c r="C419" s="1">
        <v>3.3333330000000001</v>
      </c>
      <c r="D419" s="1">
        <f t="shared" si="78"/>
        <v>9.9999989999999997E-2</v>
      </c>
      <c r="E419" s="1">
        <v>10</v>
      </c>
      <c r="F419" s="1">
        <v>0.5</v>
      </c>
      <c r="G419" s="1">
        <v>75</v>
      </c>
      <c r="H419" s="1">
        <v>34.019660999999999</v>
      </c>
      <c r="J419" s="1">
        <f t="shared" si="79"/>
        <v>0.03</v>
      </c>
      <c r="K419" s="1">
        <f t="shared" si="80"/>
        <v>9.9999989999999997E-2</v>
      </c>
      <c r="L419" s="1">
        <f t="shared" si="81"/>
        <v>4.0000000000000002E-4</v>
      </c>
      <c r="M419" s="1">
        <f t="shared" si="82"/>
        <v>0.35738754453361682</v>
      </c>
      <c r="N419" s="1">
        <f t="shared" si="83"/>
        <v>2.0833333333333332E-2</v>
      </c>
      <c r="O419" s="1">
        <v>370</v>
      </c>
      <c r="P419" s="1">
        <v>3</v>
      </c>
      <c r="Q419" s="1">
        <v>4148</v>
      </c>
      <c r="R419" s="1">
        <f>[1]!HeatTransferArea(J419,D419,0.36,L419)</f>
        <v>0.67858394531699395</v>
      </c>
      <c r="S419" s="1">
        <f>[1]!Convection(J419,N419,1000,9*10^-4,L419,0.6,0.36,7)</f>
        <v>25382.356203397117</v>
      </c>
      <c r="U419" s="1">
        <f t="shared" si="84"/>
        <v>0.65351622386098396</v>
      </c>
      <c r="V419" s="1">
        <f t="shared" si="85"/>
        <v>4.5045036036036485E-6</v>
      </c>
      <c r="W419" s="1">
        <f t="shared" si="86"/>
        <v>4.0540540540540541E-7</v>
      </c>
      <c r="X419" s="1">
        <f t="shared" si="87"/>
        <v>3.3333330000000001</v>
      </c>
      <c r="Y419" s="1">
        <f t="shared" si="88"/>
        <v>260.50998498183833</v>
      </c>
      <c r="Z419" s="1">
        <f t="shared" si="89"/>
        <v>3.3333333333333335</v>
      </c>
      <c r="AA419" s="1">
        <f t="shared" si="90"/>
        <v>0.17151321422372834</v>
      </c>
    </row>
    <row r="420" spans="1:27" x14ac:dyDescent="0.25">
      <c r="A420" s="1">
        <f>30</f>
        <v>30</v>
      </c>
      <c r="B420" s="1">
        <v>0.4</v>
      </c>
      <c r="C420" s="1">
        <v>3.3333330000000001</v>
      </c>
      <c r="D420" s="1">
        <f t="shared" si="78"/>
        <v>9.9999989999999997E-2</v>
      </c>
      <c r="E420" s="1">
        <v>10</v>
      </c>
      <c r="F420" s="1">
        <v>1</v>
      </c>
      <c r="G420" s="1">
        <v>75</v>
      </c>
      <c r="H420" s="1">
        <v>38.36391141</v>
      </c>
      <c r="J420" s="1">
        <f t="shared" si="79"/>
        <v>0.03</v>
      </c>
      <c r="K420" s="1">
        <f t="shared" si="80"/>
        <v>9.9999989999999997E-2</v>
      </c>
      <c r="L420" s="1">
        <f t="shared" si="81"/>
        <v>4.0000000000000002E-4</v>
      </c>
      <c r="M420" s="1">
        <f t="shared" si="82"/>
        <v>0.35738754453361682</v>
      </c>
      <c r="N420" s="1">
        <f t="shared" si="83"/>
        <v>2.0833333333333332E-2</v>
      </c>
      <c r="O420" s="1">
        <v>370</v>
      </c>
      <c r="P420" s="1">
        <v>3</v>
      </c>
      <c r="Q420" s="1">
        <v>4148</v>
      </c>
      <c r="R420" s="1">
        <f>[1]!HeatTransferArea(J420,D420,0.36,L420)</f>
        <v>0.67858394531699395</v>
      </c>
      <c r="S420" s="1">
        <f>[1]!Convection(J420,N420,1000,9*10^-4,L420,0.6,0.36,7)</f>
        <v>25382.356203397117</v>
      </c>
      <c r="U420" s="1">
        <f t="shared" si="84"/>
        <v>0.32675811193049198</v>
      </c>
      <c r="V420" s="1">
        <f t="shared" si="85"/>
        <v>9.009007207207297E-6</v>
      </c>
      <c r="W420" s="1">
        <f t="shared" si="86"/>
        <v>8.1081081081081082E-7</v>
      </c>
      <c r="X420" s="1">
        <f t="shared" si="87"/>
        <v>3.3333330000000001</v>
      </c>
      <c r="Y420" s="1">
        <f t="shared" si="88"/>
        <v>130.25499249091916</v>
      </c>
      <c r="Z420" s="1">
        <f t="shared" si="89"/>
        <v>3.3333333333333335</v>
      </c>
      <c r="AA420" s="1">
        <f t="shared" si="90"/>
        <v>9.6707573836839034E-2</v>
      </c>
    </row>
    <row r="421" spans="1:27" x14ac:dyDescent="0.25">
      <c r="A421" s="1">
        <f>30</f>
        <v>30</v>
      </c>
      <c r="B421" s="1">
        <v>0.4</v>
      </c>
      <c r="C421" s="1">
        <v>3.3333330000000001</v>
      </c>
      <c r="D421" s="1">
        <f t="shared" si="78"/>
        <v>9.9999989999999997E-2</v>
      </c>
      <c r="E421" s="1">
        <v>10</v>
      </c>
      <c r="F421" s="1">
        <v>1.5</v>
      </c>
      <c r="G421" s="1">
        <v>75</v>
      </c>
      <c r="H421" s="1">
        <v>38.687449819999998</v>
      </c>
      <c r="J421" s="1">
        <f t="shared" si="79"/>
        <v>0.03</v>
      </c>
      <c r="K421" s="1">
        <f t="shared" si="80"/>
        <v>9.9999989999999997E-2</v>
      </c>
      <c r="L421" s="1">
        <f t="shared" si="81"/>
        <v>4.0000000000000002E-4</v>
      </c>
      <c r="M421" s="1">
        <f t="shared" si="82"/>
        <v>0.35738754453361682</v>
      </c>
      <c r="N421" s="1">
        <f t="shared" si="83"/>
        <v>2.0833333333333332E-2</v>
      </c>
      <c r="O421" s="1">
        <v>370</v>
      </c>
      <c r="P421" s="1">
        <v>3</v>
      </c>
      <c r="Q421" s="1">
        <v>4148</v>
      </c>
      <c r="R421" s="1">
        <f>[1]!HeatTransferArea(J421,D421,0.36,L421)</f>
        <v>0.67858394531699395</v>
      </c>
      <c r="S421" s="1">
        <f>[1]!Convection(J421,N421,1000,9*10^-4,L421,0.6,0.36,7)</f>
        <v>25382.356203397117</v>
      </c>
      <c r="U421" s="1">
        <f t="shared" si="84"/>
        <v>0.21783874128699468</v>
      </c>
      <c r="V421" s="1">
        <f t="shared" si="85"/>
        <v>1.3513510810810946E-5</v>
      </c>
      <c r="W421" s="1">
        <f t="shared" si="86"/>
        <v>1.2162162162162162E-6</v>
      </c>
      <c r="X421" s="1">
        <f t="shared" si="87"/>
        <v>3.3333330000000001</v>
      </c>
      <c r="Y421" s="1">
        <f t="shared" si="88"/>
        <v>86.836661660612776</v>
      </c>
      <c r="Z421" s="1">
        <f t="shared" si="89"/>
        <v>3.3333333333333335</v>
      </c>
      <c r="AA421" s="1">
        <f t="shared" si="90"/>
        <v>6.5015431995313941E-2</v>
      </c>
    </row>
    <row r="422" spans="1:27" x14ac:dyDescent="0.25">
      <c r="A422" s="1">
        <f>30</f>
        <v>30</v>
      </c>
      <c r="B422" s="1">
        <v>0.4</v>
      </c>
      <c r="C422" s="1">
        <v>4.1666660000000002</v>
      </c>
      <c r="D422" s="1">
        <f t="shared" si="78"/>
        <v>0.12499998000000001</v>
      </c>
      <c r="E422" s="1">
        <v>10</v>
      </c>
      <c r="F422" s="1">
        <v>0.5</v>
      </c>
      <c r="G422" s="1">
        <v>75</v>
      </c>
      <c r="H422" s="1">
        <v>36.481501199999997</v>
      </c>
      <c r="J422" s="1">
        <f t="shared" si="79"/>
        <v>0.03</v>
      </c>
      <c r="K422" s="1">
        <f t="shared" si="80"/>
        <v>0.12499998000000001</v>
      </c>
      <c r="L422" s="1">
        <f t="shared" si="81"/>
        <v>4.0000000000000002E-4</v>
      </c>
      <c r="M422" s="1">
        <f t="shared" si="82"/>
        <v>0.4467344038629526</v>
      </c>
      <c r="N422" s="1">
        <f t="shared" si="83"/>
        <v>2.0833333333333332E-2</v>
      </c>
      <c r="O422" s="1">
        <v>370</v>
      </c>
      <c r="P422" s="1">
        <v>3</v>
      </c>
      <c r="Q422" s="1">
        <v>4148</v>
      </c>
      <c r="R422" s="1">
        <f>[1]!HeatTransferArea(J422,D422,0.36,L422)</f>
        <v>0.84822988075244155</v>
      </c>
      <c r="S422" s="1">
        <f>[1]!Convection(J422,N422,1000,9*10^-4,L422,0.6,0.36,7)</f>
        <v>25382.356203397117</v>
      </c>
      <c r="U422" s="1">
        <f t="shared" si="84"/>
        <v>0.52281301045757089</v>
      </c>
      <c r="V422" s="1">
        <f t="shared" si="85"/>
        <v>7.038286036036218E-6</v>
      </c>
      <c r="W422" s="1">
        <f t="shared" si="86"/>
        <v>4.0540540540540541E-7</v>
      </c>
      <c r="X422" s="1">
        <f t="shared" si="87"/>
        <v>4.1666660000000002</v>
      </c>
      <c r="Y422" s="1">
        <f t="shared" si="88"/>
        <v>260.50998498183827</v>
      </c>
      <c r="Z422" s="1">
        <f t="shared" si="89"/>
        <v>3.3333333333333335</v>
      </c>
      <c r="AA422" s="1">
        <f t="shared" si="90"/>
        <v>0.14713985317942899</v>
      </c>
    </row>
    <row r="423" spans="1:27" x14ac:dyDescent="0.25">
      <c r="A423" s="1">
        <f>30</f>
        <v>30</v>
      </c>
      <c r="B423" s="1">
        <v>0.4</v>
      </c>
      <c r="C423" s="1">
        <v>4.1666660000000002</v>
      </c>
      <c r="D423" s="1">
        <f t="shared" si="78"/>
        <v>0.12499998000000001</v>
      </c>
      <c r="E423" s="1">
        <v>10</v>
      </c>
      <c r="F423" s="1">
        <v>1</v>
      </c>
      <c r="G423" s="1">
        <v>75</v>
      </c>
      <c r="H423" s="1">
        <v>38.334344199999997</v>
      </c>
      <c r="J423" s="1">
        <f t="shared" si="79"/>
        <v>0.03</v>
      </c>
      <c r="K423" s="1">
        <f t="shared" si="80"/>
        <v>0.12499998000000001</v>
      </c>
      <c r="L423" s="1">
        <f t="shared" si="81"/>
        <v>4.0000000000000002E-4</v>
      </c>
      <c r="M423" s="1">
        <f t="shared" si="82"/>
        <v>0.4467344038629526</v>
      </c>
      <c r="N423" s="1">
        <f t="shared" si="83"/>
        <v>2.0833333333333332E-2</v>
      </c>
      <c r="O423" s="1">
        <v>370</v>
      </c>
      <c r="P423" s="1">
        <v>3</v>
      </c>
      <c r="Q423" s="1">
        <v>4148</v>
      </c>
      <c r="R423" s="1">
        <f>[1]!HeatTransferArea(J423,D423,0.36,L423)</f>
        <v>0.84822988075244155</v>
      </c>
      <c r="S423" s="1">
        <f>[1]!Convection(J423,N423,1000,9*10^-4,L423,0.6,0.36,7)</f>
        <v>25382.356203397117</v>
      </c>
      <c r="U423" s="1">
        <f t="shared" si="84"/>
        <v>0.26140650522878545</v>
      </c>
      <c r="V423" s="1">
        <f t="shared" si="85"/>
        <v>1.4076572072072436E-5</v>
      </c>
      <c r="W423" s="1">
        <f t="shared" si="86"/>
        <v>8.1081081081081082E-7</v>
      </c>
      <c r="X423" s="1">
        <f t="shared" si="87"/>
        <v>4.1666660000000002</v>
      </c>
      <c r="Y423" s="1">
        <f t="shared" si="88"/>
        <v>130.25499249091914</v>
      </c>
      <c r="Z423" s="1">
        <f t="shared" si="89"/>
        <v>3.3333333333333335</v>
      </c>
      <c r="AA423" s="1">
        <f t="shared" si="90"/>
        <v>7.730643739679352E-2</v>
      </c>
    </row>
    <row r="424" spans="1:27" x14ac:dyDescent="0.25">
      <c r="A424" s="1">
        <f>30</f>
        <v>30</v>
      </c>
      <c r="B424" s="1">
        <v>0.4</v>
      </c>
      <c r="C424" s="1">
        <v>4.1666660000000002</v>
      </c>
      <c r="D424" s="1">
        <f t="shared" si="78"/>
        <v>0.12499998000000001</v>
      </c>
      <c r="E424" s="1">
        <v>10</v>
      </c>
      <c r="F424" s="1">
        <v>1.5</v>
      </c>
      <c r="G424" s="1">
        <v>75</v>
      </c>
      <c r="H424" s="1">
        <v>38.346542620000001</v>
      </c>
      <c r="J424" s="1">
        <f t="shared" si="79"/>
        <v>0.03</v>
      </c>
      <c r="K424" s="1">
        <f t="shared" si="80"/>
        <v>0.12499998000000001</v>
      </c>
      <c r="L424" s="1">
        <f t="shared" si="81"/>
        <v>4.0000000000000002E-4</v>
      </c>
      <c r="M424" s="1">
        <f t="shared" si="82"/>
        <v>0.4467344038629526</v>
      </c>
      <c r="N424" s="1">
        <f t="shared" si="83"/>
        <v>2.0833333333333332E-2</v>
      </c>
      <c r="O424" s="1">
        <v>370</v>
      </c>
      <c r="P424" s="1">
        <v>3</v>
      </c>
      <c r="Q424" s="1">
        <v>4148</v>
      </c>
      <c r="R424" s="1">
        <f>[1]!HeatTransferArea(J424,D424,0.36,L424)</f>
        <v>0.84822988075244155</v>
      </c>
      <c r="S424" s="1">
        <f>[1]!Convection(J424,N424,1000,9*10^-4,L424,0.6,0.36,7)</f>
        <v>25382.356203397117</v>
      </c>
      <c r="U424" s="1">
        <f t="shared" si="84"/>
        <v>0.17427100348585695</v>
      </c>
      <c r="V424" s="1">
        <f t="shared" si="85"/>
        <v>2.1114858108108653E-5</v>
      </c>
      <c r="W424" s="1">
        <f t="shared" si="86"/>
        <v>1.2162162162162162E-6</v>
      </c>
      <c r="X424" s="1">
        <f t="shared" si="87"/>
        <v>4.1666660000000002</v>
      </c>
      <c r="Y424" s="1">
        <f t="shared" si="88"/>
        <v>86.836661660612776</v>
      </c>
      <c r="Z424" s="1">
        <f t="shared" si="89"/>
        <v>3.3333333333333335</v>
      </c>
      <c r="AA424" s="1">
        <f t="shared" si="90"/>
        <v>5.1554024783803921E-2</v>
      </c>
    </row>
    <row r="425" spans="1:27" x14ac:dyDescent="0.25">
      <c r="A425" s="1">
        <f>30</f>
        <v>30</v>
      </c>
      <c r="B425" s="1">
        <v>0.5</v>
      </c>
      <c r="C425" s="1">
        <v>2.5</v>
      </c>
      <c r="D425" s="1">
        <f t="shared" si="78"/>
        <v>7.4999999999999997E-2</v>
      </c>
      <c r="E425" s="1">
        <v>10</v>
      </c>
      <c r="F425" s="1">
        <v>0.5</v>
      </c>
      <c r="G425" s="1">
        <v>75</v>
      </c>
      <c r="H425" s="1">
        <v>20.09823381</v>
      </c>
      <c r="J425" s="1">
        <f t="shared" si="79"/>
        <v>0.03</v>
      </c>
      <c r="K425" s="1">
        <f t="shared" si="80"/>
        <v>7.4999999999999997E-2</v>
      </c>
      <c r="L425" s="1">
        <f t="shared" si="81"/>
        <v>5.0000000000000001E-4</v>
      </c>
      <c r="M425" s="1">
        <f t="shared" si="82"/>
        <v>0.26804068520428115</v>
      </c>
      <c r="N425" s="1">
        <f t="shared" si="83"/>
        <v>2.0833333333333332E-2</v>
      </c>
      <c r="O425" s="1">
        <v>370</v>
      </c>
      <c r="P425" s="1">
        <v>3</v>
      </c>
      <c r="Q425" s="1">
        <v>4148</v>
      </c>
      <c r="R425" s="1">
        <f>[1]!HeatTransferArea(J425,D425,0.36,L425)</f>
        <v>0.40715040790523715</v>
      </c>
      <c r="S425" s="1">
        <f>[1]!Convection(J425,N425,1000,9*10^-4,L425,0.6,0.36,7)</f>
        <v>20426.113582801609</v>
      </c>
      <c r="U425" s="1">
        <f t="shared" si="84"/>
        <v>0.87135487801248224</v>
      </c>
      <c r="V425" s="1">
        <f t="shared" si="85"/>
        <v>2.5337837837837837E-6</v>
      </c>
      <c r="W425" s="1">
        <f t="shared" si="86"/>
        <v>4.0540540540540541E-7</v>
      </c>
      <c r="X425" s="1">
        <f t="shared" si="87"/>
        <v>2.5</v>
      </c>
      <c r="Y425" s="1">
        <f t="shared" si="88"/>
        <v>167.7135566155452</v>
      </c>
      <c r="Z425" s="1">
        <f t="shared" si="89"/>
        <v>3.3333333333333335</v>
      </c>
      <c r="AA425" s="1">
        <f t="shared" si="90"/>
        <v>0.13510275077939363</v>
      </c>
    </row>
    <row r="426" spans="1:27" x14ac:dyDescent="0.25">
      <c r="A426" s="1">
        <f>30</f>
        <v>30</v>
      </c>
      <c r="B426" s="1">
        <v>0.5</v>
      </c>
      <c r="C426" s="1">
        <v>2.5</v>
      </c>
      <c r="D426" s="1">
        <f t="shared" si="78"/>
        <v>7.4999999999999997E-2</v>
      </c>
      <c r="E426" s="1">
        <v>10</v>
      </c>
      <c r="F426" s="1">
        <v>1</v>
      </c>
      <c r="G426" s="1">
        <v>75</v>
      </c>
      <c r="H426" s="1">
        <v>36.74566325</v>
      </c>
      <c r="J426" s="1">
        <f t="shared" si="79"/>
        <v>0.03</v>
      </c>
      <c r="K426" s="1">
        <f t="shared" si="80"/>
        <v>7.4999999999999997E-2</v>
      </c>
      <c r="L426" s="1">
        <f t="shared" si="81"/>
        <v>5.0000000000000001E-4</v>
      </c>
      <c r="M426" s="1">
        <f t="shared" si="82"/>
        <v>0.26804068520428115</v>
      </c>
      <c r="N426" s="1">
        <f t="shared" si="83"/>
        <v>2.0833333333333332E-2</v>
      </c>
      <c r="O426" s="1">
        <v>370</v>
      </c>
      <c r="P426" s="1">
        <v>3</v>
      </c>
      <c r="Q426" s="1">
        <v>4148</v>
      </c>
      <c r="R426" s="1">
        <f>[1]!HeatTransferArea(J426,D426,0.36,L426)</f>
        <v>0.40715040790523715</v>
      </c>
      <c r="S426" s="1">
        <f>[1]!Convection(J426,N426,1000,9*10^-4,L426,0.6,0.36,7)</f>
        <v>20426.113582801609</v>
      </c>
      <c r="U426" s="1">
        <f t="shared" si="84"/>
        <v>0.43567743900624112</v>
      </c>
      <c r="V426" s="1">
        <f t="shared" si="85"/>
        <v>5.0675675675675673E-6</v>
      </c>
      <c r="W426" s="1">
        <f t="shared" si="86"/>
        <v>8.1081081081081082E-7</v>
      </c>
      <c r="X426" s="1">
        <f t="shared" si="87"/>
        <v>2.5</v>
      </c>
      <c r="Y426" s="1">
        <f t="shared" si="88"/>
        <v>83.856778307772601</v>
      </c>
      <c r="Z426" s="1">
        <f t="shared" si="89"/>
        <v>3.3333333333333335</v>
      </c>
      <c r="AA426" s="1">
        <f t="shared" si="90"/>
        <v>0.12350438927171264</v>
      </c>
    </row>
    <row r="427" spans="1:27" x14ac:dyDescent="0.25">
      <c r="A427" s="1">
        <f>30</f>
        <v>30</v>
      </c>
      <c r="B427" s="1">
        <v>0.5</v>
      </c>
      <c r="C427" s="1">
        <v>2.5</v>
      </c>
      <c r="D427" s="1">
        <f t="shared" si="78"/>
        <v>7.4999999999999997E-2</v>
      </c>
      <c r="E427" s="1">
        <v>10</v>
      </c>
      <c r="F427" s="1">
        <v>1.5</v>
      </c>
      <c r="G427" s="1">
        <v>75</v>
      </c>
      <c r="H427" s="1">
        <v>38.106496049999997</v>
      </c>
      <c r="J427" s="1">
        <f t="shared" si="79"/>
        <v>0.03</v>
      </c>
      <c r="K427" s="1">
        <f t="shared" si="80"/>
        <v>7.4999999999999997E-2</v>
      </c>
      <c r="L427" s="1">
        <f t="shared" si="81"/>
        <v>5.0000000000000001E-4</v>
      </c>
      <c r="M427" s="1">
        <f t="shared" si="82"/>
        <v>0.26804068520428115</v>
      </c>
      <c r="N427" s="1">
        <f t="shared" si="83"/>
        <v>2.0833333333333332E-2</v>
      </c>
      <c r="O427" s="1">
        <v>370</v>
      </c>
      <c r="P427" s="1">
        <v>3</v>
      </c>
      <c r="Q427" s="1">
        <v>4148</v>
      </c>
      <c r="R427" s="1">
        <f>[1]!HeatTransferArea(J427,D427,0.36,L427)</f>
        <v>0.40715040790523715</v>
      </c>
      <c r="S427" s="1">
        <f>[1]!Convection(J427,N427,1000,9*10^-4,L427,0.6,0.36,7)</f>
        <v>20426.113582801609</v>
      </c>
      <c r="U427" s="1">
        <f t="shared" si="84"/>
        <v>0.29045162600416075</v>
      </c>
      <c r="V427" s="1">
        <f t="shared" si="85"/>
        <v>7.6013513513513518E-6</v>
      </c>
      <c r="W427" s="1">
        <f t="shared" si="86"/>
        <v>1.2162162162162162E-6</v>
      </c>
      <c r="X427" s="1">
        <f t="shared" si="87"/>
        <v>2.5</v>
      </c>
      <c r="Y427" s="1">
        <f t="shared" si="88"/>
        <v>55.904518871848396</v>
      </c>
      <c r="Z427" s="1">
        <f t="shared" si="89"/>
        <v>3.3333333333333335</v>
      </c>
      <c r="AA427" s="1">
        <f t="shared" si="90"/>
        <v>8.538548689715432E-2</v>
      </c>
    </row>
    <row r="428" spans="1:27" x14ac:dyDescent="0.25">
      <c r="A428" s="1">
        <f>30</f>
        <v>30</v>
      </c>
      <c r="B428" s="1">
        <v>0.5</v>
      </c>
      <c r="C428" s="1">
        <v>3.3333330000000001</v>
      </c>
      <c r="D428" s="1">
        <f t="shared" si="78"/>
        <v>9.9999989999999997E-2</v>
      </c>
      <c r="E428" s="1">
        <v>10</v>
      </c>
      <c r="F428" s="1">
        <v>0.5</v>
      </c>
      <c r="G428" s="1">
        <v>75</v>
      </c>
      <c r="H428" s="1">
        <v>33.140628970000002</v>
      </c>
      <c r="J428" s="1">
        <f t="shared" si="79"/>
        <v>0.03</v>
      </c>
      <c r="K428" s="1">
        <f t="shared" si="80"/>
        <v>9.9999989999999997E-2</v>
      </c>
      <c r="L428" s="1">
        <f t="shared" si="81"/>
        <v>5.0000000000000001E-4</v>
      </c>
      <c r="M428" s="1">
        <f t="shared" si="82"/>
        <v>0.35738754453361682</v>
      </c>
      <c r="N428" s="1">
        <f t="shared" si="83"/>
        <v>2.0833333333333332E-2</v>
      </c>
      <c r="O428" s="1">
        <v>370</v>
      </c>
      <c r="P428" s="1">
        <v>3</v>
      </c>
      <c r="Q428" s="1">
        <v>4148</v>
      </c>
      <c r="R428" s="1">
        <f>[1]!HeatTransferArea(J428,D428,0.36,L428)</f>
        <v>0.54286715625359516</v>
      </c>
      <c r="S428" s="1">
        <f>[1]!Convection(J428,N428,1000,9*10^-4,L428,0.6,0.36,7)</f>
        <v>20426.113582801609</v>
      </c>
      <c r="U428" s="1">
        <f t="shared" si="84"/>
        <v>0.65351622386098396</v>
      </c>
      <c r="V428" s="1">
        <f t="shared" si="85"/>
        <v>4.5045036036036485E-6</v>
      </c>
      <c r="W428" s="1">
        <f t="shared" si="86"/>
        <v>4.0540540540540541E-7</v>
      </c>
      <c r="X428" s="1">
        <f t="shared" si="87"/>
        <v>3.3333330000000001</v>
      </c>
      <c r="Y428" s="1">
        <f t="shared" si="88"/>
        <v>167.71355661554517</v>
      </c>
      <c r="Z428" s="1">
        <f t="shared" si="89"/>
        <v>3.3333333333333335</v>
      </c>
      <c r="AA428" s="1">
        <f t="shared" si="90"/>
        <v>0.16708149431708647</v>
      </c>
    </row>
    <row r="429" spans="1:27" x14ac:dyDescent="0.25">
      <c r="A429" s="1">
        <f>30</f>
        <v>30</v>
      </c>
      <c r="B429" s="1">
        <v>0.5</v>
      </c>
      <c r="C429" s="1">
        <v>3.3333330000000001</v>
      </c>
      <c r="D429" s="1">
        <f t="shared" si="78"/>
        <v>9.9999989999999997E-2</v>
      </c>
      <c r="E429" s="1">
        <v>10</v>
      </c>
      <c r="F429" s="1">
        <v>1</v>
      </c>
      <c r="G429" s="1">
        <v>75</v>
      </c>
      <c r="H429" s="1">
        <v>38.046915490000004</v>
      </c>
      <c r="J429" s="1">
        <f t="shared" si="79"/>
        <v>0.03</v>
      </c>
      <c r="K429" s="1">
        <f t="shared" si="80"/>
        <v>9.9999989999999997E-2</v>
      </c>
      <c r="L429" s="1">
        <f t="shared" si="81"/>
        <v>5.0000000000000001E-4</v>
      </c>
      <c r="M429" s="1">
        <f t="shared" si="82"/>
        <v>0.35738754453361682</v>
      </c>
      <c r="N429" s="1">
        <f t="shared" si="83"/>
        <v>2.0833333333333332E-2</v>
      </c>
      <c r="O429" s="1">
        <v>370</v>
      </c>
      <c r="P429" s="1">
        <v>3</v>
      </c>
      <c r="Q429" s="1">
        <v>4148</v>
      </c>
      <c r="R429" s="1">
        <f>[1]!HeatTransferArea(J429,D429,0.36,L429)</f>
        <v>0.54286715625359516</v>
      </c>
      <c r="S429" s="1">
        <f>[1]!Convection(J429,N429,1000,9*10^-4,L429,0.6,0.36,7)</f>
        <v>20426.113582801609</v>
      </c>
      <c r="U429" s="1">
        <f t="shared" si="84"/>
        <v>0.32675811193049198</v>
      </c>
      <c r="V429" s="1">
        <f t="shared" si="85"/>
        <v>9.009007207207297E-6</v>
      </c>
      <c r="W429" s="1">
        <f t="shared" si="86"/>
        <v>8.1081081081081082E-7</v>
      </c>
      <c r="X429" s="1">
        <f t="shared" si="87"/>
        <v>3.3333330000000001</v>
      </c>
      <c r="Y429" s="1">
        <f t="shared" si="88"/>
        <v>83.856778307772586</v>
      </c>
      <c r="Z429" s="1">
        <f t="shared" si="89"/>
        <v>3.3333333333333335</v>
      </c>
      <c r="AA429" s="1">
        <f t="shared" si="90"/>
        <v>9.5908491959817876E-2</v>
      </c>
    </row>
    <row r="430" spans="1:27" x14ac:dyDescent="0.25">
      <c r="A430" s="1">
        <f>30</f>
        <v>30</v>
      </c>
      <c r="B430" s="1">
        <v>0.5</v>
      </c>
      <c r="C430" s="1">
        <v>3.3333330000000001</v>
      </c>
      <c r="D430" s="1">
        <f t="shared" si="78"/>
        <v>9.9999989999999997E-2</v>
      </c>
      <c r="E430" s="1">
        <v>10</v>
      </c>
      <c r="F430" s="1">
        <v>1.5</v>
      </c>
      <c r="G430" s="1">
        <v>75</v>
      </c>
      <c r="H430" s="1">
        <v>38.506324489999997</v>
      </c>
      <c r="J430" s="1">
        <f t="shared" si="79"/>
        <v>0.03</v>
      </c>
      <c r="K430" s="1">
        <f t="shared" si="80"/>
        <v>9.9999989999999997E-2</v>
      </c>
      <c r="L430" s="1">
        <f t="shared" si="81"/>
        <v>5.0000000000000001E-4</v>
      </c>
      <c r="M430" s="1">
        <f t="shared" si="82"/>
        <v>0.35738754453361682</v>
      </c>
      <c r="N430" s="1">
        <f t="shared" si="83"/>
        <v>2.0833333333333332E-2</v>
      </c>
      <c r="O430" s="1">
        <v>370</v>
      </c>
      <c r="P430" s="1">
        <v>3</v>
      </c>
      <c r="Q430" s="1">
        <v>4148</v>
      </c>
      <c r="R430" s="1">
        <f>[1]!HeatTransferArea(J430,D430,0.36,L430)</f>
        <v>0.54286715625359516</v>
      </c>
      <c r="S430" s="1">
        <f>[1]!Convection(J430,N430,1000,9*10^-4,L430,0.6,0.36,7)</f>
        <v>20426.113582801609</v>
      </c>
      <c r="U430" s="1">
        <f t="shared" si="84"/>
        <v>0.21783874128699468</v>
      </c>
      <c r="V430" s="1">
        <f t="shared" si="85"/>
        <v>1.3513510810810946E-5</v>
      </c>
      <c r="W430" s="1">
        <f t="shared" si="86"/>
        <v>1.2162162162162162E-6</v>
      </c>
      <c r="X430" s="1">
        <f t="shared" si="87"/>
        <v>3.3333330000000001</v>
      </c>
      <c r="Y430" s="1">
        <f t="shared" si="88"/>
        <v>55.904518871848396</v>
      </c>
      <c r="Z430" s="1">
        <f t="shared" si="89"/>
        <v>3.3333333333333335</v>
      </c>
      <c r="AA430" s="1">
        <f t="shared" si="90"/>
        <v>6.4711045388545246E-2</v>
      </c>
    </row>
    <row r="431" spans="1:27" x14ac:dyDescent="0.25">
      <c r="A431" s="1">
        <f>30</f>
        <v>30</v>
      </c>
      <c r="B431" s="1">
        <v>0.5</v>
      </c>
      <c r="C431" s="1">
        <v>4.1666660000000002</v>
      </c>
      <c r="D431" s="1">
        <f t="shared" si="78"/>
        <v>0.12499998000000001</v>
      </c>
      <c r="E431" s="1">
        <v>10</v>
      </c>
      <c r="F431" s="1">
        <v>0.5</v>
      </c>
      <c r="G431" s="1">
        <v>75</v>
      </c>
      <c r="H431" s="1">
        <v>36.125026339999998</v>
      </c>
      <c r="J431" s="1">
        <f t="shared" si="79"/>
        <v>0.03</v>
      </c>
      <c r="K431" s="1">
        <f t="shared" si="80"/>
        <v>0.12499998000000001</v>
      </c>
      <c r="L431" s="1">
        <f t="shared" si="81"/>
        <v>5.0000000000000001E-4</v>
      </c>
      <c r="M431" s="1">
        <f t="shared" si="82"/>
        <v>0.4467344038629526</v>
      </c>
      <c r="N431" s="1">
        <f t="shared" si="83"/>
        <v>2.0833333333333332E-2</v>
      </c>
      <c r="O431" s="1">
        <v>370</v>
      </c>
      <c r="P431" s="1">
        <v>3</v>
      </c>
      <c r="Q431" s="1">
        <v>4148</v>
      </c>
      <c r="R431" s="1">
        <f>[1]!HeatTransferArea(J431,D431,0.36,L431)</f>
        <v>0.67858390460195328</v>
      </c>
      <c r="S431" s="1">
        <f>[1]!Convection(J431,N431,1000,9*10^-4,L431,0.6,0.36,7)</f>
        <v>20426.113582801609</v>
      </c>
      <c r="U431" s="1">
        <f t="shared" si="84"/>
        <v>0.52281301045757089</v>
      </c>
      <c r="V431" s="1">
        <f t="shared" si="85"/>
        <v>7.038286036036218E-6</v>
      </c>
      <c r="W431" s="1">
        <f t="shared" si="86"/>
        <v>4.0540540540540541E-7</v>
      </c>
      <c r="X431" s="1">
        <f t="shared" si="87"/>
        <v>4.1666660000000002</v>
      </c>
      <c r="Y431" s="1">
        <f t="shared" si="88"/>
        <v>167.71355661554517</v>
      </c>
      <c r="Z431" s="1">
        <f t="shared" si="89"/>
        <v>3.3333333333333335</v>
      </c>
      <c r="AA431" s="1">
        <f t="shared" si="90"/>
        <v>0.14570209275737275</v>
      </c>
    </row>
    <row r="432" spans="1:27" x14ac:dyDescent="0.25">
      <c r="A432" s="1">
        <f>30</f>
        <v>30</v>
      </c>
      <c r="B432" s="1">
        <v>0.5</v>
      </c>
      <c r="C432" s="1">
        <v>4.1666660000000002</v>
      </c>
      <c r="D432" s="1">
        <f t="shared" si="78"/>
        <v>0.12499998000000001</v>
      </c>
      <c r="E432" s="1">
        <v>10</v>
      </c>
      <c r="F432" s="1">
        <v>1</v>
      </c>
      <c r="G432" s="1">
        <v>75</v>
      </c>
      <c r="H432" s="1">
        <v>38.32398749</v>
      </c>
      <c r="J432" s="1">
        <f t="shared" si="79"/>
        <v>0.03</v>
      </c>
      <c r="K432" s="1">
        <f t="shared" si="80"/>
        <v>0.12499998000000001</v>
      </c>
      <c r="L432" s="1">
        <f t="shared" si="81"/>
        <v>5.0000000000000001E-4</v>
      </c>
      <c r="M432" s="1">
        <f t="shared" si="82"/>
        <v>0.4467344038629526</v>
      </c>
      <c r="N432" s="1">
        <f t="shared" si="83"/>
        <v>2.0833333333333332E-2</v>
      </c>
      <c r="O432" s="1">
        <v>370</v>
      </c>
      <c r="P432" s="1">
        <v>3</v>
      </c>
      <c r="Q432" s="1">
        <v>4148</v>
      </c>
      <c r="R432" s="1">
        <f>[1]!HeatTransferArea(J432,D432,0.36,L432)</f>
        <v>0.67858390460195328</v>
      </c>
      <c r="S432" s="1">
        <f>[1]!Convection(J432,N432,1000,9*10^-4,L432,0.6,0.36,7)</f>
        <v>20426.113582801609</v>
      </c>
      <c r="U432" s="1">
        <f t="shared" si="84"/>
        <v>0.26140650522878545</v>
      </c>
      <c r="V432" s="1">
        <f t="shared" si="85"/>
        <v>1.4076572072072436E-5</v>
      </c>
      <c r="W432" s="1">
        <f t="shared" si="86"/>
        <v>8.1081081081081082E-7</v>
      </c>
      <c r="X432" s="1">
        <f t="shared" si="87"/>
        <v>4.1666660000000002</v>
      </c>
      <c r="Y432" s="1">
        <f t="shared" si="88"/>
        <v>83.856778307772586</v>
      </c>
      <c r="Z432" s="1">
        <f t="shared" si="89"/>
        <v>3.3333333333333335</v>
      </c>
      <c r="AA432" s="1">
        <f t="shared" si="90"/>
        <v>7.7285551677474196E-2</v>
      </c>
    </row>
    <row r="433" spans="1:27" x14ac:dyDescent="0.25">
      <c r="A433" s="1">
        <f>30</f>
        <v>30</v>
      </c>
      <c r="B433" s="1">
        <v>0.5</v>
      </c>
      <c r="C433" s="1">
        <v>4.1666660000000002</v>
      </c>
      <c r="D433" s="1">
        <f t="shared" si="78"/>
        <v>0.12499998000000001</v>
      </c>
      <c r="E433" s="1">
        <v>10</v>
      </c>
      <c r="F433" s="1">
        <v>1.5</v>
      </c>
      <c r="G433" s="1">
        <v>75</v>
      </c>
      <c r="H433" s="1">
        <v>38.417146389999999</v>
      </c>
      <c r="J433" s="1">
        <f t="shared" si="79"/>
        <v>0.03</v>
      </c>
      <c r="K433" s="1">
        <f t="shared" si="80"/>
        <v>0.12499998000000001</v>
      </c>
      <c r="L433" s="1">
        <f t="shared" si="81"/>
        <v>5.0000000000000001E-4</v>
      </c>
      <c r="M433" s="1">
        <f t="shared" si="82"/>
        <v>0.4467344038629526</v>
      </c>
      <c r="N433" s="1">
        <f t="shared" si="83"/>
        <v>2.0833333333333332E-2</v>
      </c>
      <c r="O433" s="1">
        <v>370</v>
      </c>
      <c r="P433" s="1">
        <v>3</v>
      </c>
      <c r="Q433" s="1">
        <v>4148</v>
      </c>
      <c r="R433" s="1">
        <f>[1]!HeatTransferArea(J433,D433,0.36,L433)</f>
        <v>0.67858390460195328</v>
      </c>
      <c r="S433" s="1">
        <f>[1]!Convection(J433,N433,1000,9*10^-4,L433,0.6,0.36,7)</f>
        <v>20426.113582801609</v>
      </c>
      <c r="U433" s="1">
        <f t="shared" si="84"/>
        <v>0.17427100348585695</v>
      </c>
      <c r="V433" s="1">
        <f t="shared" si="85"/>
        <v>2.1114858108108653E-5</v>
      </c>
      <c r="W433" s="1">
        <f t="shared" si="86"/>
        <v>1.2162162162162162E-6</v>
      </c>
      <c r="X433" s="1">
        <f t="shared" si="87"/>
        <v>4.1666660000000002</v>
      </c>
      <c r="Y433" s="1">
        <f t="shared" si="88"/>
        <v>55.904518871848396</v>
      </c>
      <c r="Z433" s="1">
        <f t="shared" si="89"/>
        <v>3.3333333333333335</v>
      </c>
      <c r="AA433" s="1">
        <f t="shared" si="90"/>
        <v>5.1648946209823472E-2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O1:AP28"/>
  <sheetViews>
    <sheetView topLeftCell="O1" workbookViewId="0">
      <selection activeCell="AK1" activeCellId="5" sqref="P1:P1048576 R1:R1048576 U1:U1048576 X1:X1048576 Y1:Y1048576 AK1:AK1048576"/>
    </sheetView>
  </sheetViews>
  <sheetFormatPr defaultRowHeight="15" x14ac:dyDescent="0.25"/>
  <sheetData>
    <row r="1" spans="15:42" x14ac:dyDescent="0.25"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10</v>
      </c>
      <c r="Z1" t="s">
        <v>11</v>
      </c>
      <c r="AA1" t="s">
        <v>0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46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</row>
    <row r="2" spans="15:42" x14ac:dyDescent="0.25">
      <c r="O2" t="s">
        <v>12</v>
      </c>
      <c r="P2">
        <v>0.3</v>
      </c>
      <c r="Q2">
        <v>0.36</v>
      </c>
      <c r="R2">
        <v>2.5</v>
      </c>
      <c r="S2">
        <v>298</v>
      </c>
      <c r="T2">
        <v>288</v>
      </c>
      <c r="U2">
        <v>10</v>
      </c>
      <c r="V2">
        <v>0.5</v>
      </c>
      <c r="W2">
        <v>0.5</v>
      </c>
      <c r="X2">
        <v>0.5</v>
      </c>
      <c r="Y2">
        <v>75</v>
      </c>
      <c r="Z2">
        <v>75</v>
      </c>
      <c r="AA2" t="s">
        <v>12</v>
      </c>
      <c r="AB2">
        <v>2.4899999999999999E-2</v>
      </c>
      <c r="AC2">
        <v>7.7645</v>
      </c>
      <c r="AD2">
        <v>7.7645</v>
      </c>
      <c r="AE2">
        <v>1.5055000000000001</v>
      </c>
      <c r="AF2">
        <v>1.5055000000000001</v>
      </c>
      <c r="AG2">
        <v>70.698087180000002</v>
      </c>
      <c r="AH2">
        <v>-70.698087180000002</v>
      </c>
      <c r="AI2">
        <v>10</v>
      </c>
      <c r="AJ2">
        <v>11.257445329999999</v>
      </c>
      <c r="AK2">
        <v>23.706186330000001</v>
      </c>
      <c r="AL2">
        <v>27.5123596</v>
      </c>
      <c r="AM2">
        <v>1.43295515</v>
      </c>
      <c r="AN2">
        <v>8.36</v>
      </c>
      <c r="AO2">
        <v>0.82313146999999998</v>
      </c>
      <c r="AP2">
        <v>2.2330000000000001</v>
      </c>
    </row>
    <row r="3" spans="15:42" x14ac:dyDescent="0.25">
      <c r="O3" t="s">
        <v>13</v>
      </c>
      <c r="P3">
        <v>0.3</v>
      </c>
      <c r="Q3">
        <v>0.36</v>
      </c>
      <c r="R3">
        <v>2.5</v>
      </c>
      <c r="S3">
        <v>298</v>
      </c>
      <c r="T3">
        <v>288</v>
      </c>
      <c r="U3">
        <v>10</v>
      </c>
      <c r="V3">
        <v>0.5</v>
      </c>
      <c r="W3">
        <v>0.5</v>
      </c>
      <c r="X3">
        <v>1</v>
      </c>
      <c r="Y3">
        <v>75</v>
      </c>
      <c r="Z3">
        <v>75</v>
      </c>
      <c r="AA3" t="s">
        <v>13</v>
      </c>
      <c r="AB3">
        <v>4.9799999999999997E-2</v>
      </c>
      <c r="AC3">
        <v>7.7645</v>
      </c>
      <c r="AD3">
        <v>7.7645</v>
      </c>
      <c r="AE3">
        <v>0.75270000000000004</v>
      </c>
      <c r="AF3">
        <v>0.75270000000000004</v>
      </c>
      <c r="AG3">
        <v>70.704267869999995</v>
      </c>
      <c r="AH3">
        <v>-70.704267869999995</v>
      </c>
      <c r="AI3">
        <v>10</v>
      </c>
      <c r="AJ3">
        <v>11.957968470000001</v>
      </c>
      <c r="AK3">
        <v>37.978153470000002</v>
      </c>
      <c r="AL3">
        <v>41.808686940000001</v>
      </c>
      <c r="AM3">
        <v>1.43292328</v>
      </c>
      <c r="AN3">
        <v>8.36</v>
      </c>
      <c r="AO3">
        <v>1.3186858800000001</v>
      </c>
      <c r="AP3">
        <v>3.4178999999999999</v>
      </c>
    </row>
    <row r="4" spans="15:42" x14ac:dyDescent="0.25">
      <c r="O4" t="s">
        <v>14</v>
      </c>
      <c r="P4">
        <v>0.3</v>
      </c>
      <c r="Q4">
        <v>0.36</v>
      </c>
      <c r="R4">
        <v>2.5</v>
      </c>
      <c r="S4">
        <v>298</v>
      </c>
      <c r="T4">
        <v>288</v>
      </c>
      <c r="U4">
        <v>10</v>
      </c>
      <c r="V4">
        <v>0.5</v>
      </c>
      <c r="W4">
        <v>0.5</v>
      </c>
      <c r="X4">
        <v>1.5</v>
      </c>
      <c r="Y4">
        <v>75</v>
      </c>
      <c r="Z4">
        <v>75</v>
      </c>
      <c r="AA4" t="s">
        <v>14</v>
      </c>
      <c r="AB4">
        <v>7.4800000000000005E-2</v>
      </c>
      <c r="AC4">
        <v>7.7645</v>
      </c>
      <c r="AD4">
        <v>7.7645</v>
      </c>
      <c r="AE4">
        <v>0.50180000000000002</v>
      </c>
      <c r="AF4">
        <v>0.50180000000000002</v>
      </c>
      <c r="AG4">
        <v>70.701529280000003</v>
      </c>
      <c r="AH4">
        <v>-71.008646369999994</v>
      </c>
      <c r="AI4">
        <v>10</v>
      </c>
      <c r="AJ4">
        <v>11.999508860000001</v>
      </c>
      <c r="AK4">
        <v>38.815388820000003</v>
      </c>
      <c r="AL4">
        <v>42.728917080000002</v>
      </c>
      <c r="AM4">
        <v>1.4374780300000001</v>
      </c>
      <c r="AN4">
        <v>8.3367777800000002</v>
      </c>
      <c r="AO4">
        <v>1.3477565600000001</v>
      </c>
      <c r="AP4">
        <v>3.49</v>
      </c>
    </row>
    <row r="5" spans="15:42" x14ac:dyDescent="0.25">
      <c r="O5" t="s">
        <v>15</v>
      </c>
      <c r="P5">
        <v>0.3</v>
      </c>
      <c r="Q5">
        <v>0.36</v>
      </c>
      <c r="R5">
        <v>3.3333330000000001</v>
      </c>
      <c r="S5">
        <v>298</v>
      </c>
      <c r="T5">
        <v>288</v>
      </c>
      <c r="U5">
        <v>10</v>
      </c>
      <c r="V5">
        <v>0.5</v>
      </c>
      <c r="W5">
        <v>0.5</v>
      </c>
      <c r="X5">
        <v>0.5</v>
      </c>
      <c r="Y5">
        <v>75</v>
      </c>
      <c r="Z5">
        <v>75</v>
      </c>
      <c r="AA5" t="s">
        <v>15</v>
      </c>
      <c r="AB5">
        <v>2.4899999999999999E-2</v>
      </c>
      <c r="AC5">
        <v>7.7645</v>
      </c>
      <c r="AD5">
        <v>7.7645</v>
      </c>
      <c r="AE5">
        <v>1.1291</v>
      </c>
      <c r="AF5">
        <v>1.1291</v>
      </c>
      <c r="AG5">
        <v>94.264106810000001</v>
      </c>
      <c r="AH5">
        <v>-94.264106810000001</v>
      </c>
      <c r="AI5">
        <v>10</v>
      </c>
      <c r="AJ5">
        <v>11.792118390000001</v>
      </c>
      <c r="AK5">
        <v>34.431023500000002</v>
      </c>
      <c r="AL5">
        <v>38.592316330000003</v>
      </c>
      <c r="AM5">
        <v>1.9106066799999999</v>
      </c>
      <c r="AN5">
        <v>8.36</v>
      </c>
      <c r="AO5">
        <v>1.1955216500000001</v>
      </c>
      <c r="AP5">
        <v>3.0028000000000001</v>
      </c>
    </row>
    <row r="6" spans="15:42" x14ac:dyDescent="0.25">
      <c r="O6" t="s">
        <v>16</v>
      </c>
      <c r="P6">
        <v>0.3</v>
      </c>
      <c r="Q6">
        <v>0.36</v>
      </c>
      <c r="R6">
        <v>3.3333330000000001</v>
      </c>
      <c r="S6">
        <v>298</v>
      </c>
      <c r="T6">
        <v>288</v>
      </c>
      <c r="U6">
        <v>10</v>
      </c>
      <c r="V6">
        <v>0.5</v>
      </c>
      <c r="W6">
        <v>0.5</v>
      </c>
      <c r="X6">
        <v>1</v>
      </c>
      <c r="Y6">
        <v>75</v>
      </c>
      <c r="Z6">
        <v>75</v>
      </c>
      <c r="AA6" t="s">
        <v>16</v>
      </c>
      <c r="AB6">
        <v>4.9799999999999997E-2</v>
      </c>
      <c r="AC6">
        <v>7.7645</v>
      </c>
      <c r="AD6">
        <v>7.7645</v>
      </c>
      <c r="AE6">
        <v>0.56459999999999999</v>
      </c>
      <c r="AF6">
        <v>0.56459999999999999</v>
      </c>
      <c r="AG6">
        <v>94.272347730000007</v>
      </c>
      <c r="AH6">
        <v>-94.272347730000007</v>
      </c>
      <c r="AI6">
        <v>10</v>
      </c>
      <c r="AJ6">
        <v>11.98144258</v>
      </c>
      <c r="AK6">
        <v>38.175800279999997</v>
      </c>
      <c r="AL6">
        <v>42.569860990000002</v>
      </c>
      <c r="AM6">
        <v>1.9105641799999999</v>
      </c>
      <c r="AN6">
        <v>8.36</v>
      </c>
      <c r="AO6">
        <v>1.32554862</v>
      </c>
      <c r="AP6">
        <v>3.2921</v>
      </c>
    </row>
    <row r="7" spans="15:42" x14ac:dyDescent="0.25">
      <c r="O7" t="s">
        <v>17</v>
      </c>
      <c r="P7">
        <v>0.3</v>
      </c>
      <c r="Q7">
        <v>0.36</v>
      </c>
      <c r="R7">
        <v>3.3333330000000001</v>
      </c>
      <c r="S7">
        <v>298</v>
      </c>
      <c r="T7">
        <v>288</v>
      </c>
      <c r="U7">
        <v>10</v>
      </c>
      <c r="V7">
        <v>0.5</v>
      </c>
      <c r="W7">
        <v>0.5</v>
      </c>
      <c r="X7">
        <v>1.5</v>
      </c>
      <c r="Y7">
        <v>75</v>
      </c>
      <c r="Z7">
        <v>75</v>
      </c>
      <c r="AA7" t="s">
        <v>17</v>
      </c>
      <c r="AB7">
        <v>7.4800000000000005E-2</v>
      </c>
      <c r="AC7">
        <v>7.7645</v>
      </c>
      <c r="AD7">
        <v>7.7645</v>
      </c>
      <c r="AE7">
        <v>0.37640000000000001</v>
      </c>
      <c r="AF7">
        <v>0.37640000000000001</v>
      </c>
      <c r="AG7">
        <v>94.26869628</v>
      </c>
      <c r="AH7">
        <v>-94.678185690000007</v>
      </c>
      <c r="AI7">
        <v>10</v>
      </c>
      <c r="AJ7">
        <v>11.990381210000001</v>
      </c>
      <c r="AK7">
        <v>38.326135549999996</v>
      </c>
      <c r="AL7">
        <v>42.842694369999997</v>
      </c>
      <c r="AM7">
        <v>1.9166371799999999</v>
      </c>
      <c r="AN7">
        <v>8.3367777800000002</v>
      </c>
      <c r="AO7">
        <v>1.3307686000000001</v>
      </c>
      <c r="AP7">
        <v>3.3085</v>
      </c>
    </row>
    <row r="8" spans="15:42" x14ac:dyDescent="0.25">
      <c r="O8" t="s">
        <v>18</v>
      </c>
      <c r="P8">
        <v>0.3</v>
      </c>
      <c r="Q8">
        <v>0.36</v>
      </c>
      <c r="R8">
        <v>4.1666660000000002</v>
      </c>
      <c r="S8">
        <v>298</v>
      </c>
      <c r="T8">
        <v>288</v>
      </c>
      <c r="U8">
        <v>10</v>
      </c>
      <c r="V8">
        <v>0.5</v>
      </c>
      <c r="W8">
        <v>0.5</v>
      </c>
      <c r="X8">
        <v>0.5</v>
      </c>
      <c r="Y8">
        <v>75</v>
      </c>
      <c r="Z8">
        <v>75</v>
      </c>
      <c r="AA8" t="s">
        <v>18</v>
      </c>
      <c r="AB8">
        <v>2.4899999999999999E-2</v>
      </c>
      <c r="AC8">
        <v>7.7645</v>
      </c>
      <c r="AD8">
        <v>7.7645</v>
      </c>
      <c r="AE8">
        <v>0.90329999999999999</v>
      </c>
      <c r="AF8">
        <v>0.90329999999999999</v>
      </c>
      <c r="AG8">
        <v>117.83012644</v>
      </c>
      <c r="AH8">
        <v>-117.83012644</v>
      </c>
      <c r="AI8">
        <v>10</v>
      </c>
      <c r="AJ8">
        <v>11.89983193</v>
      </c>
      <c r="AK8">
        <v>36.361894929999998</v>
      </c>
      <c r="AL8">
        <v>41.054899740000003</v>
      </c>
      <c r="AM8">
        <v>2.3882582000000001</v>
      </c>
      <c r="AN8">
        <v>8.36</v>
      </c>
      <c r="AO8">
        <v>1.2625658</v>
      </c>
      <c r="AP8">
        <v>3.0274000000000001</v>
      </c>
    </row>
    <row r="9" spans="15:42" x14ac:dyDescent="0.25">
      <c r="O9" t="s">
        <v>19</v>
      </c>
      <c r="P9">
        <v>0.3</v>
      </c>
      <c r="Q9">
        <v>0.36</v>
      </c>
      <c r="R9">
        <v>4.1666660000000002</v>
      </c>
      <c r="S9">
        <v>298</v>
      </c>
      <c r="T9">
        <v>288</v>
      </c>
      <c r="U9">
        <v>10</v>
      </c>
      <c r="V9">
        <v>0.5</v>
      </c>
      <c r="W9">
        <v>0.5</v>
      </c>
      <c r="X9">
        <v>1</v>
      </c>
      <c r="Y9">
        <v>75</v>
      </c>
      <c r="Z9">
        <v>75</v>
      </c>
      <c r="AA9" t="s">
        <v>19</v>
      </c>
      <c r="AB9">
        <v>4.9799999999999997E-2</v>
      </c>
      <c r="AC9">
        <v>7.7645</v>
      </c>
      <c r="AD9">
        <v>7.7645</v>
      </c>
      <c r="AE9">
        <v>0.4516</v>
      </c>
      <c r="AF9">
        <v>0.4516</v>
      </c>
      <c r="AG9">
        <v>117.8404276</v>
      </c>
      <c r="AH9">
        <v>-117.8404276</v>
      </c>
      <c r="AI9">
        <v>10</v>
      </c>
      <c r="AJ9">
        <v>11.97724777</v>
      </c>
      <c r="AK9">
        <v>37.810833670000001</v>
      </c>
      <c r="AL9">
        <v>42.765540620000003</v>
      </c>
      <c r="AM9">
        <v>2.3882050800000001</v>
      </c>
      <c r="AN9">
        <v>8.36</v>
      </c>
      <c r="AO9">
        <v>1.31287617</v>
      </c>
      <c r="AP9">
        <v>3.1349</v>
      </c>
    </row>
    <row r="10" spans="15:42" x14ac:dyDescent="0.25">
      <c r="O10" t="s">
        <v>20</v>
      </c>
      <c r="P10">
        <v>0.3</v>
      </c>
      <c r="Q10">
        <v>0.36</v>
      </c>
      <c r="R10">
        <v>4.1666660000000002</v>
      </c>
      <c r="S10">
        <v>298</v>
      </c>
      <c r="T10">
        <v>288</v>
      </c>
      <c r="U10">
        <v>10</v>
      </c>
      <c r="V10">
        <v>0.5</v>
      </c>
      <c r="W10">
        <v>0.5</v>
      </c>
      <c r="X10">
        <v>1.5</v>
      </c>
      <c r="Y10">
        <v>75</v>
      </c>
      <c r="Z10">
        <v>75</v>
      </c>
      <c r="AA10" t="s">
        <v>20</v>
      </c>
      <c r="AB10">
        <v>7.4800000000000005E-2</v>
      </c>
      <c r="AC10">
        <v>7.7645</v>
      </c>
      <c r="AD10">
        <v>7.7645</v>
      </c>
      <c r="AE10">
        <v>0.30109999999999998</v>
      </c>
      <c r="AF10">
        <v>0.30109999999999998</v>
      </c>
      <c r="AG10">
        <v>117.83586328</v>
      </c>
      <c r="AH10">
        <v>-118.34772502</v>
      </c>
      <c r="AI10">
        <v>10</v>
      </c>
      <c r="AJ10">
        <v>11.97473415</v>
      </c>
      <c r="AK10">
        <v>37.705874940000001</v>
      </c>
      <c r="AL10">
        <v>42.820895229999998</v>
      </c>
      <c r="AM10">
        <v>2.39579633</v>
      </c>
      <c r="AN10">
        <v>8.3367777800000002</v>
      </c>
      <c r="AO10">
        <v>1.30923177</v>
      </c>
      <c r="AP10">
        <v>3.1312000000000002</v>
      </c>
    </row>
    <row r="11" spans="15:42" x14ac:dyDescent="0.25">
      <c r="O11" t="s">
        <v>21</v>
      </c>
      <c r="P11">
        <v>0.4</v>
      </c>
      <c r="Q11">
        <v>0.36</v>
      </c>
      <c r="R11">
        <v>2.5</v>
      </c>
      <c r="S11">
        <v>298</v>
      </c>
      <c r="T11">
        <v>288</v>
      </c>
      <c r="U11">
        <v>10</v>
      </c>
      <c r="V11">
        <v>0.5</v>
      </c>
      <c r="W11">
        <v>0.5</v>
      </c>
      <c r="X11">
        <v>0.5</v>
      </c>
      <c r="Y11">
        <v>75</v>
      </c>
      <c r="Z11">
        <v>75</v>
      </c>
      <c r="AA11" t="s">
        <v>21</v>
      </c>
      <c r="AB11">
        <v>4.4299999999999999E-2</v>
      </c>
      <c r="AC11">
        <v>10.3527</v>
      </c>
      <c r="AD11">
        <v>10.3527</v>
      </c>
      <c r="AE11">
        <v>1.5055000000000001</v>
      </c>
      <c r="AF11">
        <v>1.5055000000000001</v>
      </c>
      <c r="AG11">
        <v>41.413819820000001</v>
      </c>
      <c r="AH11">
        <v>-41.413819820000001</v>
      </c>
      <c r="AI11">
        <v>10</v>
      </c>
      <c r="AJ11">
        <v>11.165083060000001</v>
      </c>
      <c r="AK11">
        <v>22.160251519999999</v>
      </c>
      <c r="AL11">
        <v>25.292824029999998</v>
      </c>
      <c r="AM11">
        <v>0.83934147000000003</v>
      </c>
      <c r="AN11">
        <v>8.36</v>
      </c>
      <c r="AO11">
        <v>0.76945317999999996</v>
      </c>
      <c r="AP11">
        <v>2.2229999999999999</v>
      </c>
    </row>
    <row r="12" spans="15:42" x14ac:dyDescent="0.25">
      <c r="O12" t="s">
        <v>22</v>
      </c>
      <c r="P12">
        <v>0.4</v>
      </c>
      <c r="Q12">
        <v>0.36</v>
      </c>
      <c r="R12">
        <v>2.5</v>
      </c>
      <c r="S12">
        <v>298</v>
      </c>
      <c r="T12">
        <v>288</v>
      </c>
      <c r="U12">
        <v>10</v>
      </c>
      <c r="V12">
        <v>0.5</v>
      </c>
      <c r="W12">
        <v>0.5</v>
      </c>
      <c r="X12">
        <v>1</v>
      </c>
      <c r="Y12">
        <v>75</v>
      </c>
      <c r="Z12">
        <v>75</v>
      </c>
      <c r="AA12" t="s">
        <v>22</v>
      </c>
      <c r="AB12">
        <v>8.8599999999999998E-2</v>
      </c>
      <c r="AC12">
        <v>10.3527</v>
      </c>
      <c r="AD12">
        <v>10.3527</v>
      </c>
      <c r="AE12">
        <v>0.75270000000000004</v>
      </c>
      <c r="AF12">
        <v>0.75270000000000004</v>
      </c>
      <c r="AG12">
        <v>41.420409020000001</v>
      </c>
      <c r="AH12">
        <v>-41.420409020000001</v>
      </c>
      <c r="AI12">
        <v>10</v>
      </c>
      <c r="AJ12">
        <v>11.92337483</v>
      </c>
      <c r="AK12">
        <v>37.620716270000003</v>
      </c>
      <c r="AL12">
        <v>40.759106279999997</v>
      </c>
      <c r="AM12">
        <v>0.83932700999999998</v>
      </c>
      <c r="AN12">
        <v>8.36</v>
      </c>
      <c r="AO12">
        <v>1.30627487</v>
      </c>
      <c r="AP12">
        <v>3.581</v>
      </c>
    </row>
    <row r="13" spans="15:42" x14ac:dyDescent="0.25">
      <c r="O13" t="s">
        <v>23</v>
      </c>
      <c r="P13">
        <v>0.4</v>
      </c>
      <c r="Q13">
        <v>0.36</v>
      </c>
      <c r="R13">
        <v>2.5</v>
      </c>
      <c r="S13">
        <v>298</v>
      </c>
      <c r="T13">
        <v>288</v>
      </c>
      <c r="U13">
        <v>10</v>
      </c>
      <c r="V13">
        <v>0.5</v>
      </c>
      <c r="W13">
        <v>0.5</v>
      </c>
      <c r="X13">
        <v>1.5</v>
      </c>
      <c r="Y13">
        <v>75</v>
      </c>
      <c r="Z13">
        <v>75</v>
      </c>
      <c r="AA13" t="s">
        <v>23</v>
      </c>
      <c r="AB13">
        <v>0.13289999999999999</v>
      </c>
      <c r="AC13">
        <v>10.3527</v>
      </c>
      <c r="AD13">
        <v>10.3527</v>
      </c>
      <c r="AE13">
        <v>0.50180000000000002</v>
      </c>
      <c r="AF13">
        <v>0.50180000000000002</v>
      </c>
      <c r="AG13">
        <v>41.417660939999998</v>
      </c>
      <c r="AH13">
        <v>-41.61026296</v>
      </c>
      <c r="AI13">
        <v>10</v>
      </c>
      <c r="AJ13">
        <v>11.97642836</v>
      </c>
      <c r="AK13">
        <v>38.740036799999999</v>
      </c>
      <c r="AL13">
        <v>41.896085460000002</v>
      </c>
      <c r="AM13">
        <v>0.84209146000000001</v>
      </c>
      <c r="AN13">
        <v>8.3367777800000002</v>
      </c>
      <c r="AO13">
        <v>1.3451401700000001</v>
      </c>
      <c r="AP13">
        <v>3.6810999999999998</v>
      </c>
    </row>
    <row r="14" spans="15:42" x14ac:dyDescent="0.25">
      <c r="O14" t="s">
        <v>24</v>
      </c>
      <c r="P14">
        <v>0.4</v>
      </c>
      <c r="Q14">
        <v>0.36</v>
      </c>
      <c r="R14">
        <v>3.3333330000000001</v>
      </c>
      <c r="S14">
        <v>298</v>
      </c>
      <c r="T14">
        <v>288</v>
      </c>
      <c r="U14">
        <v>10</v>
      </c>
      <c r="V14">
        <v>0.5</v>
      </c>
      <c r="W14">
        <v>0.5</v>
      </c>
      <c r="X14">
        <v>0.5</v>
      </c>
      <c r="Y14">
        <v>75</v>
      </c>
      <c r="Z14">
        <v>75</v>
      </c>
      <c r="AA14" t="s">
        <v>24</v>
      </c>
      <c r="AB14">
        <v>4.4299999999999999E-2</v>
      </c>
      <c r="AC14">
        <v>10.3527</v>
      </c>
      <c r="AD14">
        <v>10.3527</v>
      </c>
      <c r="AE14">
        <v>1.1291</v>
      </c>
      <c r="AF14">
        <v>1.1291</v>
      </c>
      <c r="AG14">
        <v>55.218420909999999</v>
      </c>
      <c r="AH14">
        <v>-55.218420909999999</v>
      </c>
      <c r="AI14">
        <v>10</v>
      </c>
      <c r="AJ14">
        <v>11.751191009999999</v>
      </c>
      <c r="AK14">
        <v>34.019660999999999</v>
      </c>
      <c r="AL14">
        <v>37.3351069</v>
      </c>
      <c r="AM14">
        <v>1.11912185</v>
      </c>
      <c r="AN14">
        <v>8.36</v>
      </c>
      <c r="AO14">
        <v>1.1812382299999999</v>
      </c>
      <c r="AP14">
        <v>3.1911999999999998</v>
      </c>
    </row>
    <row r="15" spans="15:42" x14ac:dyDescent="0.25">
      <c r="O15" t="s">
        <v>25</v>
      </c>
      <c r="P15">
        <v>0.4</v>
      </c>
      <c r="Q15">
        <v>0.36</v>
      </c>
      <c r="R15">
        <v>3.3333330000000001</v>
      </c>
      <c r="S15">
        <v>298</v>
      </c>
      <c r="T15">
        <v>288</v>
      </c>
      <c r="U15">
        <v>10</v>
      </c>
      <c r="V15">
        <v>0.5</v>
      </c>
      <c r="W15">
        <v>0.5</v>
      </c>
      <c r="X15">
        <v>1</v>
      </c>
      <c r="Y15">
        <v>75</v>
      </c>
      <c r="Z15">
        <v>75</v>
      </c>
      <c r="AA15" t="s">
        <v>25</v>
      </c>
      <c r="AB15">
        <v>8.8599999999999998E-2</v>
      </c>
      <c r="AC15">
        <v>10.3527</v>
      </c>
      <c r="AD15">
        <v>10.3527</v>
      </c>
      <c r="AE15">
        <v>0.56459999999999999</v>
      </c>
      <c r="AF15">
        <v>0.56459999999999999</v>
      </c>
      <c r="AG15">
        <v>55.227206500000001</v>
      </c>
      <c r="AH15">
        <v>-55.227206500000001</v>
      </c>
      <c r="AI15">
        <v>10</v>
      </c>
      <c r="AJ15">
        <v>11.96884633</v>
      </c>
      <c r="AK15">
        <v>38.36391141</v>
      </c>
      <c r="AL15">
        <v>41.870944829999999</v>
      </c>
      <c r="AM15">
        <v>1.1191025699999999</v>
      </c>
      <c r="AN15">
        <v>8.36</v>
      </c>
      <c r="AO15">
        <v>1.3320802599999999</v>
      </c>
      <c r="AP15">
        <v>3.5485000000000002</v>
      </c>
    </row>
    <row r="16" spans="15:42" x14ac:dyDescent="0.25">
      <c r="O16" t="s">
        <v>26</v>
      </c>
      <c r="P16">
        <v>0.4</v>
      </c>
      <c r="Q16">
        <v>0.36</v>
      </c>
      <c r="R16">
        <v>3.3333330000000001</v>
      </c>
      <c r="S16">
        <v>298</v>
      </c>
      <c r="T16">
        <v>288</v>
      </c>
      <c r="U16">
        <v>10</v>
      </c>
      <c r="V16">
        <v>0.5</v>
      </c>
      <c r="W16">
        <v>0.5</v>
      </c>
      <c r="X16">
        <v>1.5</v>
      </c>
      <c r="Y16">
        <v>75</v>
      </c>
      <c r="Z16">
        <v>75</v>
      </c>
      <c r="AA16" t="s">
        <v>26</v>
      </c>
      <c r="AB16">
        <v>0.13289999999999999</v>
      </c>
      <c r="AC16">
        <v>10.3527</v>
      </c>
      <c r="AD16">
        <v>10.3527</v>
      </c>
      <c r="AE16">
        <v>0.37640000000000001</v>
      </c>
      <c r="AF16">
        <v>0.37640000000000001</v>
      </c>
      <c r="AG16">
        <v>55.223542389999999</v>
      </c>
      <c r="AH16">
        <v>-55.480345069999998</v>
      </c>
      <c r="AI16">
        <v>10</v>
      </c>
      <c r="AJ16">
        <v>11.98396119</v>
      </c>
      <c r="AK16">
        <v>38.687449819999998</v>
      </c>
      <c r="AL16">
        <v>42.25476158</v>
      </c>
      <c r="AM16">
        <v>1.1227885</v>
      </c>
      <c r="AN16">
        <v>8.3367777800000002</v>
      </c>
      <c r="AO16">
        <v>1.3433142300000001</v>
      </c>
      <c r="AP16">
        <v>3.5811999999999999</v>
      </c>
    </row>
    <row r="17" spans="15:42" x14ac:dyDescent="0.25">
      <c r="O17" t="s">
        <v>27</v>
      </c>
      <c r="P17">
        <v>0.4</v>
      </c>
      <c r="Q17">
        <v>0.36</v>
      </c>
      <c r="R17">
        <v>4.1666660000000002</v>
      </c>
      <c r="S17">
        <v>298</v>
      </c>
      <c r="T17">
        <v>288</v>
      </c>
      <c r="U17">
        <v>10</v>
      </c>
      <c r="V17">
        <v>0.5</v>
      </c>
      <c r="W17">
        <v>0.5</v>
      </c>
      <c r="X17">
        <v>0.5</v>
      </c>
      <c r="Y17">
        <v>75</v>
      </c>
      <c r="Z17">
        <v>75</v>
      </c>
      <c r="AA17" t="s">
        <v>27</v>
      </c>
      <c r="AB17">
        <v>4.4299999999999999E-2</v>
      </c>
      <c r="AC17">
        <v>10.3527</v>
      </c>
      <c r="AD17">
        <v>10.3527</v>
      </c>
      <c r="AE17">
        <v>0.90329999999999999</v>
      </c>
      <c r="AF17">
        <v>0.90329999999999999</v>
      </c>
      <c r="AG17">
        <v>69.023021999999997</v>
      </c>
      <c r="AH17">
        <v>-69.023021999999997</v>
      </c>
      <c r="AI17">
        <v>10</v>
      </c>
      <c r="AJ17">
        <v>11.880184059999999</v>
      </c>
      <c r="AK17">
        <v>36.481501199999997</v>
      </c>
      <c r="AL17">
        <v>40.133749530000003</v>
      </c>
      <c r="AM17">
        <v>1.39890223</v>
      </c>
      <c r="AN17">
        <v>8.36</v>
      </c>
      <c r="AO17">
        <v>1.2667187900000001</v>
      </c>
      <c r="AP17">
        <v>3.3088000000000002</v>
      </c>
    </row>
    <row r="18" spans="15:42" x14ac:dyDescent="0.25">
      <c r="O18" t="s">
        <v>28</v>
      </c>
      <c r="P18">
        <v>0.4</v>
      </c>
      <c r="Q18">
        <v>0.36</v>
      </c>
      <c r="R18">
        <v>4.1666660000000002</v>
      </c>
      <c r="S18">
        <v>298</v>
      </c>
      <c r="T18">
        <v>288</v>
      </c>
      <c r="U18">
        <v>10</v>
      </c>
      <c r="V18">
        <v>0.5</v>
      </c>
      <c r="W18">
        <v>0.5</v>
      </c>
      <c r="X18">
        <v>1</v>
      </c>
      <c r="Y18">
        <v>75</v>
      </c>
      <c r="Z18">
        <v>75</v>
      </c>
      <c r="AA18" t="s">
        <v>28</v>
      </c>
      <c r="AB18">
        <v>8.8599999999999998E-2</v>
      </c>
      <c r="AC18">
        <v>10.3527</v>
      </c>
      <c r="AD18">
        <v>10.3527</v>
      </c>
      <c r="AE18">
        <v>0.4516</v>
      </c>
      <c r="AF18">
        <v>0.4516</v>
      </c>
      <c r="AG18">
        <v>69.034003979999994</v>
      </c>
      <c r="AH18">
        <v>-69.034003979999994</v>
      </c>
      <c r="AI18">
        <v>10</v>
      </c>
      <c r="AJ18">
        <v>11.976446149999999</v>
      </c>
      <c r="AK18">
        <v>38.334344199999997</v>
      </c>
      <c r="AL18">
        <v>42.211470220000002</v>
      </c>
      <c r="AM18">
        <v>1.39887812</v>
      </c>
      <c r="AN18">
        <v>8.36</v>
      </c>
      <c r="AO18">
        <v>1.33105362</v>
      </c>
      <c r="AP18">
        <v>3.4567000000000001</v>
      </c>
    </row>
    <row r="19" spans="15:42" x14ac:dyDescent="0.25">
      <c r="O19" t="s">
        <v>29</v>
      </c>
      <c r="P19">
        <v>0.4</v>
      </c>
      <c r="Q19">
        <v>0.36</v>
      </c>
      <c r="R19">
        <v>4.1666660000000002</v>
      </c>
      <c r="S19">
        <v>298</v>
      </c>
      <c r="T19">
        <v>288</v>
      </c>
      <c r="U19">
        <v>10</v>
      </c>
      <c r="V19">
        <v>0.5</v>
      </c>
      <c r="W19">
        <v>0.5</v>
      </c>
      <c r="X19">
        <v>1.5</v>
      </c>
      <c r="Y19">
        <v>75</v>
      </c>
      <c r="Z19">
        <v>75</v>
      </c>
      <c r="AA19" t="s">
        <v>29</v>
      </c>
      <c r="AB19">
        <v>0.13289999999999999</v>
      </c>
      <c r="AC19">
        <v>10.3527</v>
      </c>
      <c r="AD19">
        <v>10.3527</v>
      </c>
      <c r="AE19">
        <v>0.30109999999999998</v>
      </c>
      <c r="AF19">
        <v>0.30109999999999998</v>
      </c>
      <c r="AG19">
        <v>69.029423850000001</v>
      </c>
      <c r="AH19">
        <v>-69.350427170000003</v>
      </c>
      <c r="AI19">
        <v>10</v>
      </c>
      <c r="AJ19">
        <v>11.977343169999999</v>
      </c>
      <c r="AK19">
        <v>38.346542620000001</v>
      </c>
      <c r="AL19">
        <v>42.323169489999998</v>
      </c>
      <c r="AM19">
        <v>1.4034855399999999</v>
      </c>
      <c r="AN19">
        <v>8.3367777800000002</v>
      </c>
      <c r="AO19">
        <v>1.3314771700000001</v>
      </c>
      <c r="AP19">
        <v>3.4634999999999998</v>
      </c>
    </row>
    <row r="20" spans="15:42" x14ac:dyDescent="0.25">
      <c r="O20" t="s">
        <v>30</v>
      </c>
      <c r="P20">
        <v>0.5</v>
      </c>
      <c r="Q20">
        <v>0.36</v>
      </c>
      <c r="R20">
        <v>2.5</v>
      </c>
      <c r="S20">
        <v>298</v>
      </c>
      <c r="T20">
        <v>288</v>
      </c>
      <c r="U20">
        <v>10</v>
      </c>
      <c r="V20">
        <v>0.5</v>
      </c>
      <c r="W20">
        <v>0.5</v>
      </c>
      <c r="X20">
        <v>0.5</v>
      </c>
      <c r="Y20">
        <v>75</v>
      </c>
      <c r="Z20">
        <v>75</v>
      </c>
      <c r="AA20" t="s">
        <v>30</v>
      </c>
      <c r="AB20">
        <v>6.9199999999999998E-2</v>
      </c>
      <c r="AC20">
        <v>12.940899999999999</v>
      </c>
      <c r="AD20">
        <v>12.940899999999999</v>
      </c>
      <c r="AE20">
        <v>1.5055000000000001</v>
      </c>
      <c r="AF20">
        <v>1.5055000000000001</v>
      </c>
      <c r="AG20">
        <v>27.5589686</v>
      </c>
      <c r="AH20">
        <v>-27.5589686</v>
      </c>
      <c r="AI20">
        <v>10</v>
      </c>
      <c r="AJ20">
        <v>11.05514226</v>
      </c>
      <c r="AK20">
        <v>20.09823381</v>
      </c>
      <c r="AL20">
        <v>22.873582020000001</v>
      </c>
      <c r="AM20">
        <v>0.55849621000000005</v>
      </c>
      <c r="AN20">
        <v>8.36</v>
      </c>
      <c r="AO20">
        <v>0.69785534000000005</v>
      </c>
      <c r="AP20">
        <v>2.09</v>
      </c>
    </row>
    <row r="21" spans="15:42" x14ac:dyDescent="0.25">
      <c r="O21" t="s">
        <v>31</v>
      </c>
      <c r="P21">
        <v>0.5</v>
      </c>
      <c r="Q21">
        <v>0.36</v>
      </c>
      <c r="R21">
        <v>2.5</v>
      </c>
      <c r="S21">
        <v>298</v>
      </c>
      <c r="T21">
        <v>288</v>
      </c>
      <c r="U21">
        <v>10</v>
      </c>
      <c r="V21">
        <v>0.5</v>
      </c>
      <c r="W21">
        <v>0.5</v>
      </c>
      <c r="X21">
        <v>1</v>
      </c>
      <c r="Y21">
        <v>75</v>
      </c>
      <c r="Z21">
        <v>75</v>
      </c>
      <c r="AA21" t="s">
        <v>31</v>
      </c>
      <c r="AB21">
        <v>0.1384</v>
      </c>
      <c r="AC21">
        <v>12.940899999999999</v>
      </c>
      <c r="AD21">
        <v>12.940899999999999</v>
      </c>
      <c r="AE21">
        <v>0.75270000000000004</v>
      </c>
      <c r="AF21">
        <v>0.75270000000000004</v>
      </c>
      <c r="AG21">
        <v>27.566027340000002</v>
      </c>
      <c r="AH21">
        <v>-27.566027340000002</v>
      </c>
      <c r="AI21">
        <v>10</v>
      </c>
      <c r="AJ21">
        <v>11.87130979</v>
      </c>
      <c r="AK21">
        <v>36.74566325</v>
      </c>
      <c r="AL21">
        <v>39.517746539999997</v>
      </c>
      <c r="AM21">
        <v>0.55849974000000002</v>
      </c>
      <c r="AN21">
        <v>8.36</v>
      </c>
      <c r="AO21">
        <v>1.27589109</v>
      </c>
      <c r="AP21">
        <v>3.6044999999999998</v>
      </c>
    </row>
    <row r="22" spans="15:42" x14ac:dyDescent="0.25">
      <c r="O22" t="s">
        <v>32</v>
      </c>
      <c r="P22">
        <v>0.5</v>
      </c>
      <c r="Q22">
        <v>0.36</v>
      </c>
      <c r="R22">
        <v>2.5</v>
      </c>
      <c r="S22">
        <v>298</v>
      </c>
      <c r="T22">
        <v>288</v>
      </c>
      <c r="U22">
        <v>10</v>
      </c>
      <c r="V22">
        <v>0.5</v>
      </c>
      <c r="W22">
        <v>0.5</v>
      </c>
      <c r="X22">
        <v>1.5</v>
      </c>
      <c r="Y22">
        <v>75</v>
      </c>
      <c r="Z22">
        <v>75</v>
      </c>
      <c r="AA22" t="s">
        <v>32</v>
      </c>
      <c r="AB22">
        <v>0.2077</v>
      </c>
      <c r="AC22">
        <v>12.940899999999999</v>
      </c>
      <c r="AD22">
        <v>12.940899999999999</v>
      </c>
      <c r="AE22">
        <v>0.50180000000000002</v>
      </c>
      <c r="AF22">
        <v>0.50180000000000002</v>
      </c>
      <c r="AG22">
        <v>27.563241130000002</v>
      </c>
      <c r="AH22">
        <v>-27.700555049999998</v>
      </c>
      <c r="AI22">
        <v>10</v>
      </c>
      <c r="AJ22">
        <v>11.93417657</v>
      </c>
      <c r="AK22">
        <v>38.106496049999997</v>
      </c>
      <c r="AL22">
        <v>40.83723964</v>
      </c>
      <c r="AM22">
        <v>0.56040787000000003</v>
      </c>
      <c r="AN22">
        <v>8.3367777800000002</v>
      </c>
      <c r="AO22">
        <v>1.32314222</v>
      </c>
      <c r="AP22">
        <v>3.7284999999999999</v>
      </c>
    </row>
    <row r="23" spans="15:42" x14ac:dyDescent="0.25">
      <c r="O23" t="s">
        <v>33</v>
      </c>
      <c r="P23">
        <v>0.5</v>
      </c>
      <c r="Q23">
        <v>0.36</v>
      </c>
      <c r="R23">
        <v>3.3333330000000001</v>
      </c>
      <c r="S23">
        <v>298</v>
      </c>
      <c r="T23">
        <v>288</v>
      </c>
      <c r="U23">
        <v>10</v>
      </c>
      <c r="V23">
        <v>0.5</v>
      </c>
      <c r="W23">
        <v>0.5</v>
      </c>
      <c r="X23">
        <v>0.5</v>
      </c>
      <c r="Y23">
        <v>75</v>
      </c>
      <c r="Z23">
        <v>75</v>
      </c>
      <c r="AA23" t="s">
        <v>33</v>
      </c>
      <c r="AB23">
        <v>6.9199999999999998E-2</v>
      </c>
      <c r="AC23">
        <v>12.940899999999999</v>
      </c>
      <c r="AD23">
        <v>12.940899999999999</v>
      </c>
      <c r="AE23">
        <v>1.1291</v>
      </c>
      <c r="AF23">
        <v>1.1291</v>
      </c>
      <c r="AG23">
        <v>36.745287789999999</v>
      </c>
      <c r="AH23">
        <v>-36.745287789999999</v>
      </c>
      <c r="AI23">
        <v>10</v>
      </c>
      <c r="AJ23">
        <v>11.697460019999999</v>
      </c>
      <c r="AK23">
        <v>33.140628970000002</v>
      </c>
      <c r="AL23">
        <v>36.025115200000002</v>
      </c>
      <c r="AM23">
        <v>0.74466153000000002</v>
      </c>
      <c r="AN23">
        <v>8.36</v>
      </c>
      <c r="AO23">
        <v>1.1507162799999999</v>
      </c>
      <c r="AP23">
        <v>3.2315</v>
      </c>
    </row>
    <row r="24" spans="15:42" x14ac:dyDescent="0.25">
      <c r="O24" t="s">
        <v>34</v>
      </c>
      <c r="P24">
        <v>0.5</v>
      </c>
      <c r="Q24">
        <v>0.36</v>
      </c>
      <c r="R24">
        <v>3.3333330000000001</v>
      </c>
      <c r="S24">
        <v>298</v>
      </c>
      <c r="T24">
        <v>288</v>
      </c>
      <c r="U24">
        <v>10</v>
      </c>
      <c r="V24">
        <v>0.5</v>
      </c>
      <c r="W24">
        <v>0.5</v>
      </c>
      <c r="X24">
        <v>1</v>
      </c>
      <c r="Y24">
        <v>75</v>
      </c>
      <c r="Z24">
        <v>75</v>
      </c>
      <c r="AA24" t="s">
        <v>34</v>
      </c>
      <c r="AB24">
        <v>0.1384</v>
      </c>
      <c r="AC24">
        <v>12.940899999999999</v>
      </c>
      <c r="AD24">
        <v>12.940899999999999</v>
      </c>
      <c r="AE24">
        <v>0.56459999999999999</v>
      </c>
      <c r="AF24">
        <v>0.56459999999999999</v>
      </c>
      <c r="AG24">
        <v>36.754699440000003</v>
      </c>
      <c r="AH24">
        <v>-36.754699440000003</v>
      </c>
      <c r="AI24">
        <v>10</v>
      </c>
      <c r="AJ24">
        <v>11.94180815</v>
      </c>
      <c r="AK24">
        <v>38.046915490000004</v>
      </c>
      <c r="AL24">
        <v>41.091753089999997</v>
      </c>
      <c r="AM24">
        <v>0.74466624000000003</v>
      </c>
      <c r="AN24">
        <v>8.36</v>
      </c>
      <c r="AO24">
        <v>1.3210734500000001</v>
      </c>
      <c r="AP24">
        <v>3.6493000000000002</v>
      </c>
    </row>
    <row r="25" spans="15:42" x14ac:dyDescent="0.25">
      <c r="O25" t="s">
        <v>35</v>
      </c>
      <c r="P25">
        <v>0.5</v>
      </c>
      <c r="Q25">
        <v>0.36</v>
      </c>
      <c r="R25">
        <v>3.3333330000000001</v>
      </c>
      <c r="S25">
        <v>298</v>
      </c>
      <c r="T25">
        <v>288</v>
      </c>
      <c r="U25">
        <v>10</v>
      </c>
      <c r="V25">
        <v>0.5</v>
      </c>
      <c r="W25">
        <v>0.5</v>
      </c>
      <c r="X25">
        <v>1.5</v>
      </c>
      <c r="Y25">
        <v>75</v>
      </c>
      <c r="Z25">
        <v>75</v>
      </c>
      <c r="AA25" t="s">
        <v>35</v>
      </c>
      <c r="AB25">
        <v>0.2077</v>
      </c>
      <c r="AC25">
        <v>12.940899999999999</v>
      </c>
      <c r="AD25">
        <v>12.940899999999999</v>
      </c>
      <c r="AE25">
        <v>0.37640000000000001</v>
      </c>
      <c r="AF25">
        <v>0.37640000000000001</v>
      </c>
      <c r="AG25">
        <v>36.750984500000001</v>
      </c>
      <c r="AH25">
        <v>-36.934069710000003</v>
      </c>
      <c r="AI25">
        <v>10</v>
      </c>
      <c r="AJ25">
        <v>11.96155851</v>
      </c>
      <c r="AK25">
        <v>38.506324489999997</v>
      </c>
      <c r="AL25">
        <v>41.555314009999996</v>
      </c>
      <c r="AM25">
        <v>0.74721040999999999</v>
      </c>
      <c r="AN25">
        <v>8.3367777800000002</v>
      </c>
      <c r="AO25">
        <v>1.33702516</v>
      </c>
      <c r="AP25">
        <v>3.6951000000000001</v>
      </c>
    </row>
    <row r="26" spans="15:42" x14ac:dyDescent="0.25">
      <c r="O26" t="s">
        <v>36</v>
      </c>
      <c r="P26">
        <v>0.5</v>
      </c>
      <c r="Q26">
        <v>0.36</v>
      </c>
      <c r="R26">
        <v>4.1666660000000002</v>
      </c>
      <c r="S26">
        <v>298</v>
      </c>
      <c r="T26">
        <v>288</v>
      </c>
      <c r="U26">
        <v>10</v>
      </c>
      <c r="V26">
        <v>0.5</v>
      </c>
      <c r="W26">
        <v>0.5</v>
      </c>
      <c r="X26">
        <v>0.5</v>
      </c>
      <c r="Y26">
        <v>75</v>
      </c>
      <c r="Z26">
        <v>75</v>
      </c>
      <c r="AA26" t="s">
        <v>36</v>
      </c>
      <c r="AB26">
        <v>6.9199999999999998E-2</v>
      </c>
      <c r="AC26">
        <v>12.940899999999999</v>
      </c>
      <c r="AD26">
        <v>12.940899999999999</v>
      </c>
      <c r="AE26">
        <v>0.90329999999999999</v>
      </c>
      <c r="AF26">
        <v>0.90329999999999999</v>
      </c>
      <c r="AG26">
        <v>45.931606979999998</v>
      </c>
      <c r="AH26">
        <v>-45.931606979999998</v>
      </c>
      <c r="AI26">
        <v>10</v>
      </c>
      <c r="AJ26">
        <v>11.849715010000001</v>
      </c>
      <c r="AK26">
        <v>36.125026339999998</v>
      </c>
      <c r="AL26">
        <v>39.249429259999999</v>
      </c>
      <c r="AM26">
        <v>0.93082686000000003</v>
      </c>
      <c r="AN26">
        <v>8.36</v>
      </c>
      <c r="AO26">
        <v>1.2543411900000001</v>
      </c>
      <c r="AP26">
        <v>3.4257</v>
      </c>
    </row>
    <row r="27" spans="15:42" x14ac:dyDescent="0.25">
      <c r="O27" t="s">
        <v>37</v>
      </c>
      <c r="P27">
        <v>0.5</v>
      </c>
      <c r="Q27">
        <v>0.36</v>
      </c>
      <c r="R27">
        <v>4.1666660000000002</v>
      </c>
      <c r="S27">
        <v>298</v>
      </c>
      <c r="T27">
        <v>288</v>
      </c>
      <c r="U27">
        <v>10</v>
      </c>
      <c r="V27">
        <v>0.5</v>
      </c>
      <c r="W27">
        <v>0.5</v>
      </c>
      <c r="X27">
        <v>1</v>
      </c>
      <c r="Y27">
        <v>75</v>
      </c>
      <c r="Z27">
        <v>75</v>
      </c>
      <c r="AA27" t="s">
        <v>37</v>
      </c>
      <c r="AB27">
        <v>0.1384</v>
      </c>
      <c r="AC27">
        <v>12.940899999999999</v>
      </c>
      <c r="AD27">
        <v>12.940899999999999</v>
      </c>
      <c r="AE27">
        <v>0.4516</v>
      </c>
      <c r="AF27">
        <v>0.4516</v>
      </c>
      <c r="AG27">
        <v>45.943371550000002</v>
      </c>
      <c r="AH27">
        <v>-45.943371550000002</v>
      </c>
      <c r="AI27">
        <v>10</v>
      </c>
      <c r="AJ27">
        <v>11.96216529</v>
      </c>
      <c r="AK27">
        <v>38.32398749</v>
      </c>
      <c r="AL27">
        <v>41.64547219</v>
      </c>
      <c r="AM27">
        <v>0.93083274999999999</v>
      </c>
      <c r="AN27">
        <v>8.36</v>
      </c>
      <c r="AO27">
        <v>1.33069401</v>
      </c>
      <c r="AP27">
        <v>3.6080999999999999</v>
      </c>
    </row>
    <row r="28" spans="15:42" x14ac:dyDescent="0.25">
      <c r="O28" t="s">
        <v>38</v>
      </c>
      <c r="P28">
        <v>0.5</v>
      </c>
      <c r="Q28">
        <v>0.36</v>
      </c>
      <c r="R28">
        <v>4.1666660000000002</v>
      </c>
      <c r="S28">
        <v>298</v>
      </c>
      <c r="T28">
        <v>288</v>
      </c>
      <c r="U28">
        <v>10</v>
      </c>
      <c r="V28">
        <v>0.5</v>
      </c>
      <c r="W28">
        <v>0.5</v>
      </c>
      <c r="X28">
        <v>1.5</v>
      </c>
      <c r="Y28">
        <v>75</v>
      </c>
      <c r="Z28">
        <v>75</v>
      </c>
      <c r="AA28" t="s">
        <v>38</v>
      </c>
      <c r="AB28">
        <v>0.2077</v>
      </c>
      <c r="AC28">
        <v>12.940899999999999</v>
      </c>
      <c r="AD28">
        <v>12.940899999999999</v>
      </c>
      <c r="AE28">
        <v>0.30109999999999998</v>
      </c>
      <c r="AF28">
        <v>0.30109999999999998</v>
      </c>
      <c r="AG28">
        <v>45.938727870000001</v>
      </c>
      <c r="AH28">
        <v>-46.16758437</v>
      </c>
      <c r="AI28">
        <v>10</v>
      </c>
      <c r="AJ28">
        <v>11.965024619999999</v>
      </c>
      <c r="AK28">
        <v>38.417146389999999</v>
      </c>
      <c r="AL28">
        <v>41.784509659999998</v>
      </c>
      <c r="AM28">
        <v>0.93401296</v>
      </c>
      <c r="AN28">
        <v>8.3367777800000002</v>
      </c>
      <c r="AO28">
        <v>1.33392869</v>
      </c>
      <c r="AP28">
        <v>3.6225999999999998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Data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2018-10-01T12:47:11Z</dcterms:created>
  <dcterms:modified xsi:type="dcterms:W3CDTF">2018-10-01T13:18:42Z</dcterms:modified>
</cp:coreProperties>
</file>