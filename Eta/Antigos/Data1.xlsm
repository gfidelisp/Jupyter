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Usuario\Documents\Jupyter\Eta\"/>
    </mc:Choice>
  </mc:AlternateContent>
  <bookViews>
    <workbookView xWindow="0" yWindow="0" windowWidth="17955" windowHeight="6750" activeTab="2"/>
  </bookViews>
  <sheets>
    <sheet name="Raw" sheetId="10" r:id="rId1"/>
    <sheet name="Data1" sheetId="4" r:id="rId2"/>
    <sheet name="Data" sheetId="2" r:id="rId3"/>
    <sheet name="Planilha2" sheetId="11" r:id="rId4"/>
  </sheets>
  <externalReferences>
    <externalReference r:id="rId5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" i="11" l="1"/>
  <c r="I2" i="11"/>
  <c r="H2" i="11"/>
  <c r="H1" i="11"/>
  <c r="J1" i="11"/>
  <c r="I1" i="11"/>
  <c r="Q1" i="11" l="1"/>
  <c r="R1" i="11"/>
  <c r="P1" i="11"/>
  <c r="O217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" i="2"/>
  <c r="A191" i="2" l="1"/>
  <c r="A192" i="2"/>
  <c r="A193" i="2"/>
  <c r="A194" i="2"/>
  <c r="A195" i="2"/>
  <c r="I195" i="2" s="1"/>
  <c r="A196" i="2"/>
  <c r="A197" i="2"/>
  <c r="A198" i="2"/>
  <c r="I198" i="2" s="1"/>
  <c r="A199" i="2"/>
  <c r="A200" i="2"/>
  <c r="A201" i="2"/>
  <c r="A202" i="2"/>
  <c r="A203" i="2"/>
  <c r="I203" i="2" s="1"/>
  <c r="A204" i="2"/>
  <c r="A205" i="2"/>
  <c r="A206" i="2"/>
  <c r="I206" i="2" s="1"/>
  <c r="A207" i="2"/>
  <c r="A208" i="2"/>
  <c r="A209" i="2"/>
  <c r="A210" i="2"/>
  <c r="A211" i="2"/>
  <c r="I211" i="2" s="1"/>
  <c r="A212" i="2"/>
  <c r="A213" i="2"/>
  <c r="A214" i="2"/>
  <c r="I214" i="2" s="1"/>
  <c r="A215" i="2"/>
  <c r="A216" i="2"/>
  <c r="A217" i="2"/>
  <c r="V219" i="2"/>
  <c r="V220" i="2"/>
  <c r="V326" i="2"/>
  <c r="V327" i="2"/>
  <c r="V328" i="2"/>
  <c r="V221" i="2"/>
  <c r="V222" i="2"/>
  <c r="V223" i="2"/>
  <c r="V329" i="2"/>
  <c r="V330" i="2"/>
  <c r="V331" i="2"/>
  <c r="V224" i="2"/>
  <c r="V225" i="2"/>
  <c r="V226" i="2"/>
  <c r="V332" i="2"/>
  <c r="V333" i="2"/>
  <c r="V334" i="2"/>
  <c r="V227" i="2"/>
  <c r="V228" i="2"/>
  <c r="V229" i="2"/>
  <c r="V335" i="2"/>
  <c r="V336" i="2"/>
  <c r="V337" i="2"/>
  <c r="V230" i="2"/>
  <c r="V231" i="2"/>
  <c r="V232" i="2"/>
  <c r="V338" i="2"/>
  <c r="V339" i="2"/>
  <c r="V340" i="2"/>
  <c r="V233" i="2"/>
  <c r="V234" i="2"/>
  <c r="V235" i="2"/>
  <c r="V341" i="2"/>
  <c r="V342" i="2"/>
  <c r="V343" i="2"/>
  <c r="V236" i="2"/>
  <c r="V237" i="2"/>
  <c r="V238" i="2"/>
  <c r="V344" i="2"/>
  <c r="V345" i="2"/>
  <c r="V346" i="2"/>
  <c r="V239" i="2"/>
  <c r="V240" i="2"/>
  <c r="V241" i="2"/>
  <c r="V347" i="2"/>
  <c r="V348" i="2"/>
  <c r="V349" i="2"/>
  <c r="V242" i="2"/>
  <c r="V243" i="2"/>
  <c r="V244" i="2"/>
  <c r="V350" i="2"/>
  <c r="V351" i="2"/>
  <c r="V352" i="2"/>
  <c r="V2" i="2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45" i="2"/>
  <c r="V246" i="2"/>
  <c r="V247" i="2"/>
  <c r="V353" i="2"/>
  <c r="V354" i="2"/>
  <c r="V355" i="2"/>
  <c r="V248" i="2"/>
  <c r="V249" i="2"/>
  <c r="V250" i="2"/>
  <c r="V356" i="2"/>
  <c r="V357" i="2"/>
  <c r="V358" i="2"/>
  <c r="V251" i="2"/>
  <c r="V252" i="2"/>
  <c r="V253" i="2"/>
  <c r="V359" i="2"/>
  <c r="V360" i="2"/>
  <c r="V361" i="2"/>
  <c r="V254" i="2"/>
  <c r="V255" i="2"/>
  <c r="V256" i="2"/>
  <c r="V362" i="2"/>
  <c r="V363" i="2"/>
  <c r="V364" i="2"/>
  <c r="V257" i="2"/>
  <c r="V258" i="2"/>
  <c r="V259" i="2"/>
  <c r="V365" i="2"/>
  <c r="V366" i="2"/>
  <c r="V367" i="2"/>
  <c r="V260" i="2"/>
  <c r="V261" i="2"/>
  <c r="V262" i="2"/>
  <c r="V368" i="2"/>
  <c r="V369" i="2"/>
  <c r="V370" i="2"/>
  <c r="V263" i="2"/>
  <c r="V264" i="2"/>
  <c r="V265" i="2"/>
  <c r="V371" i="2"/>
  <c r="V372" i="2"/>
  <c r="V373" i="2"/>
  <c r="V266" i="2"/>
  <c r="V267" i="2"/>
  <c r="V268" i="2"/>
  <c r="V374" i="2"/>
  <c r="V375" i="2"/>
  <c r="V376" i="2"/>
  <c r="V269" i="2"/>
  <c r="V270" i="2"/>
  <c r="V271" i="2"/>
  <c r="V377" i="2"/>
  <c r="V378" i="2"/>
  <c r="V379" i="2"/>
  <c r="V272" i="2"/>
  <c r="V273" i="2"/>
  <c r="V274" i="2"/>
  <c r="V380" i="2"/>
  <c r="V381" i="2"/>
  <c r="V382" i="2"/>
  <c r="V275" i="2"/>
  <c r="V276" i="2"/>
  <c r="V277" i="2"/>
  <c r="V383" i="2"/>
  <c r="V384" i="2"/>
  <c r="V385" i="2"/>
  <c r="V278" i="2"/>
  <c r="V279" i="2"/>
  <c r="V280" i="2"/>
  <c r="V386" i="2"/>
  <c r="V387" i="2"/>
  <c r="V388" i="2"/>
  <c r="V281" i="2"/>
  <c r="V282" i="2"/>
  <c r="V283" i="2"/>
  <c r="V389" i="2"/>
  <c r="V390" i="2"/>
  <c r="V391" i="2"/>
  <c r="V284" i="2"/>
  <c r="V285" i="2"/>
  <c r="V286" i="2"/>
  <c r="V392" i="2"/>
  <c r="V393" i="2"/>
  <c r="V394" i="2"/>
  <c r="V287" i="2"/>
  <c r="V288" i="2"/>
  <c r="V289" i="2"/>
  <c r="V395" i="2"/>
  <c r="V396" i="2"/>
  <c r="V397" i="2"/>
  <c r="V290" i="2"/>
  <c r="V291" i="2"/>
  <c r="V292" i="2"/>
  <c r="V398" i="2"/>
  <c r="V399" i="2"/>
  <c r="V400" i="2"/>
  <c r="V293" i="2"/>
  <c r="V294" i="2"/>
  <c r="V295" i="2"/>
  <c r="V401" i="2"/>
  <c r="V402" i="2"/>
  <c r="V403" i="2"/>
  <c r="V296" i="2"/>
  <c r="V297" i="2"/>
  <c r="V298" i="2"/>
  <c r="V404" i="2"/>
  <c r="V405" i="2"/>
  <c r="V406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01" i="2"/>
  <c r="V102" i="2"/>
  <c r="V103" i="2"/>
  <c r="V104" i="2"/>
  <c r="V105" i="2"/>
  <c r="V106" i="2"/>
  <c r="V107" i="2"/>
  <c r="V108" i="2"/>
  <c r="V109" i="2"/>
  <c r="V110" i="2"/>
  <c r="V111" i="2"/>
  <c r="V112" i="2"/>
  <c r="V113" i="2"/>
  <c r="V114" i="2"/>
  <c r="V115" i="2"/>
  <c r="V116" i="2"/>
  <c r="V117" i="2"/>
  <c r="V118" i="2"/>
  <c r="V119" i="2"/>
  <c r="V120" i="2"/>
  <c r="V121" i="2"/>
  <c r="V122" i="2"/>
  <c r="V123" i="2"/>
  <c r="V124" i="2"/>
  <c r="V125" i="2"/>
  <c r="V126" i="2"/>
  <c r="V127" i="2"/>
  <c r="V128" i="2"/>
  <c r="V129" i="2"/>
  <c r="V130" i="2"/>
  <c r="V131" i="2"/>
  <c r="V132" i="2"/>
  <c r="V133" i="2"/>
  <c r="V134" i="2"/>
  <c r="V135" i="2"/>
  <c r="V136" i="2"/>
  <c r="V299" i="2"/>
  <c r="V300" i="2"/>
  <c r="V301" i="2"/>
  <c r="V407" i="2"/>
  <c r="V408" i="2"/>
  <c r="V409" i="2"/>
  <c r="V302" i="2"/>
  <c r="V303" i="2"/>
  <c r="V304" i="2"/>
  <c r="V410" i="2"/>
  <c r="V411" i="2"/>
  <c r="V412" i="2"/>
  <c r="V305" i="2"/>
  <c r="V306" i="2"/>
  <c r="V307" i="2"/>
  <c r="V413" i="2"/>
  <c r="V414" i="2"/>
  <c r="V415" i="2"/>
  <c r="V308" i="2"/>
  <c r="V309" i="2"/>
  <c r="V310" i="2"/>
  <c r="V416" i="2"/>
  <c r="V417" i="2"/>
  <c r="V418" i="2"/>
  <c r="V311" i="2"/>
  <c r="V312" i="2"/>
  <c r="V313" i="2"/>
  <c r="V419" i="2"/>
  <c r="V420" i="2"/>
  <c r="V421" i="2"/>
  <c r="V314" i="2"/>
  <c r="V315" i="2"/>
  <c r="V316" i="2"/>
  <c r="V422" i="2"/>
  <c r="V423" i="2"/>
  <c r="V424" i="2"/>
  <c r="V317" i="2"/>
  <c r="V318" i="2"/>
  <c r="V319" i="2"/>
  <c r="V425" i="2"/>
  <c r="V426" i="2"/>
  <c r="V427" i="2"/>
  <c r="V320" i="2"/>
  <c r="V321" i="2"/>
  <c r="V322" i="2"/>
  <c r="V428" i="2"/>
  <c r="V429" i="2"/>
  <c r="V430" i="2"/>
  <c r="V323" i="2"/>
  <c r="V324" i="2"/>
  <c r="V325" i="2"/>
  <c r="V431" i="2"/>
  <c r="V432" i="2"/>
  <c r="V433" i="2"/>
  <c r="V137" i="2"/>
  <c r="V138" i="2"/>
  <c r="V139" i="2"/>
  <c r="V140" i="2"/>
  <c r="V141" i="2"/>
  <c r="V142" i="2"/>
  <c r="V143" i="2"/>
  <c r="V144" i="2"/>
  <c r="V145" i="2"/>
  <c r="V146" i="2"/>
  <c r="V147" i="2"/>
  <c r="V148" i="2"/>
  <c r="V149" i="2"/>
  <c r="V150" i="2"/>
  <c r="V151" i="2"/>
  <c r="V152" i="2"/>
  <c r="V153" i="2"/>
  <c r="V154" i="2"/>
  <c r="V155" i="2"/>
  <c r="V156" i="2"/>
  <c r="V157" i="2"/>
  <c r="V158" i="2"/>
  <c r="V159" i="2"/>
  <c r="V160" i="2"/>
  <c r="V161" i="2"/>
  <c r="V162" i="2"/>
  <c r="V163" i="2"/>
  <c r="V164" i="2"/>
  <c r="V165" i="2"/>
  <c r="V166" i="2"/>
  <c r="V167" i="2"/>
  <c r="V168" i="2"/>
  <c r="V169" i="2"/>
  <c r="V170" i="2"/>
  <c r="V171" i="2"/>
  <c r="V172" i="2"/>
  <c r="V173" i="2"/>
  <c r="V174" i="2"/>
  <c r="V175" i="2"/>
  <c r="V176" i="2"/>
  <c r="V177" i="2"/>
  <c r="V178" i="2"/>
  <c r="V179" i="2"/>
  <c r="V180" i="2"/>
  <c r="V181" i="2"/>
  <c r="V182" i="2"/>
  <c r="V183" i="2"/>
  <c r="V184" i="2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V200" i="2"/>
  <c r="V201" i="2"/>
  <c r="V202" i="2"/>
  <c r="V203" i="2"/>
  <c r="V204" i="2"/>
  <c r="V205" i="2"/>
  <c r="V206" i="2"/>
  <c r="V207" i="2"/>
  <c r="V208" i="2"/>
  <c r="V209" i="2"/>
  <c r="V210" i="2"/>
  <c r="V211" i="2"/>
  <c r="V212" i="2"/>
  <c r="V213" i="2"/>
  <c r="V214" i="2"/>
  <c r="V215" i="2"/>
  <c r="V216" i="2"/>
  <c r="V217" i="2"/>
  <c r="V218" i="2"/>
  <c r="X219" i="2"/>
  <c r="X220" i="2"/>
  <c r="X326" i="2"/>
  <c r="X327" i="2"/>
  <c r="X328" i="2"/>
  <c r="X221" i="2"/>
  <c r="X222" i="2"/>
  <c r="X223" i="2"/>
  <c r="X329" i="2"/>
  <c r="X330" i="2"/>
  <c r="X331" i="2"/>
  <c r="X224" i="2"/>
  <c r="X225" i="2"/>
  <c r="X226" i="2"/>
  <c r="X332" i="2"/>
  <c r="X333" i="2"/>
  <c r="X334" i="2"/>
  <c r="X227" i="2"/>
  <c r="X228" i="2"/>
  <c r="X229" i="2"/>
  <c r="X335" i="2"/>
  <c r="X336" i="2"/>
  <c r="X337" i="2"/>
  <c r="X230" i="2"/>
  <c r="X231" i="2"/>
  <c r="X232" i="2"/>
  <c r="X338" i="2"/>
  <c r="X339" i="2"/>
  <c r="X340" i="2"/>
  <c r="X233" i="2"/>
  <c r="X234" i="2"/>
  <c r="X235" i="2"/>
  <c r="X341" i="2"/>
  <c r="X342" i="2"/>
  <c r="X343" i="2"/>
  <c r="X236" i="2"/>
  <c r="X237" i="2"/>
  <c r="X238" i="2"/>
  <c r="X344" i="2"/>
  <c r="X345" i="2"/>
  <c r="X346" i="2"/>
  <c r="X239" i="2"/>
  <c r="X240" i="2"/>
  <c r="X241" i="2"/>
  <c r="X347" i="2"/>
  <c r="X348" i="2"/>
  <c r="X349" i="2"/>
  <c r="X242" i="2"/>
  <c r="X243" i="2"/>
  <c r="X244" i="2"/>
  <c r="X350" i="2"/>
  <c r="X351" i="2"/>
  <c r="X352" i="2"/>
  <c r="X2" i="2"/>
  <c r="X3" i="2"/>
  <c r="X4" i="2"/>
  <c r="X5" i="2"/>
  <c r="X6" i="2"/>
  <c r="X7" i="2"/>
  <c r="X8" i="2"/>
  <c r="X9" i="2"/>
  <c r="X10" i="2"/>
  <c r="X11" i="2"/>
  <c r="X12" i="2"/>
  <c r="X13" i="2"/>
  <c r="X14" i="2"/>
  <c r="X15" i="2"/>
  <c r="X16" i="2"/>
  <c r="X17" i="2"/>
  <c r="X18" i="2"/>
  <c r="X19" i="2"/>
  <c r="X20" i="2"/>
  <c r="X21" i="2"/>
  <c r="X22" i="2"/>
  <c r="X23" i="2"/>
  <c r="X24" i="2"/>
  <c r="X25" i="2"/>
  <c r="X26" i="2"/>
  <c r="X27" i="2"/>
  <c r="X28" i="2"/>
  <c r="X245" i="2"/>
  <c r="X246" i="2"/>
  <c r="X247" i="2"/>
  <c r="X353" i="2"/>
  <c r="X354" i="2"/>
  <c r="X355" i="2"/>
  <c r="X248" i="2"/>
  <c r="X249" i="2"/>
  <c r="X250" i="2"/>
  <c r="X356" i="2"/>
  <c r="X357" i="2"/>
  <c r="X358" i="2"/>
  <c r="X251" i="2"/>
  <c r="X252" i="2"/>
  <c r="X253" i="2"/>
  <c r="X359" i="2"/>
  <c r="X360" i="2"/>
  <c r="X361" i="2"/>
  <c r="X254" i="2"/>
  <c r="X255" i="2"/>
  <c r="X256" i="2"/>
  <c r="X362" i="2"/>
  <c r="X363" i="2"/>
  <c r="X364" i="2"/>
  <c r="X257" i="2"/>
  <c r="X258" i="2"/>
  <c r="X259" i="2"/>
  <c r="X365" i="2"/>
  <c r="X366" i="2"/>
  <c r="X367" i="2"/>
  <c r="X260" i="2"/>
  <c r="X261" i="2"/>
  <c r="X262" i="2"/>
  <c r="X368" i="2"/>
  <c r="X369" i="2"/>
  <c r="X370" i="2"/>
  <c r="X263" i="2"/>
  <c r="X264" i="2"/>
  <c r="X265" i="2"/>
  <c r="X371" i="2"/>
  <c r="X372" i="2"/>
  <c r="X373" i="2"/>
  <c r="X266" i="2"/>
  <c r="X267" i="2"/>
  <c r="X268" i="2"/>
  <c r="X374" i="2"/>
  <c r="X375" i="2"/>
  <c r="X376" i="2"/>
  <c r="X269" i="2"/>
  <c r="X270" i="2"/>
  <c r="X271" i="2"/>
  <c r="X377" i="2"/>
  <c r="X378" i="2"/>
  <c r="X379" i="2"/>
  <c r="X272" i="2"/>
  <c r="X273" i="2"/>
  <c r="X274" i="2"/>
  <c r="X380" i="2"/>
  <c r="X381" i="2"/>
  <c r="X382" i="2"/>
  <c r="X275" i="2"/>
  <c r="X276" i="2"/>
  <c r="X277" i="2"/>
  <c r="X383" i="2"/>
  <c r="X384" i="2"/>
  <c r="X385" i="2"/>
  <c r="X278" i="2"/>
  <c r="X279" i="2"/>
  <c r="X280" i="2"/>
  <c r="X386" i="2"/>
  <c r="X387" i="2"/>
  <c r="X388" i="2"/>
  <c r="X281" i="2"/>
  <c r="X282" i="2"/>
  <c r="X283" i="2"/>
  <c r="X389" i="2"/>
  <c r="X390" i="2"/>
  <c r="X391" i="2"/>
  <c r="X284" i="2"/>
  <c r="X285" i="2"/>
  <c r="X286" i="2"/>
  <c r="X392" i="2"/>
  <c r="X393" i="2"/>
  <c r="X394" i="2"/>
  <c r="X287" i="2"/>
  <c r="X288" i="2"/>
  <c r="X289" i="2"/>
  <c r="X395" i="2"/>
  <c r="X396" i="2"/>
  <c r="X397" i="2"/>
  <c r="X290" i="2"/>
  <c r="X291" i="2"/>
  <c r="X292" i="2"/>
  <c r="X398" i="2"/>
  <c r="X399" i="2"/>
  <c r="X400" i="2"/>
  <c r="X293" i="2"/>
  <c r="X294" i="2"/>
  <c r="X295" i="2"/>
  <c r="X401" i="2"/>
  <c r="X402" i="2"/>
  <c r="X403" i="2"/>
  <c r="X296" i="2"/>
  <c r="X297" i="2"/>
  <c r="X298" i="2"/>
  <c r="X404" i="2"/>
  <c r="X405" i="2"/>
  <c r="X406" i="2"/>
  <c r="X29" i="2"/>
  <c r="X30" i="2"/>
  <c r="X31" i="2"/>
  <c r="X32" i="2"/>
  <c r="X33" i="2"/>
  <c r="X34" i="2"/>
  <c r="X35" i="2"/>
  <c r="X36" i="2"/>
  <c r="X37" i="2"/>
  <c r="X38" i="2"/>
  <c r="X39" i="2"/>
  <c r="X40" i="2"/>
  <c r="X41" i="2"/>
  <c r="X42" i="2"/>
  <c r="X43" i="2"/>
  <c r="X44" i="2"/>
  <c r="X45" i="2"/>
  <c r="X46" i="2"/>
  <c r="X47" i="2"/>
  <c r="X48" i="2"/>
  <c r="X49" i="2"/>
  <c r="X50" i="2"/>
  <c r="X51" i="2"/>
  <c r="X52" i="2"/>
  <c r="X53" i="2"/>
  <c r="X54" i="2"/>
  <c r="X55" i="2"/>
  <c r="X56" i="2"/>
  <c r="X57" i="2"/>
  <c r="X58" i="2"/>
  <c r="X59" i="2"/>
  <c r="X60" i="2"/>
  <c r="X61" i="2"/>
  <c r="X62" i="2"/>
  <c r="X63" i="2"/>
  <c r="X64" i="2"/>
  <c r="X65" i="2"/>
  <c r="X66" i="2"/>
  <c r="X67" i="2"/>
  <c r="X68" i="2"/>
  <c r="X69" i="2"/>
  <c r="X70" i="2"/>
  <c r="X71" i="2"/>
  <c r="X72" i="2"/>
  <c r="X73" i="2"/>
  <c r="X74" i="2"/>
  <c r="X75" i="2"/>
  <c r="X76" i="2"/>
  <c r="X77" i="2"/>
  <c r="X78" i="2"/>
  <c r="X79" i="2"/>
  <c r="X80" i="2"/>
  <c r="X81" i="2"/>
  <c r="X82" i="2"/>
  <c r="X83" i="2"/>
  <c r="X84" i="2"/>
  <c r="X85" i="2"/>
  <c r="X86" i="2"/>
  <c r="X87" i="2"/>
  <c r="X88" i="2"/>
  <c r="X89" i="2"/>
  <c r="X90" i="2"/>
  <c r="X91" i="2"/>
  <c r="X92" i="2"/>
  <c r="X93" i="2"/>
  <c r="X94" i="2"/>
  <c r="X95" i="2"/>
  <c r="X96" i="2"/>
  <c r="X97" i="2"/>
  <c r="X98" i="2"/>
  <c r="X99" i="2"/>
  <c r="X100" i="2"/>
  <c r="X101" i="2"/>
  <c r="X102" i="2"/>
  <c r="X103" i="2"/>
  <c r="X104" i="2"/>
  <c r="X105" i="2"/>
  <c r="X106" i="2"/>
  <c r="X107" i="2"/>
  <c r="X108" i="2"/>
  <c r="X109" i="2"/>
  <c r="X110" i="2"/>
  <c r="X111" i="2"/>
  <c r="X112" i="2"/>
  <c r="X113" i="2"/>
  <c r="X114" i="2"/>
  <c r="X115" i="2"/>
  <c r="X116" i="2"/>
  <c r="X117" i="2"/>
  <c r="X118" i="2"/>
  <c r="X119" i="2"/>
  <c r="X120" i="2"/>
  <c r="X121" i="2"/>
  <c r="X122" i="2"/>
  <c r="X123" i="2"/>
  <c r="X124" i="2"/>
  <c r="X125" i="2"/>
  <c r="X126" i="2"/>
  <c r="X127" i="2"/>
  <c r="X128" i="2"/>
  <c r="X129" i="2"/>
  <c r="X130" i="2"/>
  <c r="X131" i="2"/>
  <c r="X132" i="2"/>
  <c r="X133" i="2"/>
  <c r="X134" i="2"/>
  <c r="X135" i="2"/>
  <c r="X136" i="2"/>
  <c r="X299" i="2"/>
  <c r="X300" i="2"/>
  <c r="X301" i="2"/>
  <c r="X407" i="2"/>
  <c r="X408" i="2"/>
  <c r="X409" i="2"/>
  <c r="X302" i="2"/>
  <c r="X303" i="2"/>
  <c r="X304" i="2"/>
  <c r="X410" i="2"/>
  <c r="X411" i="2"/>
  <c r="X412" i="2"/>
  <c r="X305" i="2"/>
  <c r="X306" i="2"/>
  <c r="X307" i="2"/>
  <c r="X413" i="2"/>
  <c r="X414" i="2"/>
  <c r="X415" i="2"/>
  <c r="X308" i="2"/>
  <c r="X309" i="2"/>
  <c r="X310" i="2"/>
  <c r="X416" i="2"/>
  <c r="X417" i="2"/>
  <c r="X418" i="2"/>
  <c r="X311" i="2"/>
  <c r="X312" i="2"/>
  <c r="X313" i="2"/>
  <c r="X419" i="2"/>
  <c r="X420" i="2"/>
  <c r="X421" i="2"/>
  <c r="X314" i="2"/>
  <c r="X315" i="2"/>
  <c r="X316" i="2"/>
  <c r="X422" i="2"/>
  <c r="X423" i="2"/>
  <c r="X424" i="2"/>
  <c r="X317" i="2"/>
  <c r="X318" i="2"/>
  <c r="X319" i="2"/>
  <c r="X425" i="2"/>
  <c r="X426" i="2"/>
  <c r="X427" i="2"/>
  <c r="X320" i="2"/>
  <c r="X321" i="2"/>
  <c r="X322" i="2"/>
  <c r="X428" i="2"/>
  <c r="X429" i="2"/>
  <c r="X430" i="2"/>
  <c r="X323" i="2"/>
  <c r="X324" i="2"/>
  <c r="X325" i="2"/>
  <c r="X431" i="2"/>
  <c r="X432" i="2"/>
  <c r="X433" i="2"/>
  <c r="X137" i="2"/>
  <c r="X138" i="2"/>
  <c r="X139" i="2"/>
  <c r="X140" i="2"/>
  <c r="X141" i="2"/>
  <c r="X142" i="2"/>
  <c r="X143" i="2"/>
  <c r="X144" i="2"/>
  <c r="X145" i="2"/>
  <c r="X146" i="2"/>
  <c r="X147" i="2"/>
  <c r="X148" i="2"/>
  <c r="X149" i="2"/>
  <c r="X150" i="2"/>
  <c r="X151" i="2"/>
  <c r="X152" i="2"/>
  <c r="X153" i="2"/>
  <c r="X154" i="2"/>
  <c r="X155" i="2"/>
  <c r="X156" i="2"/>
  <c r="X157" i="2"/>
  <c r="X158" i="2"/>
  <c r="X159" i="2"/>
  <c r="X160" i="2"/>
  <c r="X161" i="2"/>
  <c r="X162" i="2"/>
  <c r="X163" i="2"/>
  <c r="X164" i="2"/>
  <c r="X165" i="2"/>
  <c r="X166" i="2"/>
  <c r="X167" i="2"/>
  <c r="X168" i="2"/>
  <c r="X169" i="2"/>
  <c r="X170" i="2"/>
  <c r="X171" i="2"/>
  <c r="X172" i="2"/>
  <c r="X173" i="2"/>
  <c r="X174" i="2"/>
  <c r="X175" i="2"/>
  <c r="X176" i="2"/>
  <c r="X177" i="2"/>
  <c r="X178" i="2"/>
  <c r="X179" i="2"/>
  <c r="X180" i="2"/>
  <c r="X181" i="2"/>
  <c r="X182" i="2"/>
  <c r="X183" i="2"/>
  <c r="X184" i="2"/>
  <c r="X185" i="2"/>
  <c r="X186" i="2"/>
  <c r="X187" i="2"/>
  <c r="X188" i="2"/>
  <c r="X189" i="2"/>
  <c r="X190" i="2"/>
  <c r="X191" i="2"/>
  <c r="X192" i="2"/>
  <c r="X193" i="2"/>
  <c r="X194" i="2"/>
  <c r="X195" i="2"/>
  <c r="X196" i="2"/>
  <c r="X197" i="2"/>
  <c r="X198" i="2"/>
  <c r="X199" i="2"/>
  <c r="X200" i="2"/>
  <c r="X201" i="2"/>
  <c r="X202" i="2"/>
  <c r="X203" i="2"/>
  <c r="X204" i="2"/>
  <c r="X205" i="2"/>
  <c r="X206" i="2"/>
  <c r="X207" i="2"/>
  <c r="X208" i="2"/>
  <c r="X209" i="2"/>
  <c r="X210" i="2"/>
  <c r="X211" i="2"/>
  <c r="X212" i="2"/>
  <c r="X213" i="2"/>
  <c r="X214" i="2"/>
  <c r="X215" i="2"/>
  <c r="X216" i="2"/>
  <c r="X217" i="2"/>
  <c r="X218" i="2"/>
  <c r="M219" i="2"/>
  <c r="M220" i="2"/>
  <c r="M326" i="2"/>
  <c r="M327" i="2"/>
  <c r="M328" i="2"/>
  <c r="M221" i="2"/>
  <c r="M222" i="2"/>
  <c r="M223" i="2"/>
  <c r="M329" i="2"/>
  <c r="M330" i="2"/>
  <c r="M331" i="2"/>
  <c r="M224" i="2"/>
  <c r="M225" i="2"/>
  <c r="M226" i="2"/>
  <c r="M332" i="2"/>
  <c r="M333" i="2"/>
  <c r="M334" i="2"/>
  <c r="M227" i="2"/>
  <c r="M228" i="2"/>
  <c r="M229" i="2"/>
  <c r="M335" i="2"/>
  <c r="M336" i="2"/>
  <c r="M337" i="2"/>
  <c r="M230" i="2"/>
  <c r="M231" i="2"/>
  <c r="M232" i="2"/>
  <c r="M338" i="2"/>
  <c r="M339" i="2"/>
  <c r="M340" i="2"/>
  <c r="M233" i="2"/>
  <c r="M234" i="2"/>
  <c r="M235" i="2"/>
  <c r="M341" i="2"/>
  <c r="M342" i="2"/>
  <c r="M343" i="2"/>
  <c r="M236" i="2"/>
  <c r="M237" i="2"/>
  <c r="M238" i="2"/>
  <c r="M344" i="2"/>
  <c r="M345" i="2"/>
  <c r="M346" i="2"/>
  <c r="M239" i="2"/>
  <c r="M240" i="2"/>
  <c r="M241" i="2"/>
  <c r="M347" i="2"/>
  <c r="M348" i="2"/>
  <c r="M349" i="2"/>
  <c r="M242" i="2"/>
  <c r="M243" i="2"/>
  <c r="M244" i="2"/>
  <c r="M350" i="2"/>
  <c r="M351" i="2"/>
  <c r="M352" i="2"/>
  <c r="M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45" i="2"/>
  <c r="M246" i="2"/>
  <c r="M247" i="2"/>
  <c r="M353" i="2"/>
  <c r="M354" i="2"/>
  <c r="M355" i="2"/>
  <c r="M248" i="2"/>
  <c r="M249" i="2"/>
  <c r="M250" i="2"/>
  <c r="M356" i="2"/>
  <c r="M357" i="2"/>
  <c r="M358" i="2"/>
  <c r="M251" i="2"/>
  <c r="M252" i="2"/>
  <c r="M253" i="2"/>
  <c r="M359" i="2"/>
  <c r="M360" i="2"/>
  <c r="M361" i="2"/>
  <c r="M254" i="2"/>
  <c r="M255" i="2"/>
  <c r="M256" i="2"/>
  <c r="M362" i="2"/>
  <c r="M363" i="2"/>
  <c r="M364" i="2"/>
  <c r="M257" i="2"/>
  <c r="M258" i="2"/>
  <c r="M259" i="2"/>
  <c r="M365" i="2"/>
  <c r="M366" i="2"/>
  <c r="M367" i="2"/>
  <c r="M260" i="2"/>
  <c r="M261" i="2"/>
  <c r="M262" i="2"/>
  <c r="M368" i="2"/>
  <c r="M369" i="2"/>
  <c r="M370" i="2"/>
  <c r="M263" i="2"/>
  <c r="M264" i="2"/>
  <c r="M265" i="2"/>
  <c r="M371" i="2"/>
  <c r="M372" i="2"/>
  <c r="M373" i="2"/>
  <c r="M266" i="2"/>
  <c r="M267" i="2"/>
  <c r="M268" i="2"/>
  <c r="M374" i="2"/>
  <c r="M375" i="2"/>
  <c r="M376" i="2"/>
  <c r="M269" i="2"/>
  <c r="M270" i="2"/>
  <c r="M271" i="2"/>
  <c r="M377" i="2"/>
  <c r="M378" i="2"/>
  <c r="M379" i="2"/>
  <c r="M272" i="2"/>
  <c r="M273" i="2"/>
  <c r="M274" i="2"/>
  <c r="M380" i="2"/>
  <c r="M381" i="2"/>
  <c r="M382" i="2"/>
  <c r="M275" i="2"/>
  <c r="M276" i="2"/>
  <c r="M277" i="2"/>
  <c r="M383" i="2"/>
  <c r="M384" i="2"/>
  <c r="M385" i="2"/>
  <c r="M278" i="2"/>
  <c r="M279" i="2"/>
  <c r="M280" i="2"/>
  <c r="M386" i="2"/>
  <c r="M387" i="2"/>
  <c r="M388" i="2"/>
  <c r="M281" i="2"/>
  <c r="M282" i="2"/>
  <c r="M283" i="2"/>
  <c r="M389" i="2"/>
  <c r="M390" i="2"/>
  <c r="M391" i="2"/>
  <c r="M284" i="2"/>
  <c r="M285" i="2"/>
  <c r="M286" i="2"/>
  <c r="M392" i="2"/>
  <c r="M393" i="2"/>
  <c r="M394" i="2"/>
  <c r="M287" i="2"/>
  <c r="M288" i="2"/>
  <c r="M289" i="2"/>
  <c r="M395" i="2"/>
  <c r="M396" i="2"/>
  <c r="M397" i="2"/>
  <c r="M290" i="2"/>
  <c r="M291" i="2"/>
  <c r="M292" i="2"/>
  <c r="M398" i="2"/>
  <c r="M399" i="2"/>
  <c r="M400" i="2"/>
  <c r="M293" i="2"/>
  <c r="M294" i="2"/>
  <c r="M295" i="2"/>
  <c r="M401" i="2"/>
  <c r="M402" i="2"/>
  <c r="M403" i="2"/>
  <c r="M296" i="2"/>
  <c r="M297" i="2"/>
  <c r="M298" i="2"/>
  <c r="M404" i="2"/>
  <c r="M405" i="2"/>
  <c r="M406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299" i="2"/>
  <c r="M300" i="2"/>
  <c r="M301" i="2"/>
  <c r="M407" i="2"/>
  <c r="M408" i="2"/>
  <c r="M409" i="2"/>
  <c r="M302" i="2"/>
  <c r="M303" i="2"/>
  <c r="M304" i="2"/>
  <c r="M410" i="2"/>
  <c r="M411" i="2"/>
  <c r="M412" i="2"/>
  <c r="M305" i="2"/>
  <c r="M306" i="2"/>
  <c r="M307" i="2"/>
  <c r="M413" i="2"/>
  <c r="M414" i="2"/>
  <c r="M415" i="2"/>
  <c r="M308" i="2"/>
  <c r="M309" i="2"/>
  <c r="M310" i="2"/>
  <c r="M416" i="2"/>
  <c r="M417" i="2"/>
  <c r="M418" i="2"/>
  <c r="M311" i="2"/>
  <c r="M312" i="2"/>
  <c r="M313" i="2"/>
  <c r="M419" i="2"/>
  <c r="M420" i="2"/>
  <c r="M421" i="2"/>
  <c r="M314" i="2"/>
  <c r="M315" i="2"/>
  <c r="M316" i="2"/>
  <c r="M422" i="2"/>
  <c r="M423" i="2"/>
  <c r="M424" i="2"/>
  <c r="M317" i="2"/>
  <c r="M318" i="2"/>
  <c r="M319" i="2"/>
  <c r="M425" i="2"/>
  <c r="M426" i="2"/>
  <c r="M427" i="2"/>
  <c r="M320" i="2"/>
  <c r="M321" i="2"/>
  <c r="M322" i="2"/>
  <c r="M428" i="2"/>
  <c r="M429" i="2"/>
  <c r="M430" i="2"/>
  <c r="M323" i="2"/>
  <c r="M324" i="2"/>
  <c r="M325" i="2"/>
  <c r="M431" i="2"/>
  <c r="M432" i="2"/>
  <c r="M433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K219" i="2"/>
  <c r="K220" i="2"/>
  <c r="K326" i="2"/>
  <c r="K327" i="2"/>
  <c r="K328" i="2"/>
  <c r="K221" i="2"/>
  <c r="K222" i="2"/>
  <c r="K223" i="2"/>
  <c r="K329" i="2"/>
  <c r="K330" i="2"/>
  <c r="K331" i="2"/>
  <c r="K224" i="2"/>
  <c r="K225" i="2"/>
  <c r="K226" i="2"/>
  <c r="K332" i="2"/>
  <c r="K333" i="2"/>
  <c r="K334" i="2"/>
  <c r="K227" i="2"/>
  <c r="K228" i="2"/>
  <c r="K229" i="2"/>
  <c r="K335" i="2"/>
  <c r="K336" i="2"/>
  <c r="K337" i="2"/>
  <c r="K230" i="2"/>
  <c r="K231" i="2"/>
  <c r="K232" i="2"/>
  <c r="K338" i="2"/>
  <c r="K339" i="2"/>
  <c r="K340" i="2"/>
  <c r="K233" i="2"/>
  <c r="K234" i="2"/>
  <c r="K235" i="2"/>
  <c r="K341" i="2"/>
  <c r="K342" i="2"/>
  <c r="K343" i="2"/>
  <c r="K236" i="2"/>
  <c r="K237" i="2"/>
  <c r="K238" i="2"/>
  <c r="K344" i="2"/>
  <c r="K345" i="2"/>
  <c r="K346" i="2"/>
  <c r="K239" i="2"/>
  <c r="K240" i="2"/>
  <c r="K241" i="2"/>
  <c r="K347" i="2"/>
  <c r="K348" i="2"/>
  <c r="K349" i="2"/>
  <c r="K242" i="2"/>
  <c r="K243" i="2"/>
  <c r="K244" i="2"/>
  <c r="K350" i="2"/>
  <c r="K351" i="2"/>
  <c r="K352" i="2"/>
  <c r="K2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45" i="2"/>
  <c r="K246" i="2"/>
  <c r="K247" i="2"/>
  <c r="K353" i="2"/>
  <c r="K354" i="2"/>
  <c r="K355" i="2"/>
  <c r="K248" i="2"/>
  <c r="K249" i="2"/>
  <c r="K250" i="2"/>
  <c r="K356" i="2"/>
  <c r="K357" i="2"/>
  <c r="K358" i="2"/>
  <c r="K251" i="2"/>
  <c r="K252" i="2"/>
  <c r="K253" i="2"/>
  <c r="K359" i="2"/>
  <c r="K360" i="2"/>
  <c r="K361" i="2"/>
  <c r="K254" i="2"/>
  <c r="K255" i="2"/>
  <c r="K256" i="2"/>
  <c r="K362" i="2"/>
  <c r="K363" i="2"/>
  <c r="K364" i="2"/>
  <c r="K257" i="2"/>
  <c r="K258" i="2"/>
  <c r="K259" i="2"/>
  <c r="K365" i="2"/>
  <c r="K366" i="2"/>
  <c r="K367" i="2"/>
  <c r="K260" i="2"/>
  <c r="K261" i="2"/>
  <c r="K262" i="2"/>
  <c r="K368" i="2"/>
  <c r="K369" i="2"/>
  <c r="K370" i="2"/>
  <c r="K263" i="2"/>
  <c r="K264" i="2"/>
  <c r="K265" i="2"/>
  <c r="K371" i="2"/>
  <c r="K372" i="2"/>
  <c r="K373" i="2"/>
  <c r="K266" i="2"/>
  <c r="K267" i="2"/>
  <c r="K268" i="2"/>
  <c r="K374" i="2"/>
  <c r="K375" i="2"/>
  <c r="K376" i="2"/>
  <c r="K269" i="2"/>
  <c r="K270" i="2"/>
  <c r="K271" i="2"/>
  <c r="K377" i="2"/>
  <c r="K378" i="2"/>
  <c r="K379" i="2"/>
  <c r="K272" i="2"/>
  <c r="K273" i="2"/>
  <c r="K274" i="2"/>
  <c r="K380" i="2"/>
  <c r="K381" i="2"/>
  <c r="K382" i="2"/>
  <c r="K275" i="2"/>
  <c r="K276" i="2"/>
  <c r="K277" i="2"/>
  <c r="K383" i="2"/>
  <c r="K384" i="2"/>
  <c r="K385" i="2"/>
  <c r="K278" i="2"/>
  <c r="K279" i="2"/>
  <c r="K280" i="2"/>
  <c r="K386" i="2"/>
  <c r="K387" i="2"/>
  <c r="K388" i="2"/>
  <c r="K281" i="2"/>
  <c r="K282" i="2"/>
  <c r="K283" i="2"/>
  <c r="K389" i="2"/>
  <c r="K390" i="2"/>
  <c r="K391" i="2"/>
  <c r="K284" i="2"/>
  <c r="K285" i="2"/>
  <c r="K286" i="2"/>
  <c r="K392" i="2"/>
  <c r="K393" i="2"/>
  <c r="K394" i="2"/>
  <c r="K287" i="2"/>
  <c r="K288" i="2"/>
  <c r="K289" i="2"/>
  <c r="K395" i="2"/>
  <c r="K396" i="2"/>
  <c r="K397" i="2"/>
  <c r="K290" i="2"/>
  <c r="K291" i="2"/>
  <c r="K292" i="2"/>
  <c r="K398" i="2"/>
  <c r="K399" i="2"/>
  <c r="K400" i="2"/>
  <c r="K293" i="2"/>
  <c r="K294" i="2"/>
  <c r="K295" i="2"/>
  <c r="K401" i="2"/>
  <c r="K402" i="2"/>
  <c r="K403" i="2"/>
  <c r="K296" i="2"/>
  <c r="K297" i="2"/>
  <c r="K298" i="2"/>
  <c r="K404" i="2"/>
  <c r="K405" i="2"/>
  <c r="K406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299" i="2"/>
  <c r="K300" i="2"/>
  <c r="K301" i="2"/>
  <c r="K407" i="2"/>
  <c r="K408" i="2"/>
  <c r="K409" i="2"/>
  <c r="K302" i="2"/>
  <c r="K303" i="2"/>
  <c r="K304" i="2"/>
  <c r="K410" i="2"/>
  <c r="K411" i="2"/>
  <c r="K412" i="2"/>
  <c r="K305" i="2"/>
  <c r="K306" i="2"/>
  <c r="K307" i="2"/>
  <c r="K413" i="2"/>
  <c r="K414" i="2"/>
  <c r="K415" i="2"/>
  <c r="K308" i="2"/>
  <c r="K309" i="2"/>
  <c r="K310" i="2"/>
  <c r="K416" i="2"/>
  <c r="K417" i="2"/>
  <c r="K418" i="2"/>
  <c r="K311" i="2"/>
  <c r="K312" i="2"/>
  <c r="K313" i="2"/>
  <c r="K419" i="2"/>
  <c r="K420" i="2"/>
  <c r="K421" i="2"/>
  <c r="K314" i="2"/>
  <c r="K315" i="2"/>
  <c r="K316" i="2"/>
  <c r="K422" i="2"/>
  <c r="K423" i="2"/>
  <c r="K424" i="2"/>
  <c r="K317" i="2"/>
  <c r="K318" i="2"/>
  <c r="K319" i="2"/>
  <c r="K425" i="2"/>
  <c r="K426" i="2"/>
  <c r="K427" i="2"/>
  <c r="K320" i="2"/>
  <c r="K321" i="2"/>
  <c r="K322" i="2"/>
  <c r="K428" i="2"/>
  <c r="K429" i="2"/>
  <c r="K430" i="2"/>
  <c r="K323" i="2"/>
  <c r="K324" i="2"/>
  <c r="K325" i="2"/>
  <c r="K431" i="2"/>
  <c r="K432" i="2"/>
  <c r="K433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I219" i="2"/>
  <c r="U219" i="2" s="1"/>
  <c r="I220" i="2"/>
  <c r="I326" i="2"/>
  <c r="I327" i="2"/>
  <c r="U327" i="2" s="1"/>
  <c r="I328" i="2"/>
  <c r="U328" i="2" s="1"/>
  <c r="I221" i="2"/>
  <c r="U221" i="2" s="1"/>
  <c r="I222" i="2"/>
  <c r="U222" i="2" s="1"/>
  <c r="I223" i="2"/>
  <c r="U223" i="2" s="1"/>
  <c r="I329" i="2"/>
  <c r="U329" i="2" s="1"/>
  <c r="I330" i="2"/>
  <c r="I331" i="2"/>
  <c r="I224" i="2"/>
  <c r="U224" i="2" s="1"/>
  <c r="I225" i="2"/>
  <c r="U225" i="2" s="1"/>
  <c r="I226" i="2"/>
  <c r="U226" i="2" s="1"/>
  <c r="I332" i="2"/>
  <c r="U332" i="2" s="1"/>
  <c r="I333" i="2"/>
  <c r="U333" i="2" s="1"/>
  <c r="I334" i="2"/>
  <c r="U334" i="2" s="1"/>
  <c r="I227" i="2"/>
  <c r="I228" i="2"/>
  <c r="I229" i="2"/>
  <c r="U229" i="2" s="1"/>
  <c r="I335" i="2"/>
  <c r="U335" i="2" s="1"/>
  <c r="I336" i="2"/>
  <c r="U336" i="2" s="1"/>
  <c r="I337" i="2"/>
  <c r="U337" i="2" s="1"/>
  <c r="I230" i="2"/>
  <c r="U230" i="2" s="1"/>
  <c r="I231" i="2"/>
  <c r="U231" i="2" s="1"/>
  <c r="I232" i="2"/>
  <c r="I338" i="2"/>
  <c r="I339" i="2"/>
  <c r="U339" i="2" s="1"/>
  <c r="I340" i="2"/>
  <c r="U340" i="2" s="1"/>
  <c r="I233" i="2"/>
  <c r="U233" i="2" s="1"/>
  <c r="I234" i="2"/>
  <c r="U234" i="2" s="1"/>
  <c r="I235" i="2"/>
  <c r="U235" i="2" s="1"/>
  <c r="I341" i="2"/>
  <c r="U341" i="2" s="1"/>
  <c r="I342" i="2"/>
  <c r="I343" i="2"/>
  <c r="I236" i="2"/>
  <c r="U236" i="2" s="1"/>
  <c r="I237" i="2"/>
  <c r="U237" i="2" s="1"/>
  <c r="I238" i="2"/>
  <c r="U238" i="2" s="1"/>
  <c r="I344" i="2"/>
  <c r="U344" i="2" s="1"/>
  <c r="I345" i="2"/>
  <c r="U345" i="2" s="1"/>
  <c r="I346" i="2"/>
  <c r="U346" i="2" s="1"/>
  <c r="I239" i="2"/>
  <c r="I240" i="2"/>
  <c r="I241" i="2"/>
  <c r="U241" i="2" s="1"/>
  <c r="I347" i="2"/>
  <c r="U347" i="2" s="1"/>
  <c r="I348" i="2"/>
  <c r="U348" i="2" s="1"/>
  <c r="I349" i="2"/>
  <c r="U349" i="2" s="1"/>
  <c r="I242" i="2"/>
  <c r="U242" i="2" s="1"/>
  <c r="I243" i="2"/>
  <c r="U243" i="2" s="1"/>
  <c r="I244" i="2"/>
  <c r="I350" i="2"/>
  <c r="I351" i="2"/>
  <c r="U351" i="2" s="1"/>
  <c r="I352" i="2"/>
  <c r="U352" i="2" s="1"/>
  <c r="I2" i="2"/>
  <c r="U2" i="2" s="1"/>
  <c r="I3" i="2"/>
  <c r="U3" i="2" s="1"/>
  <c r="I4" i="2"/>
  <c r="U4" i="2" s="1"/>
  <c r="I5" i="2"/>
  <c r="U5" i="2" s="1"/>
  <c r="I6" i="2"/>
  <c r="I7" i="2"/>
  <c r="I8" i="2"/>
  <c r="U8" i="2" s="1"/>
  <c r="I9" i="2"/>
  <c r="U9" i="2" s="1"/>
  <c r="I10" i="2"/>
  <c r="U10" i="2" s="1"/>
  <c r="I11" i="2"/>
  <c r="U11" i="2" s="1"/>
  <c r="I12" i="2"/>
  <c r="U12" i="2" s="1"/>
  <c r="I13" i="2"/>
  <c r="U13" i="2" s="1"/>
  <c r="I14" i="2"/>
  <c r="I15" i="2"/>
  <c r="I16" i="2"/>
  <c r="U16" i="2" s="1"/>
  <c r="I17" i="2"/>
  <c r="U17" i="2" s="1"/>
  <c r="I18" i="2"/>
  <c r="U18" i="2" s="1"/>
  <c r="I19" i="2"/>
  <c r="U19" i="2" s="1"/>
  <c r="I20" i="2"/>
  <c r="U20" i="2" s="1"/>
  <c r="I21" i="2"/>
  <c r="U21" i="2" s="1"/>
  <c r="I22" i="2"/>
  <c r="I23" i="2"/>
  <c r="I24" i="2"/>
  <c r="U24" i="2" s="1"/>
  <c r="I25" i="2"/>
  <c r="U25" i="2" s="1"/>
  <c r="I26" i="2"/>
  <c r="U26" i="2" s="1"/>
  <c r="I27" i="2"/>
  <c r="U27" i="2" s="1"/>
  <c r="I28" i="2"/>
  <c r="U28" i="2" s="1"/>
  <c r="I245" i="2"/>
  <c r="U245" i="2" s="1"/>
  <c r="I246" i="2"/>
  <c r="I247" i="2"/>
  <c r="I353" i="2"/>
  <c r="U353" i="2" s="1"/>
  <c r="I354" i="2"/>
  <c r="U354" i="2" s="1"/>
  <c r="I355" i="2"/>
  <c r="U355" i="2" s="1"/>
  <c r="I248" i="2"/>
  <c r="U248" i="2" s="1"/>
  <c r="I249" i="2"/>
  <c r="U249" i="2" s="1"/>
  <c r="I250" i="2"/>
  <c r="U250" i="2" s="1"/>
  <c r="I356" i="2"/>
  <c r="I357" i="2"/>
  <c r="I358" i="2"/>
  <c r="U358" i="2" s="1"/>
  <c r="I251" i="2"/>
  <c r="U251" i="2" s="1"/>
  <c r="I252" i="2"/>
  <c r="U252" i="2" s="1"/>
  <c r="I253" i="2"/>
  <c r="U253" i="2" s="1"/>
  <c r="I359" i="2"/>
  <c r="U359" i="2" s="1"/>
  <c r="I360" i="2"/>
  <c r="U360" i="2" s="1"/>
  <c r="I361" i="2"/>
  <c r="U361" i="2" s="1"/>
  <c r="I254" i="2"/>
  <c r="I255" i="2"/>
  <c r="U255" i="2" s="1"/>
  <c r="I256" i="2"/>
  <c r="U256" i="2" s="1"/>
  <c r="I362" i="2"/>
  <c r="U362" i="2" s="1"/>
  <c r="I363" i="2"/>
  <c r="U363" i="2" s="1"/>
  <c r="I364" i="2"/>
  <c r="U364" i="2" s="1"/>
  <c r="I257" i="2"/>
  <c r="U257" i="2" s="1"/>
  <c r="I258" i="2"/>
  <c r="I259" i="2"/>
  <c r="I365" i="2"/>
  <c r="U365" i="2" s="1"/>
  <c r="I366" i="2"/>
  <c r="U366" i="2" s="1"/>
  <c r="I367" i="2"/>
  <c r="U367" i="2" s="1"/>
  <c r="I260" i="2"/>
  <c r="U260" i="2" s="1"/>
  <c r="I261" i="2"/>
  <c r="U261" i="2" s="1"/>
  <c r="I262" i="2"/>
  <c r="U262" i="2" s="1"/>
  <c r="I368" i="2"/>
  <c r="I369" i="2"/>
  <c r="I370" i="2"/>
  <c r="U370" i="2" s="1"/>
  <c r="I263" i="2"/>
  <c r="U263" i="2" s="1"/>
  <c r="I264" i="2"/>
  <c r="U264" i="2" s="1"/>
  <c r="I265" i="2"/>
  <c r="U265" i="2" s="1"/>
  <c r="I371" i="2"/>
  <c r="U371" i="2" s="1"/>
  <c r="I372" i="2"/>
  <c r="U372" i="2" s="1"/>
  <c r="I373" i="2"/>
  <c r="I266" i="2"/>
  <c r="I267" i="2"/>
  <c r="U267" i="2" s="1"/>
  <c r="I268" i="2"/>
  <c r="U268" i="2" s="1"/>
  <c r="I374" i="2"/>
  <c r="U374" i="2" s="1"/>
  <c r="I375" i="2"/>
  <c r="U375" i="2" s="1"/>
  <c r="I376" i="2"/>
  <c r="U376" i="2" s="1"/>
  <c r="I269" i="2"/>
  <c r="U269" i="2" s="1"/>
  <c r="I270" i="2"/>
  <c r="I271" i="2"/>
  <c r="I377" i="2"/>
  <c r="U377" i="2" s="1"/>
  <c r="I378" i="2"/>
  <c r="U378" i="2" s="1"/>
  <c r="I379" i="2"/>
  <c r="U379" i="2" s="1"/>
  <c r="I272" i="2"/>
  <c r="U272" i="2" s="1"/>
  <c r="I273" i="2"/>
  <c r="U273" i="2" s="1"/>
  <c r="I274" i="2"/>
  <c r="U274" i="2" s="1"/>
  <c r="I380" i="2"/>
  <c r="U380" i="2" s="1"/>
  <c r="I381" i="2"/>
  <c r="U381" i="2" s="1"/>
  <c r="I382" i="2"/>
  <c r="U382" i="2" s="1"/>
  <c r="I275" i="2"/>
  <c r="U275" i="2" s="1"/>
  <c r="I276" i="2"/>
  <c r="U276" i="2" s="1"/>
  <c r="I277" i="2"/>
  <c r="I383" i="2"/>
  <c r="U383" i="2" s="1"/>
  <c r="I384" i="2"/>
  <c r="U384" i="2" s="1"/>
  <c r="I385" i="2"/>
  <c r="U385" i="2" s="1"/>
  <c r="I278" i="2"/>
  <c r="U278" i="2" s="1"/>
  <c r="I279" i="2"/>
  <c r="U279" i="2" s="1"/>
  <c r="I280" i="2"/>
  <c r="U280" i="2" s="1"/>
  <c r="I386" i="2"/>
  <c r="U386" i="2" s="1"/>
  <c r="I387" i="2"/>
  <c r="I388" i="2"/>
  <c r="U388" i="2" s="1"/>
  <c r="I281" i="2"/>
  <c r="U281" i="2" s="1"/>
  <c r="I282" i="2"/>
  <c r="U282" i="2" s="1"/>
  <c r="I283" i="2"/>
  <c r="U283" i="2" s="1"/>
  <c r="I389" i="2"/>
  <c r="U389" i="2" s="1"/>
  <c r="I390" i="2"/>
  <c r="U390" i="2" s="1"/>
  <c r="I391" i="2"/>
  <c r="U391" i="2" s="1"/>
  <c r="I284" i="2"/>
  <c r="I285" i="2"/>
  <c r="U285" i="2" s="1"/>
  <c r="I286" i="2"/>
  <c r="U286" i="2" s="1"/>
  <c r="I392" i="2"/>
  <c r="U392" i="2" s="1"/>
  <c r="I393" i="2"/>
  <c r="U393" i="2" s="1"/>
  <c r="I394" i="2"/>
  <c r="U394" i="2" s="1"/>
  <c r="I287" i="2"/>
  <c r="U287" i="2" s="1"/>
  <c r="I288" i="2"/>
  <c r="U288" i="2" s="1"/>
  <c r="I289" i="2"/>
  <c r="I395" i="2"/>
  <c r="U395" i="2" s="1"/>
  <c r="I396" i="2"/>
  <c r="U396" i="2" s="1"/>
  <c r="I397" i="2"/>
  <c r="U397" i="2" s="1"/>
  <c r="I290" i="2"/>
  <c r="U290" i="2" s="1"/>
  <c r="I291" i="2"/>
  <c r="U291" i="2" s="1"/>
  <c r="I292" i="2"/>
  <c r="U292" i="2" s="1"/>
  <c r="I398" i="2"/>
  <c r="U398" i="2" s="1"/>
  <c r="I399" i="2"/>
  <c r="I400" i="2"/>
  <c r="U400" i="2" s="1"/>
  <c r="I293" i="2"/>
  <c r="U293" i="2" s="1"/>
  <c r="I294" i="2"/>
  <c r="U294" i="2" s="1"/>
  <c r="I295" i="2"/>
  <c r="U295" i="2" s="1"/>
  <c r="I401" i="2"/>
  <c r="U401" i="2" s="1"/>
  <c r="I402" i="2"/>
  <c r="U402" i="2" s="1"/>
  <c r="I403" i="2"/>
  <c r="U403" i="2" s="1"/>
  <c r="I296" i="2"/>
  <c r="I297" i="2"/>
  <c r="U297" i="2" s="1"/>
  <c r="I298" i="2"/>
  <c r="U298" i="2" s="1"/>
  <c r="I404" i="2"/>
  <c r="U404" i="2" s="1"/>
  <c r="I405" i="2"/>
  <c r="U405" i="2" s="1"/>
  <c r="I406" i="2"/>
  <c r="U406" i="2" s="1"/>
  <c r="I29" i="2"/>
  <c r="U29" i="2" s="1"/>
  <c r="I30" i="2"/>
  <c r="I31" i="2"/>
  <c r="U31" i="2" s="1"/>
  <c r="I32" i="2"/>
  <c r="U32" i="2" s="1"/>
  <c r="I33" i="2"/>
  <c r="U33" i="2" s="1"/>
  <c r="I34" i="2"/>
  <c r="I35" i="2"/>
  <c r="I36" i="2"/>
  <c r="U36" i="2" s="1"/>
  <c r="I37" i="2"/>
  <c r="I38" i="2"/>
  <c r="I39" i="2"/>
  <c r="U39" i="2" s="1"/>
  <c r="I40" i="2"/>
  <c r="U40" i="2" s="1"/>
  <c r="I41" i="2"/>
  <c r="U41" i="2" s="1"/>
  <c r="I42" i="2"/>
  <c r="I43" i="2"/>
  <c r="I44" i="2"/>
  <c r="U44" i="2" s="1"/>
  <c r="I45" i="2"/>
  <c r="I46" i="2"/>
  <c r="I47" i="2"/>
  <c r="U47" i="2" s="1"/>
  <c r="I48" i="2"/>
  <c r="I49" i="2"/>
  <c r="U49" i="2" s="1"/>
  <c r="I50" i="2"/>
  <c r="I51" i="2"/>
  <c r="I52" i="2"/>
  <c r="U52" i="2" s="1"/>
  <c r="I53" i="2"/>
  <c r="I54" i="2"/>
  <c r="I55" i="2"/>
  <c r="U55" i="2" s="1"/>
  <c r="I191" i="2"/>
  <c r="I192" i="2"/>
  <c r="I193" i="2"/>
  <c r="U193" i="2" s="1"/>
  <c r="I194" i="2"/>
  <c r="I196" i="2"/>
  <c r="I197" i="2"/>
  <c r="U197" i="2" s="1"/>
  <c r="I199" i="2"/>
  <c r="I200" i="2"/>
  <c r="I201" i="2"/>
  <c r="I202" i="2"/>
  <c r="I204" i="2"/>
  <c r="U204" i="2" s="1"/>
  <c r="I205" i="2"/>
  <c r="U205" i="2" s="1"/>
  <c r="I207" i="2"/>
  <c r="I208" i="2"/>
  <c r="I209" i="2"/>
  <c r="I210" i="2"/>
  <c r="I212" i="2"/>
  <c r="I213" i="2"/>
  <c r="U213" i="2" s="1"/>
  <c r="I215" i="2"/>
  <c r="I216" i="2"/>
  <c r="I217" i="2"/>
  <c r="I218" i="2"/>
  <c r="D219" i="2"/>
  <c r="D220" i="2"/>
  <c r="D326" i="2"/>
  <c r="D327" i="2"/>
  <c r="D328" i="2"/>
  <c r="D221" i="2"/>
  <c r="D222" i="2"/>
  <c r="J222" i="2" s="1"/>
  <c r="T222" i="2" s="1"/>
  <c r="D223" i="2"/>
  <c r="D329" i="2"/>
  <c r="D330" i="2"/>
  <c r="D331" i="2"/>
  <c r="D224" i="2"/>
  <c r="D225" i="2"/>
  <c r="D226" i="2"/>
  <c r="D332" i="2"/>
  <c r="D333" i="2"/>
  <c r="D334" i="2"/>
  <c r="D227" i="2"/>
  <c r="D228" i="2"/>
  <c r="D229" i="2"/>
  <c r="D335" i="2"/>
  <c r="D336" i="2"/>
  <c r="D337" i="2"/>
  <c r="D230" i="2"/>
  <c r="D231" i="2"/>
  <c r="D232" i="2"/>
  <c r="J232" i="2" s="1"/>
  <c r="T232" i="2" s="1"/>
  <c r="D338" i="2"/>
  <c r="D339" i="2"/>
  <c r="D340" i="2"/>
  <c r="D233" i="2"/>
  <c r="D234" i="2"/>
  <c r="D235" i="2"/>
  <c r="D341" i="2"/>
  <c r="D342" i="2"/>
  <c r="D343" i="2"/>
  <c r="D236" i="2"/>
  <c r="D237" i="2"/>
  <c r="D238" i="2"/>
  <c r="D344" i="2"/>
  <c r="D345" i="2"/>
  <c r="D346" i="2"/>
  <c r="D239" i="2"/>
  <c r="D240" i="2"/>
  <c r="D241" i="2"/>
  <c r="D347" i="2"/>
  <c r="D348" i="2"/>
  <c r="D349" i="2"/>
  <c r="D242" i="2"/>
  <c r="D243" i="2"/>
  <c r="D244" i="2"/>
  <c r="D350" i="2"/>
  <c r="D351" i="2"/>
  <c r="D352" i="2"/>
  <c r="D2" i="2"/>
  <c r="D3" i="2"/>
  <c r="D4" i="2"/>
  <c r="J220" i="2" s="1"/>
  <c r="T220" i="2" s="1"/>
  <c r="D5" i="2"/>
  <c r="D6" i="2"/>
  <c r="D7" i="2"/>
  <c r="D8" i="2"/>
  <c r="J221" i="2" s="1"/>
  <c r="T221" i="2" s="1"/>
  <c r="D9" i="2"/>
  <c r="D10" i="2"/>
  <c r="D11" i="2"/>
  <c r="D12" i="2"/>
  <c r="J330" i="2" s="1"/>
  <c r="T330" i="2" s="1"/>
  <c r="D13" i="2"/>
  <c r="D14" i="2"/>
  <c r="D15" i="2"/>
  <c r="D16" i="2"/>
  <c r="J226" i="2" s="1"/>
  <c r="T226" i="2" s="1"/>
  <c r="D17" i="2"/>
  <c r="D18" i="2"/>
  <c r="D19" i="2"/>
  <c r="D20" i="2"/>
  <c r="J227" i="2" s="1"/>
  <c r="T227" i="2" s="1"/>
  <c r="D21" i="2"/>
  <c r="D22" i="2"/>
  <c r="D23" i="2"/>
  <c r="D24" i="2"/>
  <c r="J336" i="2" s="1"/>
  <c r="T336" i="2" s="1"/>
  <c r="D25" i="2"/>
  <c r="D26" i="2"/>
  <c r="D27" i="2"/>
  <c r="D28" i="2"/>
  <c r="D245" i="2"/>
  <c r="D246" i="2"/>
  <c r="D247" i="2"/>
  <c r="D353" i="2"/>
  <c r="D354" i="2"/>
  <c r="D355" i="2"/>
  <c r="D248" i="2"/>
  <c r="D249" i="2"/>
  <c r="D250" i="2"/>
  <c r="D356" i="2"/>
  <c r="D357" i="2"/>
  <c r="D358" i="2"/>
  <c r="D251" i="2"/>
  <c r="D252" i="2"/>
  <c r="D253" i="2"/>
  <c r="D359" i="2"/>
  <c r="D360" i="2"/>
  <c r="D361" i="2"/>
  <c r="D254" i="2"/>
  <c r="D255" i="2"/>
  <c r="D256" i="2"/>
  <c r="D362" i="2"/>
  <c r="D363" i="2"/>
  <c r="J363" i="2" s="1"/>
  <c r="T363" i="2" s="1"/>
  <c r="D364" i="2"/>
  <c r="D257" i="2"/>
  <c r="D258" i="2"/>
  <c r="D259" i="2"/>
  <c r="D365" i="2"/>
  <c r="D366" i="2"/>
  <c r="D367" i="2"/>
  <c r="D260" i="2"/>
  <c r="D261" i="2"/>
  <c r="D262" i="2"/>
  <c r="D368" i="2"/>
  <c r="D369" i="2"/>
  <c r="D370" i="2"/>
  <c r="D263" i="2"/>
  <c r="D264" i="2"/>
  <c r="D265" i="2"/>
  <c r="D371" i="2"/>
  <c r="D372" i="2"/>
  <c r="D373" i="2"/>
  <c r="D266" i="2"/>
  <c r="D267" i="2"/>
  <c r="D268" i="2"/>
  <c r="D374" i="2"/>
  <c r="D375" i="2"/>
  <c r="D376" i="2"/>
  <c r="D269" i="2"/>
  <c r="D270" i="2"/>
  <c r="D271" i="2"/>
  <c r="D377" i="2"/>
  <c r="D378" i="2"/>
  <c r="D379" i="2"/>
  <c r="D272" i="2"/>
  <c r="D273" i="2"/>
  <c r="D274" i="2"/>
  <c r="D380" i="2"/>
  <c r="J380" i="2" s="1"/>
  <c r="T380" i="2" s="1"/>
  <c r="D381" i="2"/>
  <c r="D382" i="2"/>
  <c r="D275" i="2"/>
  <c r="D276" i="2"/>
  <c r="D277" i="2"/>
  <c r="D383" i="2"/>
  <c r="D384" i="2"/>
  <c r="D385" i="2"/>
  <c r="D278" i="2"/>
  <c r="D279" i="2"/>
  <c r="D280" i="2"/>
  <c r="D386" i="2"/>
  <c r="D387" i="2"/>
  <c r="D388" i="2"/>
  <c r="D281" i="2"/>
  <c r="D282" i="2"/>
  <c r="D283" i="2"/>
  <c r="D389" i="2"/>
  <c r="D390" i="2"/>
  <c r="D391" i="2"/>
  <c r="D284" i="2"/>
  <c r="D285" i="2"/>
  <c r="D286" i="2"/>
  <c r="D392" i="2"/>
  <c r="D393" i="2"/>
  <c r="D394" i="2"/>
  <c r="D287" i="2"/>
  <c r="D288" i="2"/>
  <c r="D289" i="2"/>
  <c r="D395" i="2"/>
  <c r="D396" i="2"/>
  <c r="D397" i="2"/>
  <c r="D290" i="2"/>
  <c r="D291" i="2"/>
  <c r="D292" i="2"/>
  <c r="D398" i="2"/>
  <c r="D399" i="2"/>
  <c r="D400" i="2"/>
  <c r="D293" i="2"/>
  <c r="D294" i="2"/>
  <c r="D295" i="2"/>
  <c r="D401" i="2"/>
  <c r="D402" i="2"/>
  <c r="D403" i="2"/>
  <c r="D296" i="2"/>
  <c r="D297" i="2"/>
  <c r="D298" i="2"/>
  <c r="D404" i="2"/>
  <c r="D405" i="2"/>
  <c r="D406" i="2"/>
  <c r="D29" i="2"/>
  <c r="D30" i="2"/>
  <c r="D31" i="2"/>
  <c r="D32" i="2"/>
  <c r="J233" i="2" s="1"/>
  <c r="T233" i="2" s="1"/>
  <c r="D33" i="2"/>
  <c r="D34" i="2"/>
  <c r="D35" i="2"/>
  <c r="D36" i="2"/>
  <c r="J342" i="2" s="1"/>
  <c r="T342" i="2" s="1"/>
  <c r="D37" i="2"/>
  <c r="D38" i="2"/>
  <c r="D39" i="2"/>
  <c r="D40" i="2"/>
  <c r="J238" i="2" s="1"/>
  <c r="T238" i="2" s="1"/>
  <c r="D41" i="2"/>
  <c r="D42" i="2"/>
  <c r="D43" i="2"/>
  <c r="D44" i="2"/>
  <c r="J239" i="2" s="1"/>
  <c r="T239" i="2" s="1"/>
  <c r="D45" i="2"/>
  <c r="D46" i="2"/>
  <c r="D47" i="2"/>
  <c r="D48" i="2"/>
  <c r="J348" i="2" s="1"/>
  <c r="T348" i="2" s="1"/>
  <c r="D49" i="2"/>
  <c r="D50" i="2"/>
  <c r="D51" i="2"/>
  <c r="D52" i="2"/>
  <c r="J244" i="2" s="1"/>
  <c r="T244" i="2" s="1"/>
  <c r="D53" i="2"/>
  <c r="D54" i="2"/>
  <c r="D55" i="2"/>
  <c r="D191" i="2"/>
  <c r="D192" i="2"/>
  <c r="D193" i="2"/>
  <c r="D194" i="2"/>
  <c r="J194" i="2" s="1"/>
  <c r="T194" i="2" s="1"/>
  <c r="D196" i="2"/>
  <c r="D197" i="2"/>
  <c r="J197" i="2" s="1"/>
  <c r="T197" i="2" s="1"/>
  <c r="D199" i="2"/>
  <c r="D200" i="2"/>
  <c r="D201" i="2"/>
  <c r="D202" i="2"/>
  <c r="J202" i="2" s="1"/>
  <c r="T202" i="2" s="1"/>
  <c r="D204" i="2"/>
  <c r="D205" i="2"/>
  <c r="J43" i="2" s="1"/>
  <c r="T43" i="2" s="1"/>
  <c r="D207" i="2"/>
  <c r="D208" i="2"/>
  <c r="D209" i="2"/>
  <c r="D210" i="2"/>
  <c r="J210" i="2" s="1"/>
  <c r="T210" i="2" s="1"/>
  <c r="D212" i="2"/>
  <c r="D213" i="2"/>
  <c r="D215" i="2"/>
  <c r="D216" i="2"/>
  <c r="D217" i="2"/>
  <c r="D218" i="2"/>
  <c r="R49" i="2"/>
  <c r="R295" i="2"/>
  <c r="R287" i="2"/>
  <c r="R273" i="2"/>
  <c r="Q270" i="2"/>
  <c r="Q255" i="2"/>
  <c r="R231" i="2"/>
  <c r="R7" i="2"/>
  <c r="R347" i="2"/>
  <c r="R248" i="2"/>
  <c r="Q4" i="2"/>
  <c r="Q283" i="2"/>
  <c r="Q215" i="2"/>
  <c r="R341" i="2"/>
  <c r="R326" i="2"/>
  <c r="R52" i="2"/>
  <c r="R38" i="2"/>
  <c r="Q286" i="2"/>
  <c r="Q393" i="2"/>
  <c r="Q230" i="2"/>
  <c r="R346" i="2"/>
  <c r="R331" i="2"/>
  <c r="R198" i="2"/>
  <c r="R276" i="2"/>
  <c r="Q257" i="2"/>
  <c r="Q259" i="2"/>
  <c r="Q268" i="2"/>
  <c r="R220" i="2"/>
  <c r="R51" i="2"/>
  <c r="R37" i="2"/>
  <c r="R364" i="2"/>
  <c r="Q342" i="2"/>
  <c r="Q327" i="2"/>
  <c r="Q233" i="2"/>
  <c r="R42" i="2"/>
  <c r="R291" i="2"/>
  <c r="R252" i="2"/>
  <c r="Q5" i="2"/>
  <c r="Q266" i="2"/>
  <c r="Q275" i="2"/>
  <c r="R232" i="2"/>
  <c r="R8" i="2"/>
  <c r="R348" i="2"/>
  <c r="R277" i="2"/>
  <c r="Q331" i="2"/>
  <c r="R371" i="2"/>
  <c r="Q39" i="2"/>
  <c r="Q12" i="2"/>
  <c r="Q35" i="2"/>
  <c r="Q47" i="2"/>
  <c r="Q32" i="2"/>
  <c r="Q193" i="2"/>
  <c r="Q354" i="2"/>
  <c r="Q251" i="2"/>
  <c r="Q326" i="2"/>
  <c r="Q260" i="2"/>
  <c r="R238" i="2"/>
  <c r="Q54" i="2"/>
  <c r="Q395" i="2"/>
  <c r="Q399" i="2"/>
  <c r="Q48" i="2"/>
  <c r="R334" i="2"/>
  <c r="Q384" i="2"/>
  <c r="R10" i="2"/>
  <c r="R368" i="2"/>
  <c r="Q352" i="2"/>
  <c r="R11" i="2"/>
  <c r="R228" i="2"/>
  <c r="Q378" i="2"/>
  <c r="Q397" i="2"/>
  <c r="R259" i="2"/>
  <c r="Q235" i="2"/>
  <c r="R33" i="2"/>
  <c r="Q20" i="2"/>
  <c r="R245" i="2"/>
  <c r="Q220" i="2"/>
  <c r="R374" i="2"/>
  <c r="Q341" i="2"/>
  <c r="R404" i="2"/>
  <c r="Q196" i="2"/>
  <c r="R192" i="2"/>
  <c r="R241" i="2"/>
  <c r="R290" i="2"/>
  <c r="Q374" i="2"/>
  <c r="Q387" i="2"/>
  <c r="R260" i="2"/>
  <c r="R55" i="2"/>
  <c r="R234" i="2"/>
  <c r="R207" i="2"/>
  <c r="R40" i="2"/>
  <c r="Q34" i="2"/>
  <c r="Q394" i="2"/>
  <c r="R250" i="2"/>
  <c r="R266" i="2"/>
  <c r="R366" i="2"/>
  <c r="R333" i="2"/>
  <c r="Q330" i="2"/>
  <c r="Q197" i="2"/>
  <c r="Q221" i="2"/>
  <c r="R360" i="2"/>
  <c r="R15" i="2"/>
  <c r="R352" i="2"/>
  <c r="R387" i="2"/>
  <c r="Q364" i="2"/>
  <c r="Q205" i="2"/>
  <c r="Q226" i="2"/>
  <c r="R257" i="2"/>
  <c r="R23" i="2"/>
  <c r="R209" i="2"/>
  <c r="R46" i="2"/>
  <c r="Q396" i="2"/>
  <c r="Q290" i="2"/>
  <c r="Q29" i="2"/>
  <c r="R14" i="2"/>
  <c r="R236" i="2"/>
  <c r="R265" i="2"/>
  <c r="R395" i="2"/>
  <c r="Q361" i="2"/>
  <c r="Q16" i="2"/>
  <c r="R5" i="2"/>
  <c r="R31" i="2"/>
  <c r="R214" i="2"/>
  <c r="R391" i="2"/>
  <c r="Q372" i="2"/>
  <c r="Q405" i="2"/>
  <c r="Q45" i="2"/>
  <c r="R356" i="2"/>
  <c r="R267" i="2"/>
  <c r="R367" i="2"/>
  <c r="Q329" i="2"/>
  <c r="Q23" i="2"/>
  <c r="Q269" i="2"/>
  <c r="Q371" i="2"/>
  <c r="R13" i="2"/>
  <c r="Q273" i="2"/>
  <c r="Q242" i="2"/>
  <c r="Q340" i="2"/>
  <c r="Q339" i="2"/>
  <c r="Q355" i="2"/>
  <c r="Q367" i="2"/>
  <c r="Q353" i="2"/>
  <c r="R4" i="2"/>
  <c r="Q252" i="2"/>
  <c r="R24" i="2"/>
  <c r="R194" i="2"/>
  <c r="R285" i="2"/>
  <c r="Q262" i="2"/>
  <c r="R45" i="2"/>
  <c r="R12" i="2"/>
  <c r="R280" i="2"/>
  <c r="Q403" i="2"/>
  <c r="R382" i="2"/>
  <c r="Q263" i="2"/>
  <c r="Q406" i="2"/>
  <c r="Q295" i="2"/>
  <c r="Q212" i="2"/>
  <c r="R376" i="2"/>
  <c r="Q11" i="2"/>
  <c r="R208" i="2"/>
  <c r="R342" i="2"/>
  <c r="R327" i="2"/>
  <c r="R2" i="2"/>
  <c r="R39" i="2"/>
  <c r="Q376" i="2"/>
  <c r="Q400" i="2"/>
  <c r="R281" i="2"/>
  <c r="R405" i="2"/>
  <c r="R292" i="2"/>
  <c r="R28" i="2"/>
  <c r="Q22" i="2"/>
  <c r="Q241" i="2"/>
  <c r="Q18" i="2"/>
  <c r="R286" i="2"/>
  <c r="R271" i="2"/>
  <c r="R263" i="2"/>
  <c r="R230" i="2"/>
  <c r="Q227" i="2"/>
  <c r="Q351" i="2"/>
  <c r="Q26" i="2"/>
  <c r="R396" i="2"/>
  <c r="R381" i="2"/>
  <c r="R9" i="2"/>
  <c r="R47" i="2"/>
  <c r="Q383" i="2"/>
  <c r="Q213" i="2"/>
  <c r="Q359" i="2"/>
  <c r="R270" i="2"/>
  <c r="R255" i="2"/>
  <c r="R336" i="2"/>
  <c r="R210" i="2"/>
  <c r="Q392" i="2"/>
  <c r="Q377" i="2"/>
  <c r="R372" i="2"/>
  <c r="R338" i="2"/>
  <c r="R225" i="2"/>
  <c r="R200" i="2"/>
  <c r="Q298" i="2"/>
  <c r="Q249" i="2"/>
  <c r="Q238" i="2"/>
  <c r="R282" i="2"/>
  <c r="R406" i="2"/>
  <c r="R398" i="2"/>
  <c r="Q21" i="2"/>
  <c r="R219" i="2"/>
  <c r="Q294" i="2"/>
  <c r="Q398" i="2"/>
  <c r="R246" i="2"/>
  <c r="Q335" i="2"/>
  <c r="R269" i="2"/>
  <c r="Q2" i="2"/>
  <c r="Q222" i="2"/>
  <c r="Q288" i="2"/>
  <c r="Q265" i="2"/>
  <c r="Q280" i="2"/>
  <c r="Q217" i="2"/>
  <c r="Q13" i="2"/>
  <c r="Q349" i="2"/>
  <c r="Q216" i="2"/>
  <c r="Q375" i="2"/>
  <c r="Q244" i="2"/>
  <c r="R222" i="2"/>
  <c r="R258" i="2"/>
  <c r="Q261" i="2"/>
  <c r="Q50" i="2"/>
  <c r="R339" i="2"/>
  <c r="R262" i="2"/>
  <c r="Q369" i="2"/>
  <c r="R400" i="2"/>
  <c r="R251" i="2"/>
  <c r="R205" i="2"/>
  <c r="Q253" i="2"/>
  <c r="Q279" i="2"/>
  <c r="R350" i="2"/>
  <c r="Q51" i="2"/>
  <c r="Q250" i="2"/>
  <c r="R353" i="2"/>
  <c r="R358" i="2"/>
  <c r="R293" i="2"/>
  <c r="Q37" i="2"/>
  <c r="R3" i="2"/>
  <c r="R390" i="2"/>
  <c r="Q15" i="2"/>
  <c r="R50" i="2"/>
  <c r="Q218" i="2"/>
  <c r="R361" i="2"/>
  <c r="R16" i="2"/>
  <c r="R264" i="2"/>
  <c r="Q334" i="2"/>
  <c r="Q228" i="2"/>
  <c r="Q237" i="2"/>
  <c r="R195" i="2"/>
  <c r="R27" i="2"/>
  <c r="R215" i="2"/>
  <c r="R383" i="2"/>
  <c r="Q380" i="2"/>
  <c r="Q365" i="2"/>
  <c r="Q379" i="2"/>
  <c r="R203" i="2"/>
  <c r="R35" i="2"/>
  <c r="R402" i="2"/>
  <c r="R249" i="2"/>
  <c r="Q246" i="2"/>
  <c r="Q370" i="2"/>
  <c r="Q276" i="2"/>
  <c r="R211" i="2"/>
  <c r="R43" i="2"/>
  <c r="R268" i="2"/>
  <c r="R235" i="2"/>
  <c r="Q232" i="2"/>
  <c r="Q194" i="2"/>
  <c r="Q336" i="2"/>
  <c r="R34" i="2"/>
  <c r="R394" i="2"/>
  <c r="R355" i="2"/>
  <c r="R217" i="2"/>
  <c r="Q204" i="2"/>
  <c r="Q328" i="2"/>
  <c r="R298" i="2"/>
  <c r="R357" i="2"/>
  <c r="R25" i="2"/>
  <c r="R242" i="2"/>
  <c r="Q239" i="2"/>
  <c r="Q224" i="2"/>
  <c r="R329" i="2"/>
  <c r="R196" i="2"/>
  <c r="R284" i="2"/>
  <c r="R216" i="2"/>
  <c r="Q274" i="2"/>
  <c r="R227" i="2"/>
  <c r="Q381" i="2"/>
  <c r="Q363" i="2"/>
  <c r="R254" i="2"/>
  <c r="Q348" i="2"/>
  <c r="R385" i="2"/>
  <c r="Q391" i="2"/>
  <c r="Q219" i="2"/>
  <c r="Q208" i="2"/>
  <c r="Q202" i="2"/>
  <c r="Q191" i="2"/>
  <c r="R337" i="2"/>
  <c r="Q368" i="2"/>
  <c r="Q390" i="2"/>
  <c r="R204" i="2"/>
  <c r="Q278" i="2"/>
  <c r="Q347" i="2"/>
  <c r="R221" i="2"/>
  <c r="R373" i="2"/>
  <c r="Q267" i="2"/>
  <c r="R54" i="2"/>
  <c r="R197" i="2"/>
  <c r="R274" i="2"/>
  <c r="R351" i="2"/>
  <c r="Q19" i="2"/>
  <c r="Q296" i="2"/>
  <c r="R223" i="2"/>
  <c r="Q207" i="2"/>
  <c r="Q338" i="2"/>
  <c r="Q332" i="2"/>
  <c r="Q343" i="2"/>
  <c r="R226" i="2"/>
  <c r="R247" i="2"/>
  <c r="Q293" i="2"/>
  <c r="R296" i="2"/>
  <c r="R41" i="2"/>
  <c r="R354" i="2"/>
  <c r="R53" i="2"/>
  <c r="Q333" i="2"/>
  <c r="Q223" i="2"/>
  <c r="R392" i="2"/>
  <c r="R377" i="2"/>
  <c r="R403" i="2"/>
  <c r="Q245" i="2"/>
  <c r="Q247" i="2"/>
  <c r="Q256" i="2"/>
  <c r="R239" i="2"/>
  <c r="R224" i="2"/>
  <c r="R193" i="2"/>
  <c r="R48" i="2"/>
  <c r="Q42" i="2"/>
  <c r="Q291" i="2"/>
  <c r="Q38" i="2"/>
  <c r="R244" i="2"/>
  <c r="R375" i="2"/>
  <c r="R332" i="2"/>
  <c r="R388" i="2"/>
  <c r="Q385" i="2"/>
  <c r="Q401" i="2"/>
  <c r="Q46" i="2"/>
  <c r="R6" i="2"/>
  <c r="R399" i="2"/>
  <c r="R29" i="2"/>
  <c r="R359" i="2"/>
  <c r="Q356" i="2"/>
  <c r="Q8" i="2"/>
  <c r="R243" i="2"/>
  <c r="R272" i="2"/>
  <c r="R206" i="2"/>
  <c r="R386" i="2"/>
  <c r="Q243" i="2"/>
  <c r="Q350" i="2"/>
  <c r="Q17" i="2"/>
  <c r="R19" i="2"/>
  <c r="R283" i="2"/>
  <c r="R275" i="2"/>
  <c r="R261" i="2"/>
  <c r="Q258" i="2"/>
  <c r="Q24" i="2"/>
  <c r="R21" i="2"/>
  <c r="R240" i="2"/>
  <c r="R340" i="2"/>
  <c r="R201" i="2"/>
  <c r="Q6" i="2"/>
  <c r="R343" i="2"/>
  <c r="Q389" i="2"/>
  <c r="Q209" i="2"/>
  <c r="R370" i="2"/>
  <c r="Q386" i="2"/>
  <c r="R393" i="2"/>
  <c r="Q200" i="2"/>
  <c r="Q358" i="2"/>
  <c r="Q210" i="2"/>
  <c r="Q289" i="2"/>
  <c r="Q362" i="2"/>
  <c r="Q30" i="2"/>
  <c r="Q271" i="2"/>
  <c r="Q31" i="2"/>
  <c r="R36" i="2"/>
  <c r="Q287" i="2"/>
  <c r="Q297" i="2"/>
  <c r="R229" i="2"/>
  <c r="Q388" i="2"/>
  <c r="Q282" i="2"/>
  <c r="R328" i="2"/>
  <c r="R330" i="2"/>
  <c r="Q382" i="2"/>
  <c r="Q373" i="2"/>
  <c r="Q192" i="2"/>
  <c r="R191" i="2"/>
  <c r="Q344" i="2"/>
  <c r="R237" i="2"/>
  <c r="R397" i="2"/>
  <c r="Q366" i="2"/>
  <c r="R18" i="2"/>
  <c r="Q337" i="2"/>
  <c r="R202" i="2"/>
  <c r="R17" i="2"/>
  <c r="R22" i="2"/>
  <c r="Q225" i="2"/>
  <c r="Q404" i="2"/>
  <c r="R288" i="2"/>
  <c r="Q284" i="2"/>
  <c r="Q53" i="2"/>
  <c r="R384" i="2"/>
  <c r="R369" i="2"/>
  <c r="R256" i="2"/>
  <c r="R20" i="2"/>
  <c r="Q14" i="2"/>
  <c r="Q236" i="2"/>
  <c r="Q10" i="2"/>
  <c r="R212" i="2"/>
  <c r="R44" i="2"/>
  <c r="R30" i="2"/>
  <c r="Q281" i="2"/>
  <c r="Q357" i="2"/>
  <c r="Q292" i="2"/>
  <c r="Q27" i="2"/>
  <c r="R349" i="2"/>
  <c r="R279" i="2"/>
  <c r="R379" i="2"/>
  <c r="Q360" i="2"/>
  <c r="Q254" i="2"/>
  <c r="Q402" i="2"/>
  <c r="Q248" i="2"/>
  <c r="R253" i="2"/>
  <c r="R389" i="2"/>
  <c r="R26" i="2"/>
  <c r="Q346" i="2"/>
  <c r="Q240" i="2"/>
  <c r="Q9" i="2"/>
  <c r="R344" i="2"/>
  <c r="R278" i="2"/>
  <c r="R378" i="2"/>
  <c r="R345" i="2"/>
  <c r="Q40" i="2"/>
  <c r="Q345" i="2"/>
  <c r="Q285" i="2"/>
  <c r="R380" i="2"/>
  <c r="R365" i="2"/>
  <c r="R233" i="2"/>
  <c r="R218" i="2"/>
  <c r="Q7" i="2"/>
  <c r="Q25" i="2"/>
  <c r="R289" i="2"/>
  <c r="R213" i="2"/>
  <c r="R199" i="2"/>
  <c r="R32" i="2"/>
  <c r="Q28" i="2"/>
  <c r="R362" i="2"/>
  <c r="Q3" i="2"/>
  <c r="Q199" i="2"/>
  <c r="R297" i="2"/>
  <c r="Q277" i="2"/>
  <c r="Q43" i="2"/>
  <c r="Q55" i="2"/>
  <c r="Q229" i="2"/>
  <c r="Q201" i="2"/>
  <c r="R363" i="2"/>
  <c r="Q234" i="2"/>
  <c r="R335" i="2"/>
  <c r="Q264" i="2"/>
  <c r="Q272" i="2"/>
  <c r="Q231" i="2"/>
  <c r="R401" i="2"/>
  <c r="R294" i="2"/>
  <c r="J337" i="2" l="1"/>
  <c r="T337" i="2" s="1"/>
  <c r="J332" i="2"/>
  <c r="T332" i="2" s="1"/>
  <c r="J349" i="2"/>
  <c r="T349" i="2" s="1"/>
  <c r="J234" i="2"/>
  <c r="T234" i="2" s="1"/>
  <c r="J242" i="2"/>
  <c r="T242" i="2" s="1"/>
  <c r="J345" i="2"/>
  <c r="T345" i="2" s="1"/>
  <c r="J235" i="2"/>
  <c r="T235" i="2" s="1"/>
  <c r="J228" i="2"/>
  <c r="T228" i="2" s="1"/>
  <c r="J331" i="2"/>
  <c r="T331" i="2" s="1"/>
  <c r="J326" i="2"/>
  <c r="T326" i="2" s="1"/>
  <c r="J350" i="2"/>
  <c r="T350" i="2" s="1"/>
  <c r="J240" i="2"/>
  <c r="T240" i="2" s="1"/>
  <c r="J343" i="2"/>
  <c r="T343" i="2" s="1"/>
  <c r="J338" i="2"/>
  <c r="T338" i="2" s="1"/>
  <c r="L202" i="2"/>
  <c r="J269" i="2"/>
  <c r="T269" i="2" s="1"/>
  <c r="J372" i="2"/>
  <c r="T372" i="2" s="1"/>
  <c r="J262" i="2"/>
  <c r="T262" i="2" s="1"/>
  <c r="J257" i="2"/>
  <c r="T257" i="2" s="1"/>
  <c r="J360" i="2"/>
  <c r="T360" i="2" s="1"/>
  <c r="J250" i="2"/>
  <c r="T250" i="2" s="1"/>
  <c r="J245" i="2"/>
  <c r="T245" i="2" s="1"/>
  <c r="J21" i="2"/>
  <c r="T21" i="2" s="1"/>
  <c r="J13" i="2"/>
  <c r="T13" i="2" s="1"/>
  <c r="J5" i="2"/>
  <c r="T5" i="2" s="1"/>
  <c r="J243" i="2"/>
  <c r="T243" i="2" s="1"/>
  <c r="J346" i="2"/>
  <c r="T346" i="2" s="1"/>
  <c r="J341" i="2"/>
  <c r="T341" i="2" s="1"/>
  <c r="J335" i="2"/>
  <c r="T335" i="2" s="1"/>
  <c r="J225" i="2"/>
  <c r="T225" i="2" s="1"/>
  <c r="J328" i="2"/>
  <c r="T328" i="2" s="1"/>
  <c r="J229" i="2"/>
  <c r="T229" i="2" s="1"/>
  <c r="J224" i="2"/>
  <c r="T224" i="2" s="1"/>
  <c r="J327" i="2"/>
  <c r="T327" i="2" s="1"/>
  <c r="J35" i="2"/>
  <c r="T35" i="2" s="1"/>
  <c r="L372" i="2"/>
  <c r="Y372" i="2" s="1"/>
  <c r="J378" i="2"/>
  <c r="T378" i="2" s="1"/>
  <c r="J268" i="2"/>
  <c r="T268" i="2" s="1"/>
  <c r="J263" i="2"/>
  <c r="T263" i="2" s="1"/>
  <c r="J366" i="2"/>
  <c r="T366" i="2" s="1"/>
  <c r="J256" i="2"/>
  <c r="T256" i="2" s="1"/>
  <c r="J251" i="2"/>
  <c r="T251" i="2" s="1"/>
  <c r="J354" i="2"/>
  <c r="T354" i="2" s="1"/>
  <c r="J25" i="2"/>
  <c r="T25" i="2" s="1"/>
  <c r="J17" i="2"/>
  <c r="T17" i="2" s="1"/>
  <c r="J9" i="2"/>
  <c r="T9" i="2" s="1"/>
  <c r="J352" i="2"/>
  <c r="T352" i="2" s="1"/>
  <c r="J347" i="2"/>
  <c r="T347" i="2" s="1"/>
  <c r="J237" i="2"/>
  <c r="T237" i="2" s="1"/>
  <c r="J340" i="2"/>
  <c r="T340" i="2" s="1"/>
  <c r="J231" i="2"/>
  <c r="T231" i="2" s="1"/>
  <c r="J334" i="2"/>
  <c r="T334" i="2" s="1"/>
  <c r="J329" i="2"/>
  <c r="T329" i="2" s="1"/>
  <c r="J219" i="2"/>
  <c r="T219" i="2" s="1"/>
  <c r="J19" i="2"/>
  <c r="T19" i="2" s="1"/>
  <c r="L250" i="2"/>
  <c r="Y250" i="2" s="1"/>
  <c r="J377" i="2"/>
  <c r="T377" i="2" s="1"/>
  <c r="J267" i="2"/>
  <c r="T267" i="2" s="1"/>
  <c r="J370" i="2"/>
  <c r="T370" i="2" s="1"/>
  <c r="J365" i="2"/>
  <c r="T365" i="2" s="1"/>
  <c r="J255" i="2"/>
  <c r="T255" i="2" s="1"/>
  <c r="J358" i="2"/>
  <c r="T358" i="2" s="1"/>
  <c r="J353" i="2"/>
  <c r="T353" i="2" s="1"/>
  <c r="J24" i="2"/>
  <c r="T24" i="2" s="1"/>
  <c r="J16" i="2"/>
  <c r="T16" i="2" s="1"/>
  <c r="J8" i="2"/>
  <c r="T8" i="2" s="1"/>
  <c r="J351" i="2"/>
  <c r="T351" i="2" s="1"/>
  <c r="J241" i="2"/>
  <c r="T241" i="2" s="1"/>
  <c r="J236" i="2"/>
  <c r="T236" i="2" s="1"/>
  <c r="J339" i="2"/>
  <c r="T339" i="2" s="1"/>
  <c r="J230" i="2"/>
  <c r="T230" i="2" s="1"/>
  <c r="J333" i="2"/>
  <c r="T333" i="2" s="1"/>
  <c r="J223" i="2"/>
  <c r="T223" i="2" s="1"/>
  <c r="J218" i="2"/>
  <c r="T218" i="2" s="1"/>
  <c r="J344" i="2"/>
  <c r="T344" i="2" s="1"/>
  <c r="L5" i="2"/>
  <c r="Y5" i="2" s="1"/>
  <c r="J193" i="2"/>
  <c r="T193" i="2" s="1"/>
  <c r="J31" i="2"/>
  <c r="T31" i="2" s="1"/>
  <c r="U217" i="2"/>
  <c r="U196" i="2"/>
  <c r="L238" i="2"/>
  <c r="Y238" i="2" s="1"/>
  <c r="J213" i="2"/>
  <c r="T213" i="2" s="1"/>
  <c r="J192" i="2"/>
  <c r="T192" i="2" s="1"/>
  <c r="J30" i="2"/>
  <c r="T30" i="2" s="1"/>
  <c r="J403" i="2"/>
  <c r="L403" i="2" s="1"/>
  <c r="J398" i="2"/>
  <c r="J288" i="2"/>
  <c r="T288" i="2" s="1"/>
  <c r="J391" i="2"/>
  <c r="L391" i="2" s="1"/>
  <c r="W391" i="2" s="1"/>
  <c r="J386" i="2"/>
  <c r="L386" i="2" s="1"/>
  <c r="J276" i="2"/>
  <c r="S372" i="2"/>
  <c r="J272" i="2"/>
  <c r="T272" i="2" s="1"/>
  <c r="J48" i="2"/>
  <c r="T48" i="2" s="1"/>
  <c r="L221" i="2"/>
  <c r="Y221" i="2" s="1"/>
  <c r="J212" i="2"/>
  <c r="T212" i="2" s="1"/>
  <c r="J50" i="2"/>
  <c r="T50" i="2" s="1"/>
  <c r="J201" i="2"/>
  <c r="T201" i="2" s="1"/>
  <c r="J39" i="2"/>
  <c r="J191" i="2"/>
  <c r="T191" i="2" s="1"/>
  <c r="J29" i="2"/>
  <c r="T29" i="2" s="1"/>
  <c r="J402" i="2"/>
  <c r="T402" i="2" s="1"/>
  <c r="J292" i="2"/>
  <c r="T292" i="2" s="1"/>
  <c r="J287" i="2"/>
  <c r="T287" i="2" s="1"/>
  <c r="J390" i="2"/>
  <c r="T390" i="2" s="1"/>
  <c r="J280" i="2"/>
  <c r="T280" i="2" s="1"/>
  <c r="J275" i="2"/>
  <c r="T275" i="2" s="1"/>
  <c r="J40" i="2"/>
  <c r="T40" i="2" s="1"/>
  <c r="L233" i="2"/>
  <c r="Y233" i="2" s="1"/>
  <c r="J200" i="2"/>
  <c r="T200" i="2" s="1"/>
  <c r="J38" i="2"/>
  <c r="T38" i="2" s="1"/>
  <c r="J394" i="2"/>
  <c r="T394" i="2" s="1"/>
  <c r="J382" i="2"/>
  <c r="T382" i="2" s="1"/>
  <c r="L231" i="2"/>
  <c r="W231" i="2" s="1"/>
  <c r="J405" i="2"/>
  <c r="T405" i="2" s="1"/>
  <c r="J381" i="2"/>
  <c r="U212" i="2"/>
  <c r="U201" i="2"/>
  <c r="L191" i="2"/>
  <c r="W191" i="2" s="1"/>
  <c r="U53" i="2"/>
  <c r="U45" i="2"/>
  <c r="U37" i="2"/>
  <c r="J32" i="2"/>
  <c r="T32" i="2" s="1"/>
  <c r="L336" i="2"/>
  <c r="Y336" i="2" s="1"/>
  <c r="J215" i="2"/>
  <c r="T215" i="2" s="1"/>
  <c r="J53" i="2"/>
  <c r="T53" i="2" s="1"/>
  <c r="J401" i="2"/>
  <c r="T401" i="2" s="1"/>
  <c r="J279" i="2"/>
  <c r="T279" i="2" s="1"/>
  <c r="L192" i="2"/>
  <c r="S192" i="2" s="1"/>
  <c r="U54" i="2"/>
  <c r="U30" i="2"/>
  <c r="J393" i="2"/>
  <c r="L393" i="2" s="1"/>
  <c r="W393" i="2" s="1"/>
  <c r="J208" i="2"/>
  <c r="T208" i="2" s="1"/>
  <c r="J46" i="2"/>
  <c r="T46" i="2" s="1"/>
  <c r="L245" i="2"/>
  <c r="Y245" i="2" s="1"/>
  <c r="L334" i="2"/>
  <c r="J204" i="2"/>
  <c r="T204" i="2" s="1"/>
  <c r="J42" i="2"/>
  <c r="T42" i="2" s="1"/>
  <c r="J291" i="2"/>
  <c r="T291" i="2" s="1"/>
  <c r="U38" i="2"/>
  <c r="J209" i="2"/>
  <c r="T209" i="2" s="1"/>
  <c r="J47" i="2"/>
  <c r="J290" i="2"/>
  <c r="L290" i="2" s="1"/>
  <c r="J217" i="2"/>
  <c r="T217" i="2" s="1"/>
  <c r="J55" i="2"/>
  <c r="J207" i="2"/>
  <c r="T207" i="2" s="1"/>
  <c r="J45" i="2"/>
  <c r="T45" i="2" s="1"/>
  <c r="J196" i="2"/>
  <c r="T196" i="2" s="1"/>
  <c r="J34" i="2"/>
  <c r="T34" i="2" s="1"/>
  <c r="J298" i="2"/>
  <c r="T298" i="2" s="1"/>
  <c r="J293" i="2"/>
  <c r="T293" i="2" s="1"/>
  <c r="J396" i="2"/>
  <c r="T396" i="2" s="1"/>
  <c r="J286" i="2"/>
  <c r="T286" i="2" s="1"/>
  <c r="J281" i="2"/>
  <c r="T281" i="2" s="1"/>
  <c r="J384" i="2"/>
  <c r="T384" i="2" s="1"/>
  <c r="J274" i="2"/>
  <c r="T274" i="2" s="1"/>
  <c r="U209" i="2"/>
  <c r="U51" i="2"/>
  <c r="U43" i="2"/>
  <c r="L43" i="2"/>
  <c r="Y43" i="2" s="1"/>
  <c r="U35" i="2"/>
  <c r="U271" i="2"/>
  <c r="U266" i="2"/>
  <c r="U369" i="2"/>
  <c r="U259" i="2"/>
  <c r="U254" i="2"/>
  <c r="U357" i="2"/>
  <c r="U247" i="2"/>
  <c r="U23" i="2"/>
  <c r="U15" i="2"/>
  <c r="U7" i="2"/>
  <c r="L350" i="2"/>
  <c r="Y350" i="2" s="1"/>
  <c r="U240" i="2"/>
  <c r="L240" i="2"/>
  <c r="Y240" i="2" s="1"/>
  <c r="U343" i="2"/>
  <c r="U338" i="2"/>
  <c r="L338" i="2"/>
  <c r="Y338" i="2" s="1"/>
  <c r="U228" i="2"/>
  <c r="U331" i="2"/>
  <c r="L331" i="2"/>
  <c r="Y331" i="2" s="1"/>
  <c r="U326" i="2"/>
  <c r="L326" i="2"/>
  <c r="Y326" i="2" s="1"/>
  <c r="L348" i="2"/>
  <c r="Y348" i="2" s="1"/>
  <c r="L226" i="2"/>
  <c r="Y226" i="2" s="1"/>
  <c r="U350" i="2"/>
  <c r="J406" i="2"/>
  <c r="T406" i="2" s="1"/>
  <c r="J389" i="2"/>
  <c r="T389" i="2" s="1"/>
  <c r="U46" i="2"/>
  <c r="J199" i="2"/>
  <c r="T199" i="2" s="1"/>
  <c r="J37" i="2"/>
  <c r="T37" i="2" s="1"/>
  <c r="J295" i="2"/>
  <c r="L295" i="2" s="1"/>
  <c r="W295" i="2" s="1"/>
  <c r="J283" i="2"/>
  <c r="J278" i="2"/>
  <c r="J216" i="2"/>
  <c r="T216" i="2" s="1"/>
  <c r="J54" i="2"/>
  <c r="T54" i="2" s="1"/>
  <c r="J205" i="2"/>
  <c r="T205" i="2" s="1"/>
  <c r="J297" i="2"/>
  <c r="T297" i="2" s="1"/>
  <c r="J400" i="2"/>
  <c r="T400" i="2" s="1"/>
  <c r="J395" i="2"/>
  <c r="T395" i="2" s="1"/>
  <c r="J285" i="2"/>
  <c r="T285" i="2" s="1"/>
  <c r="J388" i="2"/>
  <c r="T388" i="2" s="1"/>
  <c r="J383" i="2"/>
  <c r="T383" i="2" s="1"/>
  <c r="J273" i="2"/>
  <c r="T273" i="2" s="1"/>
  <c r="U218" i="2"/>
  <c r="L208" i="2"/>
  <c r="U50" i="2"/>
  <c r="L50" i="2"/>
  <c r="Y50" i="2" s="1"/>
  <c r="U42" i="2"/>
  <c r="U34" i="2"/>
  <c r="U270" i="2"/>
  <c r="U373" i="2"/>
  <c r="U368" i="2"/>
  <c r="U258" i="2"/>
  <c r="U356" i="2"/>
  <c r="U246" i="2"/>
  <c r="U22" i="2"/>
  <c r="U14" i="2"/>
  <c r="U6" i="2"/>
  <c r="U244" i="2"/>
  <c r="L244" i="2"/>
  <c r="Y244" i="2" s="1"/>
  <c r="U239" i="2"/>
  <c r="L239" i="2"/>
  <c r="Y239" i="2" s="1"/>
  <c r="U342" i="2"/>
  <c r="L342" i="2"/>
  <c r="Y342" i="2" s="1"/>
  <c r="U232" i="2"/>
  <c r="L232" i="2"/>
  <c r="Y232" i="2" s="1"/>
  <c r="U227" i="2"/>
  <c r="L227" i="2"/>
  <c r="Y227" i="2" s="1"/>
  <c r="U330" i="2"/>
  <c r="L330" i="2"/>
  <c r="Y330" i="2" s="1"/>
  <c r="U220" i="2"/>
  <c r="L220" i="2"/>
  <c r="J51" i="2"/>
  <c r="T51" i="2" s="1"/>
  <c r="L257" i="2"/>
  <c r="Y257" i="2" s="1"/>
  <c r="L21" i="2"/>
  <c r="Y21" i="2" s="1"/>
  <c r="L346" i="2"/>
  <c r="S43" i="2"/>
  <c r="L345" i="2"/>
  <c r="Y345" i="2" s="1"/>
  <c r="L235" i="2"/>
  <c r="Y235" i="2" s="1"/>
  <c r="L230" i="2"/>
  <c r="Y230" i="2" s="1"/>
  <c r="L223" i="2"/>
  <c r="Y223" i="2" s="1"/>
  <c r="S230" i="2"/>
  <c r="L363" i="2"/>
  <c r="Y363" i="2" s="1"/>
  <c r="L349" i="2"/>
  <c r="Y349" i="2" s="1"/>
  <c r="L234" i="2"/>
  <c r="Y234" i="2" s="1"/>
  <c r="L337" i="2"/>
  <c r="Y337" i="2" s="1"/>
  <c r="L332" i="2"/>
  <c r="Y332" i="2" s="1"/>
  <c r="L222" i="2"/>
  <c r="Y222" i="2" s="1"/>
  <c r="S363" i="2"/>
  <c r="U48" i="2"/>
  <c r="L263" i="2"/>
  <c r="Y263" i="2" s="1"/>
  <c r="L256" i="2"/>
  <c r="Y256" i="2" s="1"/>
  <c r="L354" i="2"/>
  <c r="Y354" i="2" s="1"/>
  <c r="L25" i="2"/>
  <c r="L352" i="2"/>
  <c r="Y352" i="2" s="1"/>
  <c r="L237" i="2"/>
  <c r="Y237" i="2" s="1"/>
  <c r="L335" i="2"/>
  <c r="Y335" i="2" s="1"/>
  <c r="L225" i="2"/>
  <c r="Y225" i="2" s="1"/>
  <c r="L328" i="2"/>
  <c r="W328" i="2" s="1"/>
  <c r="L267" i="2"/>
  <c r="Y267" i="2" s="1"/>
  <c r="L370" i="2"/>
  <c r="Y370" i="2" s="1"/>
  <c r="L365" i="2"/>
  <c r="Y365" i="2" s="1"/>
  <c r="L358" i="2"/>
  <c r="Y358" i="2" s="1"/>
  <c r="L353" i="2"/>
  <c r="Y353" i="2" s="1"/>
  <c r="L8" i="2"/>
  <c r="Y8" i="2" s="1"/>
  <c r="L351" i="2"/>
  <c r="Y351" i="2" s="1"/>
  <c r="L241" i="2"/>
  <c r="Y241" i="2" s="1"/>
  <c r="L339" i="2"/>
  <c r="Y339" i="2" s="1"/>
  <c r="L224" i="2"/>
  <c r="Y224" i="2" s="1"/>
  <c r="L327" i="2"/>
  <c r="S358" i="2"/>
  <c r="S353" i="2"/>
  <c r="S8" i="2"/>
  <c r="S351" i="2"/>
  <c r="S224" i="2"/>
  <c r="S350" i="2"/>
  <c r="S240" i="2"/>
  <c r="S331" i="2"/>
  <c r="S326" i="2"/>
  <c r="L40" i="2"/>
  <c r="Y40" i="2" s="1"/>
  <c r="S244" i="2"/>
  <c r="S342" i="2"/>
  <c r="S227" i="2"/>
  <c r="W238" i="2"/>
  <c r="W363" i="2"/>
  <c r="W227" i="2"/>
  <c r="W267" i="2"/>
  <c r="W8" i="2"/>
  <c r="W21" i="2"/>
  <c r="W233" i="2"/>
  <c r="W25" i="2"/>
  <c r="W225" i="2"/>
  <c r="W338" i="2"/>
  <c r="W372" i="2"/>
  <c r="W5" i="2"/>
  <c r="W336" i="2"/>
  <c r="W220" i="2"/>
  <c r="W226" i="2"/>
  <c r="W358" i="2"/>
  <c r="W339" i="2"/>
  <c r="W43" i="2"/>
  <c r="W257" i="2"/>
  <c r="W346" i="2"/>
  <c r="W230" i="2"/>
  <c r="W332" i="2"/>
  <c r="W263" i="2"/>
  <c r="W353" i="2"/>
  <c r="W326" i="2"/>
  <c r="W349" i="2"/>
  <c r="W244" i="2"/>
  <c r="W224" i="2"/>
  <c r="W40" i="2"/>
  <c r="W223" i="2"/>
  <c r="W327" i="2"/>
  <c r="W350" i="2"/>
  <c r="W342" i="2"/>
  <c r="W334" i="2"/>
  <c r="L278" i="2"/>
  <c r="W278" i="2" s="1"/>
  <c r="T278" i="2"/>
  <c r="L405" i="2"/>
  <c r="W405" i="2" s="1"/>
  <c r="T290" i="2"/>
  <c r="L283" i="2"/>
  <c r="W283" i="2" s="1"/>
  <c r="T283" i="2"/>
  <c r="L381" i="2"/>
  <c r="W381" i="2" s="1"/>
  <c r="T381" i="2"/>
  <c r="T403" i="2"/>
  <c r="T398" i="2"/>
  <c r="L398" i="2"/>
  <c r="T391" i="2"/>
  <c r="T386" i="2"/>
  <c r="T276" i="2"/>
  <c r="L276" i="2"/>
  <c r="W276" i="2" s="1"/>
  <c r="L297" i="2"/>
  <c r="W297" i="2" s="1"/>
  <c r="L285" i="2"/>
  <c r="W285" i="2" s="1"/>
  <c r="L388" i="2"/>
  <c r="W388" i="2" s="1"/>
  <c r="L383" i="2"/>
  <c r="W383" i="2" s="1"/>
  <c r="L273" i="2"/>
  <c r="W273" i="2" s="1"/>
  <c r="L402" i="2"/>
  <c r="W402" i="2" s="1"/>
  <c r="L390" i="2"/>
  <c r="U296" i="2"/>
  <c r="U399" i="2"/>
  <c r="U289" i="2"/>
  <c r="U284" i="2"/>
  <c r="U387" i="2"/>
  <c r="U277" i="2"/>
  <c r="L406" i="2"/>
  <c r="W406" i="2" s="1"/>
  <c r="L291" i="2"/>
  <c r="L389" i="2"/>
  <c r="L279" i="2"/>
  <c r="L382" i="2"/>
  <c r="L380" i="2"/>
  <c r="W380" i="2" s="1"/>
  <c r="L396" i="2"/>
  <c r="L281" i="2"/>
  <c r="W281" i="2" s="1"/>
  <c r="L384" i="2"/>
  <c r="W384" i="2" s="1"/>
  <c r="L274" i="2"/>
  <c r="W274" i="2" s="1"/>
  <c r="W202" i="2"/>
  <c r="W208" i="2"/>
  <c r="U206" i="2"/>
  <c r="L216" i="2"/>
  <c r="L194" i="2"/>
  <c r="W194" i="2" s="1"/>
  <c r="U214" i="2"/>
  <c r="U198" i="2"/>
  <c r="L215" i="2"/>
  <c r="L193" i="2"/>
  <c r="U203" i="2"/>
  <c r="U195" i="2"/>
  <c r="L210" i="2"/>
  <c r="L200" i="2"/>
  <c r="W200" i="2" s="1"/>
  <c r="U211" i="2"/>
  <c r="S202" i="2"/>
  <c r="Y202" i="2"/>
  <c r="S208" i="2"/>
  <c r="Y208" i="2"/>
  <c r="L197" i="2"/>
  <c r="L213" i="2"/>
  <c r="D211" i="2"/>
  <c r="D203" i="2"/>
  <c r="D195" i="2"/>
  <c r="U210" i="2"/>
  <c r="U202" i="2"/>
  <c r="U194" i="2"/>
  <c r="U216" i="2"/>
  <c r="U208" i="2"/>
  <c r="U200" i="2"/>
  <c r="U192" i="2"/>
  <c r="U215" i="2"/>
  <c r="U207" i="2"/>
  <c r="U199" i="2"/>
  <c r="U191" i="2"/>
  <c r="D214" i="2"/>
  <c r="D206" i="2"/>
  <c r="D198" i="2"/>
  <c r="Q52" i="2"/>
  <c r="Q206" i="2"/>
  <c r="Q44" i="2"/>
  <c r="Q211" i="2"/>
  <c r="Q36" i="2"/>
  <c r="Q198" i="2"/>
  <c r="Q49" i="2"/>
  <c r="Q41" i="2"/>
  <c r="Q195" i="2"/>
  <c r="Q214" i="2"/>
  <c r="Q33" i="2"/>
  <c r="Q203" i="2"/>
  <c r="S50" i="2" l="1"/>
  <c r="L366" i="2"/>
  <c r="L394" i="2"/>
  <c r="L395" i="2"/>
  <c r="W395" i="2" s="1"/>
  <c r="W351" i="2"/>
  <c r="W50" i="2"/>
  <c r="L24" i="2"/>
  <c r="W24" i="2" s="1"/>
  <c r="L212" i="2"/>
  <c r="Y212" i="2" s="1"/>
  <c r="Y191" i="2"/>
  <c r="L287" i="2"/>
  <c r="W287" i="2" s="1"/>
  <c r="W250" i="2"/>
  <c r="W235" i="2"/>
  <c r="S267" i="2"/>
  <c r="S337" i="2"/>
  <c r="S191" i="2"/>
  <c r="L293" i="2"/>
  <c r="W293" i="2" s="1"/>
  <c r="L13" i="2"/>
  <c r="W13" i="2" s="1"/>
  <c r="W245" i="2"/>
  <c r="L333" i="2"/>
  <c r="Y333" i="2" s="1"/>
  <c r="L329" i="2"/>
  <c r="W329" i="2" s="1"/>
  <c r="L343" i="2"/>
  <c r="L204" i="2"/>
  <c r="W204" i="2" s="1"/>
  <c r="L286" i="2"/>
  <c r="W286" i="2" s="1"/>
  <c r="S370" i="2"/>
  <c r="S225" i="2"/>
  <c r="L347" i="2"/>
  <c r="L378" i="2"/>
  <c r="W378" i="2" s="1"/>
  <c r="L46" i="2"/>
  <c r="L401" i="2"/>
  <c r="L280" i="2"/>
  <c r="Y280" i="2" s="1"/>
  <c r="L288" i="2"/>
  <c r="W288" i="2" s="1"/>
  <c r="W239" i="2"/>
  <c r="W330" i="2"/>
  <c r="W240" i="2"/>
  <c r="S352" i="2"/>
  <c r="L17" i="2"/>
  <c r="L269" i="2"/>
  <c r="S250" i="2"/>
  <c r="L298" i="2"/>
  <c r="W298" i="2" s="1"/>
  <c r="L400" i="2"/>
  <c r="W400" i="2" s="1"/>
  <c r="W331" i="2"/>
  <c r="W370" i="2"/>
  <c r="L32" i="2"/>
  <c r="S234" i="2"/>
  <c r="L272" i="2"/>
  <c r="W272" i="2" s="1"/>
  <c r="W234" i="2"/>
  <c r="L255" i="2"/>
  <c r="Y255" i="2" s="1"/>
  <c r="S349" i="2"/>
  <c r="L29" i="2"/>
  <c r="Y29" i="2" s="1"/>
  <c r="L228" i="2"/>
  <c r="L30" i="2"/>
  <c r="S233" i="2"/>
  <c r="L201" i="2"/>
  <c r="W352" i="2"/>
  <c r="W348" i="2"/>
  <c r="L236" i="2"/>
  <c r="Y236" i="2" s="1"/>
  <c r="S333" i="2"/>
  <c r="L242" i="2"/>
  <c r="Y24" i="2"/>
  <c r="S24" i="2"/>
  <c r="Y327" i="2"/>
  <c r="S327" i="2"/>
  <c r="Y220" i="2"/>
  <c r="S220" i="2"/>
  <c r="T39" i="2"/>
  <c r="L39" i="2"/>
  <c r="S332" i="2"/>
  <c r="Y25" i="2"/>
  <c r="S25" i="2"/>
  <c r="Y13" i="2"/>
  <c r="S13" i="2"/>
  <c r="Y328" i="2"/>
  <c r="S328" i="2"/>
  <c r="L360" i="2"/>
  <c r="L251" i="2"/>
  <c r="L35" i="2"/>
  <c r="W35" i="2" s="1"/>
  <c r="L340" i="2"/>
  <c r="L344" i="2"/>
  <c r="L218" i="2"/>
  <c r="S5" i="2"/>
  <c r="L219" i="2"/>
  <c r="W219" i="2" s="1"/>
  <c r="L16" i="2"/>
  <c r="L377" i="2"/>
  <c r="L19" i="2"/>
  <c r="W19" i="2" s="1"/>
  <c r="L341" i="2"/>
  <c r="W341" i="2" s="1"/>
  <c r="W241" i="2"/>
  <c r="L31" i="2"/>
  <c r="S31" i="2" s="1"/>
  <c r="W222" i="2"/>
  <c r="W221" i="2"/>
  <c r="W365" i="2"/>
  <c r="S223" i="2"/>
  <c r="L37" i="2"/>
  <c r="S222" i="2"/>
  <c r="T393" i="2"/>
  <c r="W232" i="2"/>
  <c r="L34" i="2"/>
  <c r="L292" i="2"/>
  <c r="W292" i="2" s="1"/>
  <c r="W192" i="2"/>
  <c r="S232" i="2"/>
  <c r="L243" i="2"/>
  <c r="W243" i="2" s="1"/>
  <c r="L205" i="2"/>
  <c r="S205" i="2" s="1"/>
  <c r="L275" i="2"/>
  <c r="W275" i="2" s="1"/>
  <c r="T295" i="2"/>
  <c r="L229" i="2"/>
  <c r="L9" i="2"/>
  <c r="L268" i="2"/>
  <c r="L42" i="2"/>
  <c r="L38" i="2"/>
  <c r="S38" i="2" s="1"/>
  <c r="Y192" i="2"/>
  <c r="W354" i="2"/>
  <c r="W269" i="2"/>
  <c r="W335" i="2"/>
  <c r="S354" i="2"/>
  <c r="L262" i="2"/>
  <c r="S336" i="2"/>
  <c r="S245" i="2"/>
  <c r="S241" i="2"/>
  <c r="S365" i="2"/>
  <c r="S335" i="2"/>
  <c r="S29" i="2"/>
  <c r="S32" i="2"/>
  <c r="Y219" i="2"/>
  <c r="S219" i="2"/>
  <c r="J41" i="2"/>
  <c r="S40" i="2"/>
  <c r="Y329" i="2"/>
  <c r="S329" i="2"/>
  <c r="L199" i="2"/>
  <c r="Y334" i="2"/>
  <c r="S334" i="2"/>
  <c r="S257" i="2"/>
  <c r="Y341" i="2"/>
  <c r="L217" i="2"/>
  <c r="J49" i="2"/>
  <c r="W236" i="2"/>
  <c r="W337" i="2"/>
  <c r="S237" i="2"/>
  <c r="Y346" i="2"/>
  <c r="S346" i="2"/>
  <c r="S243" i="2"/>
  <c r="S348" i="2"/>
  <c r="L45" i="2"/>
  <c r="S262" i="2"/>
  <c r="L48" i="2"/>
  <c r="J36" i="2"/>
  <c r="J44" i="2"/>
  <c r="W255" i="2"/>
  <c r="S330" i="2"/>
  <c r="S235" i="2"/>
  <c r="Y35" i="2"/>
  <c r="S35" i="2"/>
  <c r="L209" i="2"/>
  <c r="T55" i="2"/>
  <c r="L55" i="2"/>
  <c r="S30" i="2"/>
  <c r="L207" i="2"/>
  <c r="S221" i="2"/>
  <c r="Y378" i="2"/>
  <c r="S378" i="2"/>
  <c r="S345" i="2"/>
  <c r="S251" i="2"/>
  <c r="L53" i="2"/>
  <c r="S238" i="2"/>
  <c r="W237" i="2"/>
  <c r="W345" i="2"/>
  <c r="S256" i="2"/>
  <c r="S46" i="2"/>
  <c r="J52" i="2"/>
  <c r="W256" i="2"/>
  <c r="S339" i="2"/>
  <c r="T47" i="2"/>
  <c r="L47" i="2"/>
  <c r="S366" i="2"/>
  <c r="Y231" i="2"/>
  <c r="S231" i="2"/>
  <c r="J33" i="2"/>
  <c r="S239" i="2"/>
  <c r="S338" i="2"/>
  <c r="S236" i="2"/>
  <c r="S255" i="2"/>
  <c r="L51" i="2"/>
  <c r="S263" i="2"/>
  <c r="L54" i="2"/>
  <c r="S226" i="2"/>
  <c r="S21" i="2"/>
  <c r="L196" i="2"/>
  <c r="S398" i="2"/>
  <c r="Y398" i="2"/>
  <c r="Y390" i="2"/>
  <c r="S390" i="2"/>
  <c r="Y273" i="2"/>
  <c r="S273" i="2"/>
  <c r="Y290" i="2"/>
  <c r="S290" i="2"/>
  <c r="S295" i="2"/>
  <c r="Y295" i="2"/>
  <c r="Y396" i="2"/>
  <c r="S396" i="2"/>
  <c r="S406" i="2"/>
  <c r="Y406" i="2"/>
  <c r="Y276" i="2"/>
  <c r="S276" i="2"/>
  <c r="Y298" i="2"/>
  <c r="S298" i="2"/>
  <c r="Y382" i="2"/>
  <c r="S382" i="2"/>
  <c r="Y287" i="2"/>
  <c r="S287" i="2"/>
  <c r="Y383" i="2"/>
  <c r="S383" i="2"/>
  <c r="Y386" i="2"/>
  <c r="S386" i="2"/>
  <c r="Y403" i="2"/>
  <c r="S403" i="2"/>
  <c r="W382" i="2"/>
  <c r="W386" i="2"/>
  <c r="S405" i="2"/>
  <c r="Y405" i="2"/>
  <c r="Y274" i="2"/>
  <c r="S274" i="2"/>
  <c r="Y389" i="2"/>
  <c r="S389" i="2"/>
  <c r="S402" i="2"/>
  <c r="Y402" i="2"/>
  <c r="Y285" i="2"/>
  <c r="S285" i="2"/>
  <c r="Y391" i="2"/>
  <c r="S391" i="2"/>
  <c r="W389" i="2"/>
  <c r="W390" i="2"/>
  <c r="Y279" i="2"/>
  <c r="S279" i="2"/>
  <c r="Y388" i="2"/>
  <c r="S388" i="2"/>
  <c r="Y384" i="2"/>
  <c r="S384" i="2"/>
  <c r="Y394" i="2"/>
  <c r="S394" i="2"/>
  <c r="Y395" i="2"/>
  <c r="S395" i="2"/>
  <c r="Y381" i="2"/>
  <c r="S381" i="2"/>
  <c r="Y278" i="2"/>
  <c r="S278" i="2"/>
  <c r="W394" i="2"/>
  <c r="W398" i="2"/>
  <c r="Y380" i="2"/>
  <c r="S380" i="2"/>
  <c r="Y281" i="2"/>
  <c r="S281" i="2"/>
  <c r="S291" i="2"/>
  <c r="Y291" i="2"/>
  <c r="S400" i="2"/>
  <c r="Y400" i="2"/>
  <c r="Y288" i="2"/>
  <c r="S288" i="2"/>
  <c r="W396" i="2"/>
  <c r="W290" i="2"/>
  <c r="W291" i="2"/>
  <c r="W403" i="2"/>
  <c r="S292" i="2"/>
  <c r="W279" i="2"/>
  <c r="S401" i="2"/>
  <c r="Y401" i="2"/>
  <c r="Y275" i="2"/>
  <c r="S275" i="2"/>
  <c r="S297" i="2"/>
  <c r="Y297" i="2"/>
  <c r="Y283" i="2"/>
  <c r="S283" i="2"/>
  <c r="Y393" i="2"/>
  <c r="S393" i="2"/>
  <c r="W401" i="2"/>
  <c r="Y272" i="2"/>
  <c r="J198" i="2"/>
  <c r="J211" i="2"/>
  <c r="S215" i="2"/>
  <c r="Y215" i="2"/>
  <c r="S216" i="2"/>
  <c r="Y216" i="2"/>
  <c r="J206" i="2"/>
  <c r="J214" i="2"/>
  <c r="Y213" i="2"/>
  <c r="S213" i="2"/>
  <c r="S200" i="2"/>
  <c r="Y200" i="2"/>
  <c r="W216" i="2"/>
  <c r="Y197" i="2"/>
  <c r="S197" i="2"/>
  <c r="S210" i="2"/>
  <c r="Y210" i="2"/>
  <c r="W197" i="2"/>
  <c r="W213" i="2"/>
  <c r="W215" i="2"/>
  <c r="J195" i="2"/>
  <c r="S193" i="2"/>
  <c r="Y193" i="2"/>
  <c r="W193" i="2"/>
  <c r="W210" i="2"/>
  <c r="J203" i="2"/>
  <c r="Y204" i="2"/>
  <c r="S204" i="2"/>
  <c r="S194" i="2"/>
  <c r="Y194" i="2"/>
  <c r="S272" i="2" l="1"/>
  <c r="S212" i="2"/>
  <c r="Y293" i="2"/>
  <c r="S293" i="2"/>
  <c r="W212" i="2"/>
  <c r="S286" i="2"/>
  <c r="W280" i="2"/>
  <c r="W29" i="2"/>
  <c r="S280" i="2"/>
  <c r="Y366" i="2"/>
  <c r="W366" i="2"/>
  <c r="W205" i="2"/>
  <c r="Y286" i="2"/>
  <c r="Y205" i="2"/>
  <c r="Y243" i="2"/>
  <c r="S341" i="2"/>
  <c r="W333" i="2"/>
  <c r="W201" i="2"/>
  <c r="S201" i="2"/>
  <c r="Y201" i="2"/>
  <c r="Y269" i="2"/>
  <c r="S269" i="2"/>
  <c r="Y30" i="2"/>
  <c r="W30" i="2"/>
  <c r="Y17" i="2"/>
  <c r="W17" i="2"/>
  <c r="S17" i="2"/>
  <c r="Y46" i="2"/>
  <c r="W46" i="2"/>
  <c r="Y343" i="2"/>
  <c r="S343" i="2"/>
  <c r="W343" i="2"/>
  <c r="Y242" i="2"/>
  <c r="S242" i="2"/>
  <c r="W242" i="2"/>
  <c r="Y228" i="2"/>
  <c r="W228" i="2"/>
  <c r="S228" i="2"/>
  <c r="Y32" i="2"/>
  <c r="W32" i="2"/>
  <c r="Y347" i="2"/>
  <c r="W347" i="2"/>
  <c r="S347" i="2"/>
  <c r="Y16" i="2"/>
  <c r="S16" i="2"/>
  <c r="W16" i="2"/>
  <c r="Y360" i="2"/>
  <c r="W360" i="2"/>
  <c r="Y39" i="2"/>
  <c r="S39" i="2"/>
  <c r="W39" i="2"/>
  <c r="Y292" i="2"/>
  <c r="S360" i="2"/>
  <c r="Y344" i="2"/>
  <c r="S344" i="2"/>
  <c r="W344" i="2"/>
  <c r="Y218" i="2"/>
  <c r="S218" i="2"/>
  <c r="W218" i="2"/>
  <c r="Y340" i="2"/>
  <c r="S340" i="2"/>
  <c r="W340" i="2"/>
  <c r="Y19" i="2"/>
  <c r="S19" i="2"/>
  <c r="Y377" i="2"/>
  <c r="S377" i="2"/>
  <c r="W377" i="2"/>
  <c r="Y251" i="2"/>
  <c r="W251" i="2"/>
  <c r="Y229" i="2"/>
  <c r="S229" i="2"/>
  <c r="W229" i="2"/>
  <c r="Y37" i="2"/>
  <c r="W37" i="2"/>
  <c r="S37" i="2"/>
  <c r="Y34" i="2"/>
  <c r="S34" i="2"/>
  <c r="W34" i="2"/>
  <c r="Y31" i="2"/>
  <c r="W31" i="2"/>
  <c r="Y42" i="2"/>
  <c r="W42" i="2"/>
  <c r="S42" i="2"/>
  <c r="Y38" i="2"/>
  <c r="W38" i="2"/>
  <c r="Y268" i="2"/>
  <c r="W268" i="2"/>
  <c r="S268" i="2"/>
  <c r="Y262" i="2"/>
  <c r="W262" i="2"/>
  <c r="Y9" i="2"/>
  <c r="S9" i="2"/>
  <c r="W9" i="2"/>
  <c r="S196" i="2"/>
  <c r="W196" i="2"/>
  <c r="Y196" i="2"/>
  <c r="Y55" i="2"/>
  <c r="S55" i="2"/>
  <c r="W55" i="2"/>
  <c r="Y45" i="2"/>
  <c r="W45" i="2"/>
  <c r="S45" i="2"/>
  <c r="T33" i="2"/>
  <c r="L33" i="2"/>
  <c r="Y47" i="2"/>
  <c r="S47" i="2"/>
  <c r="W47" i="2"/>
  <c r="Y53" i="2"/>
  <c r="S53" i="2"/>
  <c r="W53" i="2"/>
  <c r="W207" i="2"/>
  <c r="S207" i="2"/>
  <c r="Y207" i="2"/>
  <c r="T36" i="2"/>
  <c r="L36" i="2"/>
  <c r="T52" i="2"/>
  <c r="L52" i="2"/>
  <c r="W209" i="2"/>
  <c r="S209" i="2"/>
  <c r="Y209" i="2"/>
  <c r="Y54" i="2"/>
  <c r="S54" i="2"/>
  <c r="W54" i="2"/>
  <c r="Y48" i="2"/>
  <c r="W48" i="2"/>
  <c r="S48" i="2"/>
  <c r="T49" i="2"/>
  <c r="L49" i="2"/>
  <c r="T41" i="2"/>
  <c r="L41" i="2"/>
  <c r="T44" i="2"/>
  <c r="L44" i="2"/>
  <c r="Y51" i="2"/>
  <c r="S51" i="2"/>
  <c r="W51" i="2"/>
  <c r="W217" i="2"/>
  <c r="Y217" i="2"/>
  <c r="S217" i="2"/>
  <c r="W199" i="2"/>
  <c r="S199" i="2"/>
  <c r="Y199" i="2"/>
  <c r="T211" i="2"/>
  <c r="L211" i="2"/>
  <c r="T198" i="2"/>
  <c r="L198" i="2"/>
  <c r="T214" i="2"/>
  <c r="L214" i="2"/>
  <c r="T195" i="2"/>
  <c r="L195" i="2"/>
  <c r="T206" i="2"/>
  <c r="L206" i="2"/>
  <c r="T203" i="2"/>
  <c r="L203" i="2"/>
  <c r="Y49" i="2" l="1"/>
  <c r="S49" i="2"/>
  <c r="W49" i="2"/>
  <c r="Y52" i="2"/>
  <c r="S52" i="2"/>
  <c r="W52" i="2"/>
  <c r="Y33" i="2"/>
  <c r="S33" i="2"/>
  <c r="W33" i="2"/>
  <c r="Y36" i="2"/>
  <c r="S36" i="2"/>
  <c r="W36" i="2"/>
  <c r="Y44" i="2"/>
  <c r="S44" i="2"/>
  <c r="W44" i="2"/>
  <c r="Y41" i="2"/>
  <c r="S41" i="2"/>
  <c r="W41" i="2"/>
  <c r="S195" i="2"/>
  <c r="Y195" i="2"/>
  <c r="W195" i="2"/>
  <c r="S214" i="2"/>
  <c r="Y214" i="2"/>
  <c r="W214" i="2"/>
  <c r="S203" i="2"/>
  <c r="Y203" i="2"/>
  <c r="W203" i="2"/>
  <c r="S198" i="2"/>
  <c r="Y198" i="2"/>
  <c r="W198" i="2"/>
  <c r="S206" i="2"/>
  <c r="Y206" i="2"/>
  <c r="W206" i="2"/>
  <c r="S211" i="2"/>
  <c r="Y211" i="2"/>
  <c r="W211" i="2"/>
  <c r="A138" i="2" l="1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37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299" i="2"/>
  <c r="A300" i="2"/>
  <c r="A301" i="2"/>
  <c r="A407" i="2"/>
  <c r="A408" i="2"/>
  <c r="A409" i="2"/>
  <c r="A302" i="2"/>
  <c r="A303" i="2"/>
  <c r="A304" i="2"/>
  <c r="A410" i="2"/>
  <c r="A411" i="2"/>
  <c r="A412" i="2"/>
  <c r="A305" i="2"/>
  <c r="A306" i="2"/>
  <c r="A307" i="2"/>
  <c r="A413" i="2"/>
  <c r="A414" i="2"/>
  <c r="A415" i="2"/>
  <c r="A308" i="2"/>
  <c r="A309" i="2"/>
  <c r="A310" i="2"/>
  <c r="A416" i="2"/>
  <c r="A417" i="2"/>
  <c r="A418" i="2"/>
  <c r="A311" i="2"/>
  <c r="A312" i="2"/>
  <c r="A313" i="2"/>
  <c r="A419" i="2"/>
  <c r="A420" i="2"/>
  <c r="A421" i="2"/>
  <c r="A314" i="2"/>
  <c r="A315" i="2"/>
  <c r="A316" i="2"/>
  <c r="A422" i="2"/>
  <c r="A423" i="2"/>
  <c r="A424" i="2"/>
  <c r="A317" i="2"/>
  <c r="A318" i="2"/>
  <c r="A319" i="2"/>
  <c r="A425" i="2"/>
  <c r="A426" i="2"/>
  <c r="A427" i="2"/>
  <c r="A320" i="2"/>
  <c r="A321" i="2"/>
  <c r="A322" i="2"/>
  <c r="A428" i="2"/>
  <c r="A429" i="2"/>
  <c r="A430" i="2"/>
  <c r="A323" i="2"/>
  <c r="A324" i="2"/>
  <c r="A325" i="2"/>
  <c r="A431" i="2"/>
  <c r="A432" i="2"/>
  <c r="A433" i="2"/>
  <c r="A56" i="2"/>
  <c r="D427" i="2" l="1"/>
  <c r="I427" i="2"/>
  <c r="D130" i="2"/>
  <c r="I130" i="2"/>
  <c r="D90" i="2"/>
  <c r="I90" i="2"/>
  <c r="I185" i="2"/>
  <c r="D185" i="2"/>
  <c r="I316" i="2"/>
  <c r="D316" i="2"/>
  <c r="I311" i="2"/>
  <c r="D311" i="2"/>
  <c r="I414" i="2"/>
  <c r="D414" i="2"/>
  <c r="I304" i="2"/>
  <c r="D304" i="2"/>
  <c r="I299" i="2"/>
  <c r="D299" i="2"/>
  <c r="I129" i="2"/>
  <c r="D129" i="2"/>
  <c r="I121" i="2"/>
  <c r="D121" i="2"/>
  <c r="I113" i="2"/>
  <c r="D113" i="2"/>
  <c r="I105" i="2"/>
  <c r="D105" i="2"/>
  <c r="I97" i="2"/>
  <c r="D97" i="2"/>
  <c r="I89" i="2"/>
  <c r="D89" i="2"/>
  <c r="I81" i="2"/>
  <c r="D81" i="2"/>
  <c r="I73" i="2"/>
  <c r="D73" i="2"/>
  <c r="I65" i="2"/>
  <c r="D65" i="2"/>
  <c r="I57" i="2"/>
  <c r="D57" i="2"/>
  <c r="I184" i="2"/>
  <c r="D184" i="2"/>
  <c r="I176" i="2"/>
  <c r="D176" i="2"/>
  <c r="I168" i="2"/>
  <c r="D168" i="2"/>
  <c r="I160" i="2"/>
  <c r="D160" i="2"/>
  <c r="I152" i="2"/>
  <c r="D152" i="2"/>
  <c r="I144" i="2"/>
  <c r="D144" i="2"/>
  <c r="D422" i="2"/>
  <c r="I422" i="2"/>
  <c r="D415" i="2"/>
  <c r="I415" i="2"/>
  <c r="D114" i="2"/>
  <c r="I114" i="2"/>
  <c r="D82" i="2"/>
  <c r="I82" i="2"/>
  <c r="D58" i="2"/>
  <c r="I58" i="2"/>
  <c r="I315" i="2"/>
  <c r="D315" i="2"/>
  <c r="I413" i="2"/>
  <c r="D413" i="2"/>
  <c r="I303" i="2"/>
  <c r="D303" i="2"/>
  <c r="I136" i="2"/>
  <c r="D136" i="2"/>
  <c r="I128" i="2"/>
  <c r="D128" i="2"/>
  <c r="I120" i="2"/>
  <c r="D120" i="2"/>
  <c r="I112" i="2"/>
  <c r="D112" i="2"/>
  <c r="I104" i="2"/>
  <c r="D104" i="2"/>
  <c r="I96" i="2"/>
  <c r="D96" i="2"/>
  <c r="I88" i="2"/>
  <c r="D88" i="2"/>
  <c r="I80" i="2"/>
  <c r="D80" i="2"/>
  <c r="I72" i="2"/>
  <c r="D72" i="2"/>
  <c r="I64" i="2"/>
  <c r="D64" i="2"/>
  <c r="I137" i="2"/>
  <c r="D137" i="2"/>
  <c r="D183" i="2"/>
  <c r="I183" i="2"/>
  <c r="D175" i="2"/>
  <c r="I175" i="2"/>
  <c r="D167" i="2"/>
  <c r="I167" i="2"/>
  <c r="D159" i="2"/>
  <c r="I159" i="2"/>
  <c r="D151" i="2"/>
  <c r="I151" i="2"/>
  <c r="D143" i="2"/>
  <c r="I143" i="2"/>
  <c r="D300" i="2"/>
  <c r="I300" i="2"/>
  <c r="D98" i="2"/>
  <c r="I98" i="2"/>
  <c r="D66" i="2"/>
  <c r="I66" i="2"/>
  <c r="I161" i="2"/>
  <c r="D161" i="2"/>
  <c r="I307" i="2"/>
  <c r="D307" i="2"/>
  <c r="I103" i="2"/>
  <c r="D103" i="2"/>
  <c r="I87" i="2"/>
  <c r="D87" i="2"/>
  <c r="I79" i="2"/>
  <c r="D79" i="2"/>
  <c r="I71" i="2"/>
  <c r="D71" i="2"/>
  <c r="I63" i="2"/>
  <c r="D63" i="2"/>
  <c r="D190" i="2"/>
  <c r="I190" i="2"/>
  <c r="D182" i="2"/>
  <c r="I182" i="2"/>
  <c r="D174" i="2"/>
  <c r="I174" i="2"/>
  <c r="D166" i="2"/>
  <c r="I166" i="2"/>
  <c r="D158" i="2"/>
  <c r="I158" i="2"/>
  <c r="D150" i="2"/>
  <c r="I150" i="2"/>
  <c r="D142" i="2"/>
  <c r="I142" i="2"/>
  <c r="D122" i="2"/>
  <c r="I122" i="2"/>
  <c r="I169" i="2"/>
  <c r="D169" i="2"/>
  <c r="I323" i="2"/>
  <c r="D323" i="2"/>
  <c r="I418" i="2"/>
  <c r="D418" i="2"/>
  <c r="I319" i="2"/>
  <c r="D319" i="2"/>
  <c r="I302" i="2"/>
  <c r="D302" i="2"/>
  <c r="I111" i="2"/>
  <c r="D111" i="2"/>
  <c r="I433" i="2"/>
  <c r="D433" i="2"/>
  <c r="I428" i="2"/>
  <c r="D428" i="2"/>
  <c r="I318" i="2"/>
  <c r="D318" i="2"/>
  <c r="I421" i="2"/>
  <c r="D421" i="2"/>
  <c r="I416" i="2"/>
  <c r="D416" i="2"/>
  <c r="I306" i="2"/>
  <c r="D306" i="2"/>
  <c r="I409" i="2"/>
  <c r="D409" i="2"/>
  <c r="I134" i="2"/>
  <c r="D134" i="2"/>
  <c r="I126" i="2"/>
  <c r="D126" i="2"/>
  <c r="I118" i="2"/>
  <c r="D118" i="2"/>
  <c r="I110" i="2"/>
  <c r="D110" i="2"/>
  <c r="I102" i="2"/>
  <c r="D102" i="2"/>
  <c r="I94" i="2"/>
  <c r="D94" i="2"/>
  <c r="I86" i="2"/>
  <c r="D86" i="2"/>
  <c r="I78" i="2"/>
  <c r="D78" i="2"/>
  <c r="I70" i="2"/>
  <c r="D70" i="2"/>
  <c r="I62" i="2"/>
  <c r="D62" i="2"/>
  <c r="I189" i="2"/>
  <c r="D189" i="2"/>
  <c r="I181" i="2"/>
  <c r="D181" i="2"/>
  <c r="I173" i="2"/>
  <c r="D173" i="2"/>
  <c r="I165" i="2"/>
  <c r="D165" i="2"/>
  <c r="I157" i="2"/>
  <c r="D157" i="2"/>
  <c r="I149" i="2"/>
  <c r="D149" i="2"/>
  <c r="I141" i="2"/>
  <c r="D141" i="2"/>
  <c r="D324" i="2"/>
  <c r="I324" i="2"/>
  <c r="D106" i="2"/>
  <c r="I106" i="2"/>
  <c r="I177" i="2"/>
  <c r="D177" i="2"/>
  <c r="I426" i="2"/>
  <c r="D426" i="2"/>
  <c r="I425" i="2"/>
  <c r="D425" i="2"/>
  <c r="I429" i="2"/>
  <c r="D429" i="2"/>
  <c r="I417" i="2"/>
  <c r="D417" i="2"/>
  <c r="I135" i="2"/>
  <c r="D135" i="2"/>
  <c r="I119" i="2"/>
  <c r="D119" i="2"/>
  <c r="D432" i="2"/>
  <c r="I432" i="2"/>
  <c r="D322" i="2"/>
  <c r="I322" i="2"/>
  <c r="D317" i="2"/>
  <c r="I317" i="2"/>
  <c r="D420" i="2"/>
  <c r="I420" i="2"/>
  <c r="D310" i="2"/>
  <c r="I310" i="2"/>
  <c r="D305" i="2"/>
  <c r="I305" i="2"/>
  <c r="D408" i="2"/>
  <c r="I408" i="2"/>
  <c r="D133" i="2"/>
  <c r="I133" i="2"/>
  <c r="D125" i="2"/>
  <c r="I125" i="2"/>
  <c r="D117" i="2"/>
  <c r="I117" i="2"/>
  <c r="D109" i="2"/>
  <c r="I109" i="2"/>
  <c r="D101" i="2"/>
  <c r="I101" i="2"/>
  <c r="D93" i="2"/>
  <c r="I93" i="2"/>
  <c r="D85" i="2"/>
  <c r="I85" i="2"/>
  <c r="D77" i="2"/>
  <c r="I77" i="2"/>
  <c r="D69" i="2"/>
  <c r="I69" i="2"/>
  <c r="D61" i="2"/>
  <c r="I61" i="2"/>
  <c r="D188" i="2"/>
  <c r="I188" i="2"/>
  <c r="D180" i="2"/>
  <c r="I180" i="2"/>
  <c r="D172" i="2"/>
  <c r="I172" i="2"/>
  <c r="D164" i="2"/>
  <c r="I164" i="2"/>
  <c r="D156" i="2"/>
  <c r="I156" i="2"/>
  <c r="D148" i="2"/>
  <c r="I148" i="2"/>
  <c r="D140" i="2"/>
  <c r="I140" i="2"/>
  <c r="D312" i="2"/>
  <c r="I312" i="2"/>
  <c r="I153" i="2"/>
  <c r="D153" i="2"/>
  <c r="I95" i="2"/>
  <c r="D95" i="2"/>
  <c r="D431" i="2"/>
  <c r="I431" i="2"/>
  <c r="D321" i="2"/>
  <c r="I321" i="2"/>
  <c r="D424" i="2"/>
  <c r="I424" i="2"/>
  <c r="D419" i="2"/>
  <c r="I419" i="2"/>
  <c r="D309" i="2"/>
  <c r="I309" i="2"/>
  <c r="D412" i="2"/>
  <c r="I412" i="2"/>
  <c r="D407" i="2"/>
  <c r="I407" i="2"/>
  <c r="D132" i="2"/>
  <c r="I132" i="2"/>
  <c r="D124" i="2"/>
  <c r="I124" i="2"/>
  <c r="D116" i="2"/>
  <c r="I116" i="2"/>
  <c r="D108" i="2"/>
  <c r="I108" i="2"/>
  <c r="D100" i="2"/>
  <c r="I100" i="2"/>
  <c r="D92" i="2"/>
  <c r="I92" i="2"/>
  <c r="D84" i="2"/>
  <c r="I84" i="2"/>
  <c r="D76" i="2"/>
  <c r="I76" i="2"/>
  <c r="D68" i="2"/>
  <c r="I68" i="2"/>
  <c r="D60" i="2"/>
  <c r="I60" i="2"/>
  <c r="I187" i="2"/>
  <c r="D187" i="2"/>
  <c r="I179" i="2"/>
  <c r="D179" i="2"/>
  <c r="I171" i="2"/>
  <c r="D171" i="2"/>
  <c r="I163" i="2"/>
  <c r="D163" i="2"/>
  <c r="I155" i="2"/>
  <c r="D155" i="2"/>
  <c r="I147" i="2"/>
  <c r="D147" i="2"/>
  <c r="I139" i="2"/>
  <c r="D139" i="2"/>
  <c r="D410" i="2"/>
  <c r="I410" i="2"/>
  <c r="D74" i="2"/>
  <c r="I74" i="2"/>
  <c r="I145" i="2"/>
  <c r="D145" i="2"/>
  <c r="I430" i="2"/>
  <c r="D430" i="2"/>
  <c r="I56" i="2"/>
  <c r="D56" i="2"/>
  <c r="I314" i="2"/>
  <c r="D314" i="2"/>
  <c r="I127" i="2"/>
  <c r="D127" i="2"/>
  <c r="I325" i="2"/>
  <c r="D325" i="2"/>
  <c r="I320" i="2"/>
  <c r="D320" i="2"/>
  <c r="I423" i="2"/>
  <c r="D423" i="2"/>
  <c r="I313" i="2"/>
  <c r="D313" i="2"/>
  <c r="I308" i="2"/>
  <c r="D308" i="2"/>
  <c r="I411" i="2"/>
  <c r="D411" i="2"/>
  <c r="I301" i="2"/>
  <c r="D301" i="2"/>
  <c r="I131" i="2"/>
  <c r="D131" i="2"/>
  <c r="I123" i="2"/>
  <c r="D123" i="2"/>
  <c r="I115" i="2"/>
  <c r="D115" i="2"/>
  <c r="I107" i="2"/>
  <c r="D107" i="2"/>
  <c r="I99" i="2"/>
  <c r="D99" i="2"/>
  <c r="I91" i="2"/>
  <c r="D91" i="2"/>
  <c r="I83" i="2"/>
  <c r="D83" i="2"/>
  <c r="I75" i="2"/>
  <c r="D75" i="2"/>
  <c r="I67" i="2"/>
  <c r="D67" i="2"/>
  <c r="I59" i="2"/>
  <c r="D59" i="2"/>
  <c r="I186" i="2"/>
  <c r="D186" i="2"/>
  <c r="I178" i="2"/>
  <c r="D178" i="2"/>
  <c r="I170" i="2"/>
  <c r="D170" i="2"/>
  <c r="I162" i="2"/>
  <c r="D162" i="2"/>
  <c r="I154" i="2"/>
  <c r="D154" i="2"/>
  <c r="I146" i="2"/>
  <c r="D146" i="2"/>
  <c r="I138" i="2"/>
  <c r="D138" i="2"/>
  <c r="R144" i="2"/>
  <c r="R87" i="2"/>
  <c r="R78" i="2"/>
  <c r="Q85" i="2"/>
  <c r="R179" i="2"/>
  <c r="R170" i="2"/>
  <c r="Q145" i="2"/>
  <c r="R91" i="2"/>
  <c r="Q88" i="2"/>
  <c r="Q301" i="2"/>
  <c r="R82" i="2"/>
  <c r="R190" i="2"/>
  <c r="Q181" i="2"/>
  <c r="Q153" i="2"/>
  <c r="Q83" i="2"/>
  <c r="R311" i="2"/>
  <c r="R104" i="2"/>
  <c r="R323" i="2"/>
  <c r="R426" i="2"/>
  <c r="R95" i="2"/>
  <c r="R325" i="2"/>
  <c r="R125" i="2"/>
  <c r="Q168" i="2"/>
  <c r="Q161" i="2"/>
  <c r="Q102" i="2"/>
  <c r="R109" i="2"/>
  <c r="R68" i="2"/>
  <c r="R411" i="2"/>
  <c r="Q90" i="2"/>
  <c r="R128" i="2"/>
  <c r="Q142" i="2"/>
  <c r="Q324" i="2"/>
  <c r="Q140" i="2"/>
  <c r="Q113" i="2"/>
  <c r="R84" i="2"/>
  <c r="Q160" i="2"/>
  <c r="Q307" i="2"/>
  <c r="Q94" i="2"/>
  <c r="R101" i="2"/>
  <c r="R60" i="2"/>
  <c r="R106" i="2"/>
  <c r="R152" i="2"/>
  <c r="R103" i="2"/>
  <c r="R86" i="2"/>
  <c r="Q93" i="2"/>
  <c r="R187" i="2"/>
  <c r="Q63" i="2"/>
  <c r="Q314" i="2"/>
  <c r="Q82" i="2"/>
  <c r="Q190" i="2"/>
  <c r="R181" i="2"/>
  <c r="Q188" i="2"/>
  <c r="R147" i="2"/>
  <c r="R138" i="2"/>
  <c r="Q127" i="2"/>
  <c r="Q91" i="2"/>
  <c r="R159" i="2"/>
  <c r="R427" i="2"/>
  <c r="Q303" i="2"/>
  <c r="R158" i="2"/>
  <c r="Q149" i="2"/>
  <c r="R407" i="2"/>
  <c r="R178" i="2"/>
  <c r="R129" i="2"/>
  <c r="R72" i="2"/>
  <c r="R111" i="2"/>
  <c r="R135" i="2"/>
  <c r="Q419" i="2"/>
  <c r="R123" i="2"/>
  <c r="Q187" i="2"/>
  <c r="R422" i="2"/>
  <c r="Q79" i="2"/>
  <c r="Q70" i="2"/>
  <c r="R77" i="2"/>
  <c r="Q171" i="2"/>
  <c r="R154" i="2"/>
  <c r="R414" i="2"/>
  <c r="R96" i="2"/>
  <c r="R418" i="2"/>
  <c r="R425" i="2"/>
  <c r="Q431" i="2"/>
  <c r="Q120" i="2"/>
  <c r="Q423" i="2"/>
  <c r="R415" i="2"/>
  <c r="Q71" i="2"/>
  <c r="Q62" i="2"/>
  <c r="R69" i="2"/>
  <c r="Q163" i="2"/>
  <c r="R321" i="2"/>
  <c r="Q114" i="2"/>
  <c r="R63" i="2"/>
  <c r="R189" i="2"/>
  <c r="Q61" i="2"/>
  <c r="R155" i="2"/>
  <c r="Q157" i="2"/>
  <c r="Q427" i="2"/>
  <c r="R303" i="2"/>
  <c r="Q158" i="2"/>
  <c r="R149" i="2"/>
  <c r="Q156" i="2"/>
  <c r="R145" i="2"/>
  <c r="R117" i="2"/>
  <c r="Q313" i="2"/>
  <c r="R163" i="2"/>
  <c r="R98" i="2"/>
  <c r="Q316" i="2"/>
  <c r="Q112" i="2"/>
  <c r="Q169" i="2"/>
  <c r="Q177" i="2"/>
  <c r="Q147" i="2"/>
  <c r="Q81" i="2"/>
  <c r="R97" i="2"/>
  <c r="Q175" i="2"/>
  <c r="R421" i="2"/>
  <c r="Q317" i="2"/>
  <c r="Q132" i="2"/>
  <c r="R59" i="2"/>
  <c r="Q75" i="2"/>
  <c r="R58" i="2"/>
  <c r="R182" i="2"/>
  <c r="Q173" i="2"/>
  <c r="R180" i="2"/>
  <c r="Q139" i="2"/>
  <c r="R107" i="2"/>
  <c r="R121" i="2"/>
  <c r="R64" i="2"/>
  <c r="R433" i="2"/>
  <c r="R119" i="2"/>
  <c r="Q309" i="2"/>
  <c r="Q137" i="2"/>
  <c r="Q146" i="2"/>
  <c r="Q315" i="2"/>
  <c r="R174" i="2"/>
  <c r="Q165" i="2"/>
  <c r="R172" i="2"/>
  <c r="R410" i="2"/>
  <c r="R74" i="2"/>
  <c r="R413" i="2"/>
  <c r="Q166" i="2"/>
  <c r="R157" i="2"/>
  <c r="Q164" i="2"/>
  <c r="Q74" i="2"/>
  <c r="R312" i="2"/>
  <c r="R301" i="2"/>
  <c r="R316" i="2"/>
  <c r="R112" i="2"/>
  <c r="R169" i="2"/>
  <c r="R177" i="2"/>
  <c r="R153" i="2"/>
  <c r="R127" i="2"/>
  <c r="R156" i="2"/>
  <c r="Q131" i="2"/>
  <c r="R83" i="2"/>
  <c r="R122" i="2"/>
  <c r="Q299" i="2"/>
  <c r="Q80" i="2"/>
  <c r="Q302" i="2"/>
  <c r="Q417" i="2"/>
  <c r="Q99" i="2"/>
  <c r="Q428" i="2"/>
  <c r="R65" i="2"/>
  <c r="Q143" i="2"/>
  <c r="R134" i="2"/>
  <c r="Q408" i="2"/>
  <c r="Q100" i="2"/>
  <c r="Q410" i="2"/>
  <c r="R130" i="2"/>
  <c r="Q136" i="2"/>
  <c r="R150" i="2"/>
  <c r="Q141" i="2"/>
  <c r="R148" i="2"/>
  <c r="Q430" i="2"/>
  <c r="Q304" i="2"/>
  <c r="R89" i="2"/>
  <c r="Q167" i="2"/>
  <c r="R416" i="2"/>
  <c r="Q420" i="2"/>
  <c r="Q124" i="2"/>
  <c r="Q103" i="2"/>
  <c r="R90" i="2"/>
  <c r="Q128" i="2"/>
  <c r="R142" i="2"/>
  <c r="R324" i="2"/>
  <c r="R140" i="2"/>
  <c r="Q56" i="2"/>
  <c r="R185" i="2"/>
  <c r="R120" i="2"/>
  <c r="Q122" i="2"/>
  <c r="Q106" i="2"/>
  <c r="Q312" i="2"/>
  <c r="R314" i="2"/>
  <c r="R299" i="2"/>
  <c r="R80" i="2"/>
  <c r="R302" i="2"/>
  <c r="R417" i="2"/>
  <c r="Q424" i="2"/>
  <c r="R313" i="2"/>
  <c r="R424" i="2"/>
  <c r="Q67" i="2"/>
  <c r="Q154" i="2"/>
  <c r="Q86" i="2"/>
  <c r="Q105" i="2"/>
  <c r="R183" i="2"/>
  <c r="Q318" i="2"/>
  <c r="R322" i="2"/>
  <c r="R162" i="2"/>
  <c r="R310" i="2"/>
  <c r="R168" i="2"/>
  <c r="R161" i="2"/>
  <c r="R102" i="2"/>
  <c r="Q109" i="2"/>
  <c r="Q68" i="2"/>
  <c r="R115" i="2"/>
  <c r="Q311" i="2"/>
  <c r="Q104" i="2"/>
  <c r="Q323" i="2"/>
  <c r="Q426" i="2"/>
  <c r="Q95" i="2"/>
  <c r="Q325" i="2"/>
  <c r="Q118" i="2"/>
  <c r="R57" i="2"/>
  <c r="Q300" i="2"/>
  <c r="R126" i="2"/>
  <c r="Q133" i="2"/>
  <c r="Q92" i="2"/>
  <c r="Q319" i="2"/>
  <c r="Q414" i="2"/>
  <c r="Q96" i="2"/>
  <c r="Q418" i="2"/>
  <c r="Q425" i="2"/>
  <c r="R431" i="2"/>
  <c r="Q320" i="2"/>
  <c r="R304" i="2"/>
  <c r="R88" i="2"/>
  <c r="R319" i="2"/>
  <c r="R429" i="2"/>
  <c r="Q321" i="2"/>
  <c r="R423" i="2"/>
  <c r="R105" i="2"/>
  <c r="Q183" i="2"/>
  <c r="R318" i="2"/>
  <c r="Q322" i="2"/>
  <c r="Q407" i="2"/>
  <c r="R131" i="2"/>
  <c r="R108" i="2"/>
  <c r="Q170" i="2"/>
  <c r="R146" i="2"/>
  <c r="Q429" i="2"/>
  <c r="Q73" i="2"/>
  <c r="R151" i="2"/>
  <c r="Q409" i="2"/>
  <c r="R305" i="2"/>
  <c r="Q162" i="2"/>
  <c r="R412" i="2"/>
  <c r="Q422" i="2"/>
  <c r="R79" i="2"/>
  <c r="R70" i="2"/>
  <c r="Q77" i="2"/>
  <c r="R171" i="2"/>
  <c r="Q186" i="2"/>
  <c r="Q129" i="2"/>
  <c r="Q72" i="2"/>
  <c r="Q111" i="2"/>
  <c r="Q135" i="2"/>
  <c r="R419" i="2"/>
  <c r="Q308" i="2"/>
  <c r="R93" i="2"/>
  <c r="R160" i="2"/>
  <c r="R307" i="2"/>
  <c r="R94" i="2"/>
  <c r="Q101" i="2"/>
  <c r="Q60" i="2"/>
  <c r="Q189" i="2"/>
  <c r="Q121" i="2"/>
  <c r="Q64" i="2"/>
  <c r="Q433" i="2"/>
  <c r="Q119" i="2"/>
  <c r="R309" i="2"/>
  <c r="Q115" i="2"/>
  <c r="R113" i="2"/>
  <c r="R137" i="2"/>
  <c r="R428" i="2"/>
  <c r="Q432" i="2"/>
  <c r="Q412" i="2"/>
  <c r="R73" i="2"/>
  <c r="Q151" i="2"/>
  <c r="R409" i="2"/>
  <c r="Q305" i="2"/>
  <c r="Q108" i="2"/>
  <c r="R99" i="2"/>
  <c r="R76" i="2"/>
  <c r="Q138" i="2"/>
  <c r="Q152" i="2"/>
  <c r="R61" i="2"/>
  <c r="Q176" i="2"/>
  <c r="R66" i="2"/>
  <c r="Q110" i="2"/>
  <c r="R85" i="2"/>
  <c r="R56" i="2"/>
  <c r="Q107" i="2"/>
  <c r="Q58" i="2"/>
  <c r="Q182" i="2"/>
  <c r="R173" i="2"/>
  <c r="Q180" i="2"/>
  <c r="R139" i="2"/>
  <c r="Q185" i="2"/>
  <c r="Q97" i="2"/>
  <c r="R175" i="2"/>
  <c r="Q421" i="2"/>
  <c r="R317" i="2"/>
  <c r="R132" i="2"/>
  <c r="Q123" i="2"/>
  <c r="Q155" i="2"/>
  <c r="Q415" i="2"/>
  <c r="R71" i="2"/>
  <c r="R62" i="2"/>
  <c r="Q69" i="2"/>
  <c r="R320" i="2"/>
  <c r="R432" i="2"/>
  <c r="Q89" i="2"/>
  <c r="R167" i="2"/>
  <c r="Q416" i="2"/>
  <c r="R420" i="2"/>
  <c r="R124" i="2"/>
  <c r="Q184" i="2"/>
  <c r="R81" i="2"/>
  <c r="Q159" i="2"/>
  <c r="R306" i="2"/>
  <c r="Q310" i="2"/>
  <c r="Q116" i="2"/>
  <c r="R75" i="2"/>
  <c r="R176" i="2"/>
  <c r="Q66" i="2"/>
  <c r="R110" i="2"/>
  <c r="Q117" i="2"/>
  <c r="Q76" i="2"/>
  <c r="R67" i="2"/>
  <c r="Q179" i="2"/>
  <c r="R308" i="2"/>
  <c r="Q413" i="2"/>
  <c r="R116" i="2"/>
  <c r="Q144" i="2"/>
  <c r="Q87" i="2"/>
  <c r="Q78" i="2"/>
  <c r="R188" i="2"/>
  <c r="R186" i="2"/>
  <c r="Q130" i="2"/>
  <c r="R136" i="2"/>
  <c r="Q150" i="2"/>
  <c r="R141" i="2"/>
  <c r="Q148" i="2"/>
  <c r="R430" i="2"/>
  <c r="Q306" i="2"/>
  <c r="Q65" i="2"/>
  <c r="R143" i="2"/>
  <c r="Q134" i="2"/>
  <c r="R408" i="2"/>
  <c r="R100" i="2"/>
  <c r="Q59" i="2"/>
  <c r="Q178" i="2"/>
  <c r="R315" i="2"/>
  <c r="Q174" i="2"/>
  <c r="R165" i="2"/>
  <c r="Q172" i="2"/>
  <c r="Q411" i="2"/>
  <c r="R164" i="2"/>
  <c r="Q57" i="2"/>
  <c r="R300" i="2"/>
  <c r="Q126" i="2"/>
  <c r="R133" i="2"/>
  <c r="R92" i="2"/>
  <c r="R166" i="2"/>
  <c r="R184" i="2"/>
  <c r="Q98" i="2"/>
  <c r="R118" i="2"/>
  <c r="Q125" i="2"/>
  <c r="Q84" i="2"/>
  <c r="R114" i="2"/>
  <c r="J314" i="2" l="1"/>
  <c r="T314" i="2" s="1"/>
  <c r="U312" i="2"/>
  <c r="J157" i="2"/>
  <c r="T157" i="2" s="1"/>
  <c r="J63" i="2"/>
  <c r="T63" i="2" s="1"/>
  <c r="U114" i="2"/>
  <c r="U75" i="2"/>
  <c r="U301" i="2"/>
  <c r="U423" i="2"/>
  <c r="U314" i="2"/>
  <c r="J20" i="2"/>
  <c r="J74" i="2"/>
  <c r="T74" i="2" s="1"/>
  <c r="U155" i="2"/>
  <c r="U187" i="2"/>
  <c r="J246" i="2"/>
  <c r="J84" i="2"/>
  <c r="T84" i="2" s="1"/>
  <c r="J368" i="2"/>
  <c r="J116" i="2"/>
  <c r="T116" i="2" s="1"/>
  <c r="J417" i="2"/>
  <c r="T417" i="2" s="1"/>
  <c r="J321" i="2"/>
  <c r="T321" i="2" s="1"/>
  <c r="J306" i="2"/>
  <c r="T306" i="2" s="1"/>
  <c r="J392" i="2"/>
  <c r="J164" i="2"/>
  <c r="T164" i="2" s="1"/>
  <c r="J7" i="2"/>
  <c r="J61" i="2"/>
  <c r="T61" i="2" s="1"/>
  <c r="J357" i="2"/>
  <c r="J93" i="2"/>
  <c r="T93" i="2" s="1"/>
  <c r="J266" i="2"/>
  <c r="J125" i="2"/>
  <c r="T125" i="2" s="1"/>
  <c r="J412" i="2"/>
  <c r="T412" i="2" s="1"/>
  <c r="J310" i="2"/>
  <c r="T310" i="2" s="1"/>
  <c r="J432" i="2"/>
  <c r="T432" i="2" s="1"/>
  <c r="U429" i="2"/>
  <c r="J364" i="2"/>
  <c r="J106" i="2"/>
  <c r="T106" i="2" s="1"/>
  <c r="U157" i="2"/>
  <c r="L157" i="2"/>
  <c r="U189" i="2"/>
  <c r="U86" i="2"/>
  <c r="U118" i="2"/>
  <c r="U306" i="2"/>
  <c r="U428" i="2"/>
  <c r="U319" i="2"/>
  <c r="J371" i="2"/>
  <c r="J122" i="2"/>
  <c r="T122" i="2" s="1"/>
  <c r="J166" i="2"/>
  <c r="T166" i="2" s="1"/>
  <c r="U63" i="2"/>
  <c r="U103" i="2"/>
  <c r="J359" i="2"/>
  <c r="J98" i="2"/>
  <c r="T98" i="2" s="1"/>
  <c r="J159" i="2"/>
  <c r="T159" i="2" s="1"/>
  <c r="U137" i="2"/>
  <c r="U88" i="2"/>
  <c r="U120" i="2"/>
  <c r="U413" i="2"/>
  <c r="J261" i="2"/>
  <c r="J114" i="2"/>
  <c r="T114" i="2" s="1"/>
  <c r="U152" i="2"/>
  <c r="U184" i="2"/>
  <c r="U81" i="2"/>
  <c r="U113" i="2"/>
  <c r="L113" i="2"/>
  <c r="U304" i="2"/>
  <c r="U185" i="2"/>
  <c r="U74" i="2"/>
  <c r="L74" i="2"/>
  <c r="U321" i="2"/>
  <c r="L321" i="2"/>
  <c r="U106" i="2"/>
  <c r="U166" i="2"/>
  <c r="J184" i="2"/>
  <c r="T184" i="2" s="1"/>
  <c r="J115" i="2"/>
  <c r="T115" i="2" s="1"/>
  <c r="J416" i="2"/>
  <c r="T416" i="2" s="1"/>
  <c r="J320" i="2"/>
  <c r="T320" i="2" s="1"/>
  <c r="J2" i="2"/>
  <c r="J56" i="2"/>
  <c r="T56" i="2" s="1"/>
  <c r="U410" i="2"/>
  <c r="J163" i="2"/>
  <c r="T163" i="2" s="1"/>
  <c r="U60" i="2"/>
  <c r="U92" i="2"/>
  <c r="U124" i="2"/>
  <c r="U309" i="2"/>
  <c r="U431" i="2"/>
  <c r="U140" i="2"/>
  <c r="U172" i="2"/>
  <c r="U69" i="2"/>
  <c r="U101" i="2"/>
  <c r="U133" i="2"/>
  <c r="U420" i="2"/>
  <c r="J119" i="2"/>
  <c r="T119" i="2" s="1"/>
  <c r="J425" i="2"/>
  <c r="T425" i="2" s="1"/>
  <c r="U324" i="2"/>
  <c r="J165" i="2"/>
  <c r="T165" i="2" s="1"/>
  <c r="J62" i="2"/>
  <c r="T62" i="2" s="1"/>
  <c r="J94" i="2"/>
  <c r="T94" i="2" s="1"/>
  <c r="J126" i="2"/>
  <c r="T126" i="2" s="1"/>
  <c r="J433" i="2"/>
  <c r="T433" i="2" s="1"/>
  <c r="J418" i="2"/>
  <c r="T418" i="2" s="1"/>
  <c r="U142" i="2"/>
  <c r="U174" i="2"/>
  <c r="J71" i="2"/>
  <c r="T71" i="2" s="1"/>
  <c r="U300" i="2"/>
  <c r="U167" i="2"/>
  <c r="J10" i="2"/>
  <c r="J64" i="2"/>
  <c r="T64" i="2" s="1"/>
  <c r="J252" i="2"/>
  <c r="J96" i="2"/>
  <c r="T96" i="2" s="1"/>
  <c r="J374" i="2"/>
  <c r="J128" i="2"/>
  <c r="T128" i="2" s="1"/>
  <c r="J315" i="2"/>
  <c r="T315" i="2" s="1"/>
  <c r="U415" i="2"/>
  <c r="J160" i="2"/>
  <c r="T160" i="2" s="1"/>
  <c r="J3" i="2"/>
  <c r="J57" i="2"/>
  <c r="T57" i="2" s="1"/>
  <c r="J248" i="2"/>
  <c r="J89" i="2"/>
  <c r="T89" i="2" s="1"/>
  <c r="J265" i="2"/>
  <c r="J121" i="2"/>
  <c r="T121" i="2" s="1"/>
  <c r="J414" i="2"/>
  <c r="T414" i="2" s="1"/>
  <c r="U90" i="2"/>
  <c r="J146" i="2"/>
  <c r="T146" i="2" s="1"/>
  <c r="J423" i="2"/>
  <c r="T423" i="2" s="1"/>
  <c r="U84" i="2"/>
  <c r="U164" i="2"/>
  <c r="L164" i="2"/>
  <c r="U432" i="2"/>
  <c r="J189" i="2"/>
  <c r="T189" i="2" s="1"/>
  <c r="J319" i="2"/>
  <c r="T319" i="2" s="1"/>
  <c r="J103" i="2"/>
  <c r="T103" i="2" s="1"/>
  <c r="J137" i="2"/>
  <c r="T137" i="2" s="1"/>
  <c r="J264" i="2"/>
  <c r="J120" i="2"/>
  <c r="T120" i="2" s="1"/>
  <c r="J260" i="2"/>
  <c r="J113" i="2"/>
  <c r="T113" i="2" s="1"/>
  <c r="U320" i="2"/>
  <c r="J6" i="2"/>
  <c r="J60" i="2"/>
  <c r="T60" i="2" s="1"/>
  <c r="J356" i="2"/>
  <c r="J92" i="2"/>
  <c r="T92" i="2" s="1"/>
  <c r="J373" i="2"/>
  <c r="J124" i="2"/>
  <c r="T124" i="2" s="1"/>
  <c r="J411" i="2"/>
  <c r="T411" i="2" s="1"/>
  <c r="J309" i="2"/>
  <c r="T309" i="2" s="1"/>
  <c r="J431" i="2"/>
  <c r="T431" i="2" s="1"/>
  <c r="J140" i="2"/>
  <c r="T140" i="2" s="1"/>
  <c r="J397" i="2"/>
  <c r="J172" i="2"/>
  <c r="T172" i="2" s="1"/>
  <c r="J15" i="2"/>
  <c r="J69" i="2"/>
  <c r="T69" i="2" s="1"/>
  <c r="J254" i="2"/>
  <c r="J101" i="2"/>
  <c r="T101" i="2" s="1"/>
  <c r="J271" i="2"/>
  <c r="J133" i="2"/>
  <c r="T133" i="2" s="1"/>
  <c r="J420" i="2"/>
  <c r="T420" i="2" s="1"/>
  <c r="U119" i="2"/>
  <c r="U425" i="2"/>
  <c r="J312" i="2"/>
  <c r="T312" i="2" s="1"/>
  <c r="J324" i="2"/>
  <c r="T324" i="2" s="1"/>
  <c r="U165" i="2"/>
  <c r="U62" i="2"/>
  <c r="U94" i="2"/>
  <c r="L94" i="2"/>
  <c r="W94" i="2" s="1"/>
  <c r="U126" i="2"/>
  <c r="L126" i="2"/>
  <c r="U416" i="2"/>
  <c r="L416" i="2"/>
  <c r="U433" i="2"/>
  <c r="U418" i="2"/>
  <c r="J142" i="2"/>
  <c r="T142" i="2" s="1"/>
  <c r="J174" i="2"/>
  <c r="T174" i="2" s="1"/>
  <c r="U71" i="2"/>
  <c r="L71" i="2"/>
  <c r="W71" i="2" s="1"/>
  <c r="U307" i="2"/>
  <c r="J300" i="2"/>
  <c r="T300" i="2" s="1"/>
  <c r="J167" i="2"/>
  <c r="T167" i="2" s="1"/>
  <c r="U64" i="2"/>
  <c r="U96" i="2"/>
  <c r="U128" i="2"/>
  <c r="L128" i="2"/>
  <c r="U315" i="2"/>
  <c r="U160" i="2"/>
  <c r="U57" i="2"/>
  <c r="U89" i="2"/>
  <c r="L89" i="2"/>
  <c r="U121" i="2"/>
  <c r="U414" i="2"/>
  <c r="J249" i="2"/>
  <c r="J90" i="2"/>
  <c r="T90" i="2" s="1"/>
  <c r="J178" i="2"/>
  <c r="T178" i="2" s="1"/>
  <c r="J155" i="2"/>
  <c r="T155" i="2" s="1"/>
  <c r="U93" i="2"/>
  <c r="J118" i="2"/>
  <c r="T118" i="2" s="1"/>
  <c r="J409" i="2"/>
  <c r="T409" i="2" s="1"/>
  <c r="J304" i="2"/>
  <c r="T304" i="2" s="1"/>
  <c r="U107" i="2"/>
  <c r="U154" i="2"/>
  <c r="U411" i="2"/>
  <c r="L411" i="2"/>
  <c r="W411" i="2" s="1"/>
  <c r="J59" i="2"/>
  <c r="T59" i="2" s="1"/>
  <c r="J123" i="2"/>
  <c r="T123" i="2" s="1"/>
  <c r="J313" i="2"/>
  <c r="T313" i="2" s="1"/>
  <c r="J325" i="2"/>
  <c r="T325" i="2" s="1"/>
  <c r="J430" i="2"/>
  <c r="T430" i="2" s="1"/>
  <c r="J139" i="2"/>
  <c r="T139" i="2" s="1"/>
  <c r="J171" i="2"/>
  <c r="T171" i="2" s="1"/>
  <c r="U68" i="2"/>
  <c r="U100" i="2"/>
  <c r="U132" i="2"/>
  <c r="U419" i="2"/>
  <c r="J95" i="2"/>
  <c r="T95" i="2" s="1"/>
  <c r="U148" i="2"/>
  <c r="U180" i="2"/>
  <c r="U77" i="2"/>
  <c r="U109" i="2"/>
  <c r="U408" i="2"/>
  <c r="U317" i="2"/>
  <c r="J135" i="2"/>
  <c r="T135" i="2" s="1"/>
  <c r="J426" i="2"/>
  <c r="T426" i="2" s="1"/>
  <c r="J141" i="2"/>
  <c r="T141" i="2" s="1"/>
  <c r="J173" i="2"/>
  <c r="T173" i="2" s="1"/>
  <c r="J70" i="2"/>
  <c r="T70" i="2" s="1"/>
  <c r="J102" i="2"/>
  <c r="T102" i="2" s="1"/>
  <c r="J134" i="2"/>
  <c r="T134" i="2" s="1"/>
  <c r="J421" i="2"/>
  <c r="T421" i="2" s="1"/>
  <c r="J111" i="2"/>
  <c r="T111" i="2" s="1"/>
  <c r="J311" i="2"/>
  <c r="T311" i="2" s="1"/>
  <c r="J323" i="2"/>
  <c r="T323" i="2" s="1"/>
  <c r="U150" i="2"/>
  <c r="U182" i="2"/>
  <c r="J79" i="2"/>
  <c r="T79" i="2" s="1"/>
  <c r="J284" i="2"/>
  <c r="J161" i="2"/>
  <c r="T161" i="2" s="1"/>
  <c r="U143" i="2"/>
  <c r="U175" i="2"/>
  <c r="J18" i="2"/>
  <c r="J72" i="2"/>
  <c r="T72" i="2" s="1"/>
  <c r="J362" i="2"/>
  <c r="J104" i="2"/>
  <c r="T104" i="2" s="1"/>
  <c r="J379" i="2"/>
  <c r="J136" i="2"/>
  <c r="T136" i="2" s="1"/>
  <c r="U58" i="2"/>
  <c r="U422" i="2"/>
  <c r="J168" i="2"/>
  <c r="T168" i="2" s="1"/>
  <c r="J11" i="2"/>
  <c r="J65" i="2"/>
  <c r="T65" i="2" s="1"/>
  <c r="J253" i="2"/>
  <c r="J97" i="2"/>
  <c r="T97" i="2" s="1"/>
  <c r="J375" i="2"/>
  <c r="J129" i="2"/>
  <c r="T129" i="2" s="1"/>
  <c r="U130" i="2"/>
  <c r="J75" i="2"/>
  <c r="T75" i="2" s="1"/>
  <c r="J187" i="2"/>
  <c r="T187" i="2" s="1"/>
  <c r="U125" i="2"/>
  <c r="J296" i="2"/>
  <c r="J185" i="2"/>
  <c r="T185" i="2" s="1"/>
  <c r="J186" i="2"/>
  <c r="T186" i="2" s="1"/>
  <c r="U115" i="2"/>
  <c r="L115" i="2"/>
  <c r="W115" i="2" s="1"/>
  <c r="J410" i="2"/>
  <c r="T410" i="2" s="1"/>
  <c r="U59" i="2"/>
  <c r="L123" i="2"/>
  <c r="U123" i="2"/>
  <c r="U325" i="2"/>
  <c r="U430" i="2"/>
  <c r="U139" i="2"/>
  <c r="L171" i="2"/>
  <c r="W171" i="2" s="1"/>
  <c r="U171" i="2"/>
  <c r="J14" i="2"/>
  <c r="J68" i="2"/>
  <c r="T68" i="2" s="1"/>
  <c r="J361" i="2"/>
  <c r="J100" i="2"/>
  <c r="T100" i="2" s="1"/>
  <c r="J270" i="2"/>
  <c r="J132" i="2"/>
  <c r="T132" i="2" s="1"/>
  <c r="J419" i="2"/>
  <c r="T419" i="2" s="1"/>
  <c r="U95" i="2"/>
  <c r="J385" i="2"/>
  <c r="J148" i="2"/>
  <c r="T148" i="2" s="1"/>
  <c r="J294" i="2"/>
  <c r="J180" i="2"/>
  <c r="T180" i="2" s="1"/>
  <c r="J23" i="2"/>
  <c r="J77" i="2"/>
  <c r="T77" i="2" s="1"/>
  <c r="J259" i="2"/>
  <c r="J109" i="2"/>
  <c r="T109" i="2" s="1"/>
  <c r="J408" i="2"/>
  <c r="T408" i="2" s="1"/>
  <c r="J308" i="2"/>
  <c r="T308" i="2" s="1"/>
  <c r="J317" i="2"/>
  <c r="T317" i="2" s="1"/>
  <c r="U135" i="2"/>
  <c r="U426" i="2"/>
  <c r="U141" i="2"/>
  <c r="L141" i="2"/>
  <c r="U173" i="2"/>
  <c r="L173" i="2"/>
  <c r="W173" i="2" s="1"/>
  <c r="U70" i="2"/>
  <c r="L70" i="2"/>
  <c r="U102" i="2"/>
  <c r="U134" i="2"/>
  <c r="L421" i="2"/>
  <c r="W421" i="2" s="1"/>
  <c r="U421" i="2"/>
  <c r="U111" i="2"/>
  <c r="U323" i="2"/>
  <c r="L323" i="2"/>
  <c r="J150" i="2"/>
  <c r="T150" i="2" s="1"/>
  <c r="J182" i="2"/>
  <c r="T182" i="2" s="1"/>
  <c r="U79" i="2"/>
  <c r="L79" i="2"/>
  <c r="U161" i="2"/>
  <c r="L161" i="2"/>
  <c r="J143" i="2"/>
  <c r="T143" i="2" s="1"/>
  <c r="J175" i="2"/>
  <c r="T175" i="2" s="1"/>
  <c r="U72" i="2"/>
  <c r="U104" i="2"/>
  <c r="U136" i="2"/>
  <c r="L136" i="2"/>
  <c r="W136" i="2" s="1"/>
  <c r="J4" i="2"/>
  <c r="J58" i="2"/>
  <c r="T58" i="2" s="1"/>
  <c r="J422" i="2"/>
  <c r="T422" i="2" s="1"/>
  <c r="U168" i="2"/>
  <c r="U65" i="2"/>
  <c r="U97" i="2"/>
  <c r="U129" i="2"/>
  <c r="L129" i="2"/>
  <c r="U311" i="2"/>
  <c r="J376" i="2"/>
  <c r="J130" i="2"/>
  <c r="T130" i="2" s="1"/>
  <c r="J107" i="2"/>
  <c r="T107" i="2" s="1"/>
  <c r="U412" i="2"/>
  <c r="U310" i="2"/>
  <c r="L310" i="2"/>
  <c r="J428" i="2"/>
  <c r="T428" i="2" s="1"/>
  <c r="J27" i="2"/>
  <c r="J81" i="2"/>
  <c r="T81" i="2" s="1"/>
  <c r="U178" i="2"/>
  <c r="L178" i="2"/>
  <c r="W178" i="2" s="1"/>
  <c r="J83" i="2"/>
  <c r="T83" i="2" s="1"/>
  <c r="U186" i="2"/>
  <c r="L186" i="2"/>
  <c r="W186" i="2" s="1"/>
  <c r="U56" i="2"/>
  <c r="J162" i="2"/>
  <c r="T162" i="2" s="1"/>
  <c r="U162" i="2"/>
  <c r="J99" i="2"/>
  <c r="T99" i="2" s="1"/>
  <c r="J147" i="2"/>
  <c r="T147" i="2" s="1"/>
  <c r="U407" i="2"/>
  <c r="J387" i="2"/>
  <c r="J153" i="2"/>
  <c r="T153" i="2" s="1"/>
  <c r="U188" i="2"/>
  <c r="U85" i="2"/>
  <c r="U305" i="2"/>
  <c r="U322" i="2"/>
  <c r="J399" i="2"/>
  <c r="J177" i="2"/>
  <c r="T177" i="2" s="1"/>
  <c r="J149" i="2"/>
  <c r="T149" i="2" s="1"/>
  <c r="J181" i="2"/>
  <c r="T181" i="2" s="1"/>
  <c r="J78" i="2"/>
  <c r="T78" i="2" s="1"/>
  <c r="J110" i="2"/>
  <c r="T110" i="2" s="1"/>
  <c r="J318" i="2"/>
  <c r="T318" i="2" s="1"/>
  <c r="J289" i="2"/>
  <c r="J169" i="2"/>
  <c r="T169" i="2" s="1"/>
  <c r="U158" i="2"/>
  <c r="U190" i="2"/>
  <c r="J87" i="2"/>
  <c r="T87" i="2" s="1"/>
  <c r="U66" i="2"/>
  <c r="U151" i="2"/>
  <c r="U183" i="2"/>
  <c r="J26" i="2"/>
  <c r="J80" i="2"/>
  <c r="T80" i="2" s="1"/>
  <c r="J367" i="2"/>
  <c r="J112" i="2"/>
  <c r="T112" i="2" s="1"/>
  <c r="J303" i="2"/>
  <c r="T303" i="2" s="1"/>
  <c r="U82" i="2"/>
  <c r="J144" i="2"/>
  <c r="T144" i="2" s="1"/>
  <c r="J176" i="2"/>
  <c r="T176" i="2" s="1"/>
  <c r="J73" i="2"/>
  <c r="T73" i="2" s="1"/>
  <c r="J105" i="2"/>
  <c r="T105" i="2" s="1"/>
  <c r="J299" i="2"/>
  <c r="T299" i="2" s="1"/>
  <c r="J415" i="2"/>
  <c r="T415" i="2" s="1"/>
  <c r="J316" i="2"/>
  <c r="T316" i="2" s="1"/>
  <c r="U427" i="2"/>
  <c r="J301" i="2"/>
  <c r="T301" i="2" s="1"/>
  <c r="U116" i="2"/>
  <c r="L116" i="2"/>
  <c r="W116" i="2" s="1"/>
  <c r="U61" i="2"/>
  <c r="L61" i="2"/>
  <c r="W61" i="2" s="1"/>
  <c r="J429" i="2"/>
  <c r="T429" i="2" s="1"/>
  <c r="J86" i="2"/>
  <c r="T86" i="2" s="1"/>
  <c r="U122" i="2"/>
  <c r="L122" i="2"/>
  <c r="W122" i="2" s="1"/>
  <c r="U98" i="2"/>
  <c r="U159" i="2"/>
  <c r="L159" i="2"/>
  <c r="J355" i="2"/>
  <c r="J88" i="2"/>
  <c r="T88" i="2" s="1"/>
  <c r="J413" i="2"/>
  <c r="T413" i="2" s="1"/>
  <c r="J152" i="2"/>
  <c r="T152" i="2" s="1"/>
  <c r="U146" i="2"/>
  <c r="L146" i="2"/>
  <c r="W146" i="2" s="1"/>
  <c r="J154" i="2"/>
  <c r="T154" i="2" s="1"/>
  <c r="U83" i="2"/>
  <c r="L163" i="2"/>
  <c r="U163" i="2"/>
  <c r="J91" i="2"/>
  <c r="T91" i="2" s="1"/>
  <c r="U91" i="2"/>
  <c r="L308" i="2"/>
  <c r="W308" i="2" s="1"/>
  <c r="U308" i="2"/>
  <c r="J138" i="2"/>
  <c r="T138" i="2" s="1"/>
  <c r="J170" i="2"/>
  <c r="T170" i="2" s="1"/>
  <c r="J67" i="2"/>
  <c r="T67" i="2" s="1"/>
  <c r="J131" i="2"/>
  <c r="T131" i="2" s="1"/>
  <c r="J307" i="2"/>
  <c r="T307" i="2" s="1"/>
  <c r="J127" i="2"/>
  <c r="T127" i="2" s="1"/>
  <c r="J277" i="2"/>
  <c r="J145" i="2"/>
  <c r="T145" i="2" s="1"/>
  <c r="J179" i="2"/>
  <c r="T179" i="2" s="1"/>
  <c r="U76" i="2"/>
  <c r="U108" i="2"/>
  <c r="U424" i="2"/>
  <c r="U156" i="2"/>
  <c r="U117" i="2"/>
  <c r="U138" i="2"/>
  <c r="U170" i="2"/>
  <c r="U67" i="2"/>
  <c r="L67" i="2"/>
  <c r="W67" i="2" s="1"/>
  <c r="U99" i="2"/>
  <c r="U131" i="2"/>
  <c r="U313" i="2"/>
  <c r="L313" i="2"/>
  <c r="U127" i="2"/>
  <c r="U145" i="2"/>
  <c r="U147" i="2"/>
  <c r="U179" i="2"/>
  <c r="J22" i="2"/>
  <c r="J76" i="2"/>
  <c r="T76" i="2" s="1"/>
  <c r="J258" i="2"/>
  <c r="J108" i="2"/>
  <c r="T108" i="2" s="1"/>
  <c r="J407" i="2"/>
  <c r="T407" i="2" s="1"/>
  <c r="J424" i="2"/>
  <c r="T424" i="2" s="1"/>
  <c r="U153" i="2"/>
  <c r="L153" i="2"/>
  <c r="W153" i="2" s="1"/>
  <c r="J282" i="2"/>
  <c r="J156" i="2"/>
  <c r="T156" i="2" s="1"/>
  <c r="J404" i="2"/>
  <c r="J188" i="2"/>
  <c r="T188" i="2" s="1"/>
  <c r="J247" i="2"/>
  <c r="J85" i="2"/>
  <c r="T85" i="2" s="1"/>
  <c r="J369" i="2"/>
  <c r="J117" i="2"/>
  <c r="T117" i="2" s="1"/>
  <c r="J302" i="2"/>
  <c r="T302" i="2" s="1"/>
  <c r="J305" i="2"/>
  <c r="T305" i="2" s="1"/>
  <c r="J322" i="2"/>
  <c r="T322" i="2" s="1"/>
  <c r="U417" i="2"/>
  <c r="U177" i="2"/>
  <c r="U149" i="2"/>
  <c r="L149" i="2"/>
  <c r="U181" i="2"/>
  <c r="L181" i="2"/>
  <c r="U78" i="2"/>
  <c r="U110" i="2"/>
  <c r="U409" i="2"/>
  <c r="L409" i="2"/>
  <c r="W409" i="2" s="1"/>
  <c r="U318" i="2"/>
  <c r="L318" i="2"/>
  <c r="W318" i="2" s="1"/>
  <c r="U302" i="2"/>
  <c r="U169" i="2"/>
  <c r="J158" i="2"/>
  <c r="T158" i="2" s="1"/>
  <c r="J190" i="2"/>
  <c r="T190" i="2" s="1"/>
  <c r="U87" i="2"/>
  <c r="J12" i="2"/>
  <c r="J66" i="2"/>
  <c r="T66" i="2" s="1"/>
  <c r="J151" i="2"/>
  <c r="T151" i="2" s="1"/>
  <c r="J183" i="2"/>
  <c r="T183" i="2" s="1"/>
  <c r="U80" i="2"/>
  <c r="L112" i="2"/>
  <c r="U112" i="2"/>
  <c r="U303" i="2"/>
  <c r="J28" i="2"/>
  <c r="J82" i="2"/>
  <c r="T82" i="2" s="1"/>
  <c r="U144" i="2"/>
  <c r="L144" i="2"/>
  <c r="W144" i="2" s="1"/>
  <c r="U176" i="2"/>
  <c r="U73" i="2"/>
  <c r="L73" i="2"/>
  <c r="W73" i="2" s="1"/>
  <c r="U105" i="2"/>
  <c r="U299" i="2"/>
  <c r="L299" i="2"/>
  <c r="U316" i="2"/>
  <c r="J427" i="2"/>
  <c r="T427" i="2" s="1"/>
  <c r="L170" i="2" l="1"/>
  <c r="W170" i="2" s="1"/>
  <c r="L325" i="2"/>
  <c r="L119" i="2"/>
  <c r="L80" i="2"/>
  <c r="L110" i="2"/>
  <c r="W110" i="2" s="1"/>
  <c r="L137" i="2"/>
  <c r="L169" i="2"/>
  <c r="L125" i="2"/>
  <c r="W125" i="2" s="1"/>
  <c r="L57" i="2"/>
  <c r="W57" i="2" s="1"/>
  <c r="L59" i="2"/>
  <c r="L97" i="2"/>
  <c r="L134" i="2"/>
  <c r="L307" i="2"/>
  <c r="L306" i="2"/>
  <c r="L147" i="2"/>
  <c r="W147" i="2" s="1"/>
  <c r="L166" i="2"/>
  <c r="W166" i="2" s="1"/>
  <c r="L423" i="2"/>
  <c r="L87" i="2"/>
  <c r="L127" i="2"/>
  <c r="L83" i="2"/>
  <c r="L190" i="2"/>
  <c r="W190" i="2" s="1"/>
  <c r="L311" i="2"/>
  <c r="W311" i="2" s="1"/>
  <c r="L72" i="2"/>
  <c r="L426" i="2"/>
  <c r="W426" i="2" s="1"/>
  <c r="L314" i="2"/>
  <c r="W314" i="2" s="1"/>
  <c r="L316" i="2"/>
  <c r="L56" i="2"/>
  <c r="W56" i="2" s="1"/>
  <c r="L139" i="2"/>
  <c r="W139" i="2" s="1"/>
  <c r="L132" i="2"/>
  <c r="Y132" i="2" s="1"/>
  <c r="L414" i="2"/>
  <c r="L433" i="2"/>
  <c r="L84" i="2"/>
  <c r="Y84" i="2" s="1"/>
  <c r="L98" i="2"/>
  <c r="W98" i="2" s="1"/>
  <c r="L93" i="2"/>
  <c r="W93" i="2" s="1"/>
  <c r="L121" i="2"/>
  <c r="L309" i="2"/>
  <c r="L106" i="2"/>
  <c r="W106" i="2" s="1"/>
  <c r="L177" i="2"/>
  <c r="L130" i="2"/>
  <c r="S130" i="2" s="1"/>
  <c r="L105" i="2"/>
  <c r="Y105" i="2" s="1"/>
  <c r="L99" i="2"/>
  <c r="W99" i="2" s="1"/>
  <c r="L162" i="2"/>
  <c r="L96" i="2"/>
  <c r="L432" i="2"/>
  <c r="W432" i="2" s="1"/>
  <c r="L62" i="2"/>
  <c r="L303" i="2"/>
  <c r="S303" i="2" s="1"/>
  <c r="L302" i="2"/>
  <c r="W302" i="2" s="1"/>
  <c r="L78" i="2"/>
  <c r="S78" i="2" s="1"/>
  <c r="L417" i="2"/>
  <c r="W417" i="2" s="1"/>
  <c r="L145" i="2"/>
  <c r="L65" i="2"/>
  <c r="W65" i="2" s="1"/>
  <c r="L104" i="2"/>
  <c r="W104" i="2" s="1"/>
  <c r="L95" i="2"/>
  <c r="L58" i="2"/>
  <c r="L175" i="2"/>
  <c r="Y303" i="2"/>
  <c r="T26" i="2"/>
  <c r="L26" i="2"/>
  <c r="Y134" i="2"/>
  <c r="S134" i="2"/>
  <c r="T385" i="2"/>
  <c r="L385" i="2"/>
  <c r="Y130" i="2"/>
  <c r="Y89" i="2"/>
  <c r="S89" i="2"/>
  <c r="Y128" i="2"/>
  <c r="S128" i="2"/>
  <c r="Y307" i="2"/>
  <c r="S307" i="2"/>
  <c r="Y119" i="2"/>
  <c r="S119" i="2"/>
  <c r="T15" i="2"/>
  <c r="L15" i="2"/>
  <c r="T373" i="2"/>
  <c r="L373" i="2"/>
  <c r="T260" i="2"/>
  <c r="L260" i="2"/>
  <c r="Y321" i="2"/>
  <c r="S321" i="2"/>
  <c r="Y113" i="2"/>
  <c r="S113" i="2"/>
  <c r="Y137" i="2"/>
  <c r="S137" i="2"/>
  <c r="Y306" i="2"/>
  <c r="S306" i="2"/>
  <c r="Y157" i="2"/>
  <c r="S157" i="2"/>
  <c r="T392" i="2"/>
  <c r="L392" i="2"/>
  <c r="Y423" i="2"/>
  <c r="S423" i="2"/>
  <c r="W89" i="2"/>
  <c r="Y73" i="2"/>
  <c r="S73" i="2"/>
  <c r="T247" i="2"/>
  <c r="L247" i="2"/>
  <c r="Y310" i="2"/>
  <c r="S310" i="2"/>
  <c r="Y72" i="2"/>
  <c r="S72" i="2"/>
  <c r="Y141" i="2"/>
  <c r="S141" i="2"/>
  <c r="T12" i="2"/>
  <c r="L12" i="2"/>
  <c r="Y145" i="2"/>
  <c r="S145" i="2"/>
  <c r="L117" i="2"/>
  <c r="L76" i="2"/>
  <c r="L427" i="2"/>
  <c r="L183" i="2"/>
  <c r="L85" i="2"/>
  <c r="Y129" i="2"/>
  <c r="S129" i="2"/>
  <c r="Y95" i="2"/>
  <c r="S95" i="2"/>
  <c r="T14" i="2"/>
  <c r="L14" i="2"/>
  <c r="Y325" i="2"/>
  <c r="S325" i="2"/>
  <c r="L317" i="2"/>
  <c r="L180" i="2"/>
  <c r="L107" i="2"/>
  <c r="Y62" i="2"/>
  <c r="S62" i="2"/>
  <c r="Y164" i="2"/>
  <c r="S164" i="2"/>
  <c r="L415" i="2"/>
  <c r="T10" i="2"/>
  <c r="L10" i="2"/>
  <c r="L142" i="2"/>
  <c r="L324" i="2"/>
  <c r="L101" i="2"/>
  <c r="L431" i="2"/>
  <c r="L60" i="2"/>
  <c r="T261" i="2"/>
  <c r="L261" i="2"/>
  <c r="L187" i="2"/>
  <c r="W95" i="2"/>
  <c r="W119" i="2"/>
  <c r="Y190" i="2"/>
  <c r="S190" i="2"/>
  <c r="Y186" i="2"/>
  <c r="S186" i="2"/>
  <c r="Y433" i="2"/>
  <c r="S433" i="2"/>
  <c r="Y316" i="2"/>
  <c r="S316" i="2"/>
  <c r="L176" i="2"/>
  <c r="Y87" i="2"/>
  <c r="S87" i="2"/>
  <c r="Y318" i="2"/>
  <c r="S318" i="2"/>
  <c r="Y181" i="2"/>
  <c r="S181" i="2"/>
  <c r="T404" i="2"/>
  <c r="L404" i="2"/>
  <c r="T258" i="2"/>
  <c r="L258" i="2"/>
  <c r="Y163" i="2"/>
  <c r="S163" i="2"/>
  <c r="L82" i="2"/>
  <c r="L158" i="2"/>
  <c r="L412" i="2"/>
  <c r="Y323" i="2"/>
  <c r="S323" i="2"/>
  <c r="L102" i="2"/>
  <c r="T259" i="2"/>
  <c r="L259" i="2"/>
  <c r="L422" i="2"/>
  <c r="T18" i="2"/>
  <c r="L18" i="2"/>
  <c r="L182" i="2"/>
  <c r="L100" i="2"/>
  <c r="Y57" i="2"/>
  <c r="S57" i="2"/>
  <c r="Y96" i="2"/>
  <c r="S96" i="2"/>
  <c r="Y71" i="2"/>
  <c r="S71" i="2"/>
  <c r="Y416" i="2"/>
  <c r="S416" i="2"/>
  <c r="T397" i="2"/>
  <c r="L397" i="2"/>
  <c r="T356" i="2"/>
  <c r="L356" i="2"/>
  <c r="T264" i="2"/>
  <c r="L264" i="2"/>
  <c r="L167" i="2"/>
  <c r="Y74" i="2"/>
  <c r="S74" i="2"/>
  <c r="L81" i="2"/>
  <c r="L413" i="2"/>
  <c r="L118" i="2"/>
  <c r="T266" i="2"/>
  <c r="L266" i="2"/>
  <c r="L155" i="2"/>
  <c r="L301" i="2"/>
  <c r="L312" i="2"/>
  <c r="W134" i="2"/>
  <c r="W130" i="2"/>
  <c r="W433" i="2"/>
  <c r="W306" i="2"/>
  <c r="Y302" i="2"/>
  <c r="S302" i="2"/>
  <c r="S122" i="2"/>
  <c r="Y122" i="2"/>
  <c r="Y112" i="2"/>
  <c r="S112" i="2"/>
  <c r="Y127" i="2"/>
  <c r="S127" i="2"/>
  <c r="Y67" i="2"/>
  <c r="S67" i="2"/>
  <c r="L156" i="2"/>
  <c r="Y83" i="2"/>
  <c r="S83" i="2"/>
  <c r="T355" i="2"/>
  <c r="L355" i="2"/>
  <c r="L151" i="2"/>
  <c r="Y162" i="2"/>
  <c r="S162" i="2"/>
  <c r="Y178" i="2"/>
  <c r="S178" i="2"/>
  <c r="Y97" i="2"/>
  <c r="S97" i="2"/>
  <c r="T4" i="2"/>
  <c r="L4" i="2"/>
  <c r="Y171" i="2"/>
  <c r="S171" i="2"/>
  <c r="Y123" i="2"/>
  <c r="S123" i="2"/>
  <c r="T296" i="2"/>
  <c r="L296" i="2"/>
  <c r="T375" i="2"/>
  <c r="L375" i="2"/>
  <c r="Y58" i="2"/>
  <c r="S58" i="2"/>
  <c r="Y175" i="2"/>
  <c r="S175" i="2"/>
  <c r="L408" i="2"/>
  <c r="T249" i="2"/>
  <c r="L249" i="2"/>
  <c r="L165" i="2"/>
  <c r="T265" i="2"/>
  <c r="L265" i="2"/>
  <c r="S309" i="2"/>
  <c r="Y309" i="2"/>
  <c r="T371" i="2"/>
  <c r="L371" i="2"/>
  <c r="T364" i="2"/>
  <c r="L364" i="2"/>
  <c r="W303" i="2"/>
  <c r="W163" i="2"/>
  <c r="W310" i="2"/>
  <c r="W416" i="2"/>
  <c r="W321" i="2"/>
  <c r="W423" i="2"/>
  <c r="Y299" i="2"/>
  <c r="S299" i="2"/>
  <c r="Y144" i="2"/>
  <c r="S144" i="2"/>
  <c r="Y80" i="2"/>
  <c r="S80" i="2"/>
  <c r="Y409" i="2"/>
  <c r="S409" i="2"/>
  <c r="Y149" i="2"/>
  <c r="S149" i="2"/>
  <c r="T282" i="2"/>
  <c r="L282" i="2"/>
  <c r="T22" i="2"/>
  <c r="L22" i="2"/>
  <c r="Y159" i="2"/>
  <c r="S159" i="2"/>
  <c r="Y61" i="2"/>
  <c r="S61" i="2"/>
  <c r="T399" i="2"/>
  <c r="L399" i="2"/>
  <c r="L188" i="2"/>
  <c r="Y136" i="2"/>
  <c r="S136" i="2"/>
  <c r="Y161" i="2"/>
  <c r="S161" i="2"/>
  <c r="L111" i="2"/>
  <c r="Y70" i="2"/>
  <c r="S70" i="2"/>
  <c r="L135" i="2"/>
  <c r="T23" i="2"/>
  <c r="L23" i="2"/>
  <c r="Y139" i="2"/>
  <c r="S139" i="2"/>
  <c r="L150" i="2"/>
  <c r="L148" i="2"/>
  <c r="L68" i="2"/>
  <c r="Y414" i="2"/>
  <c r="S414" i="2"/>
  <c r="L160" i="2"/>
  <c r="L64" i="2"/>
  <c r="Y126" i="2"/>
  <c r="S126" i="2"/>
  <c r="T271" i="2"/>
  <c r="L271" i="2"/>
  <c r="T6" i="2"/>
  <c r="L6" i="2"/>
  <c r="L69" i="2"/>
  <c r="L410" i="2"/>
  <c r="L185" i="2"/>
  <c r="L184" i="2"/>
  <c r="L120" i="2"/>
  <c r="T359" i="2"/>
  <c r="L359" i="2"/>
  <c r="L319" i="2"/>
  <c r="L86" i="2"/>
  <c r="L429" i="2"/>
  <c r="T357" i="2"/>
  <c r="L357" i="2"/>
  <c r="L75" i="2"/>
  <c r="W112" i="2"/>
  <c r="W145" i="2"/>
  <c r="W83" i="2"/>
  <c r="W72" i="2"/>
  <c r="W70" i="2"/>
  <c r="W58" i="2"/>
  <c r="W128" i="2"/>
  <c r="W126" i="2"/>
  <c r="W164" i="2"/>
  <c r="W309" i="2"/>
  <c r="W74" i="2"/>
  <c r="T284" i="2"/>
  <c r="L284" i="2"/>
  <c r="Y153" i="2"/>
  <c r="S153" i="2"/>
  <c r="L179" i="2"/>
  <c r="S313" i="2"/>
  <c r="Y313" i="2"/>
  <c r="Y170" i="2"/>
  <c r="S170" i="2"/>
  <c r="L424" i="2"/>
  <c r="T277" i="2"/>
  <c r="L277" i="2"/>
  <c r="S308" i="2"/>
  <c r="Y308" i="2"/>
  <c r="T289" i="2"/>
  <c r="L289" i="2"/>
  <c r="L322" i="2"/>
  <c r="Y65" i="2"/>
  <c r="S65" i="2"/>
  <c r="T270" i="2"/>
  <c r="L270" i="2"/>
  <c r="Y59" i="2"/>
  <c r="S59" i="2"/>
  <c r="T253" i="2"/>
  <c r="L253" i="2"/>
  <c r="L143" i="2"/>
  <c r="L109" i="2"/>
  <c r="Y411" i="2"/>
  <c r="S411" i="2"/>
  <c r="L320" i="2"/>
  <c r="T248" i="2"/>
  <c r="L248" i="2"/>
  <c r="T374" i="2"/>
  <c r="L374" i="2"/>
  <c r="L300" i="2"/>
  <c r="L420" i="2"/>
  <c r="L172" i="2"/>
  <c r="L124" i="2"/>
  <c r="L103" i="2"/>
  <c r="T368" i="2"/>
  <c r="L368" i="2"/>
  <c r="T20" i="2"/>
  <c r="L20" i="2"/>
  <c r="W316" i="2"/>
  <c r="W80" i="2"/>
  <c r="W181" i="2"/>
  <c r="W127" i="2"/>
  <c r="W161" i="2"/>
  <c r="W325" i="2"/>
  <c r="W175" i="2"/>
  <c r="W96" i="2"/>
  <c r="Y169" i="2"/>
  <c r="S169" i="2"/>
  <c r="Y110" i="2"/>
  <c r="S110" i="2"/>
  <c r="Y177" i="2"/>
  <c r="S177" i="2"/>
  <c r="T369" i="2"/>
  <c r="L369" i="2"/>
  <c r="Y146" i="2"/>
  <c r="S146" i="2"/>
  <c r="S98" i="2"/>
  <c r="Y116" i="2"/>
  <c r="S116" i="2"/>
  <c r="T367" i="2"/>
  <c r="L367" i="2"/>
  <c r="L66" i="2"/>
  <c r="T387" i="2"/>
  <c r="L387" i="2"/>
  <c r="T27" i="2"/>
  <c r="L27" i="2"/>
  <c r="T376" i="2"/>
  <c r="L376" i="2"/>
  <c r="Y104" i="2"/>
  <c r="S104" i="2"/>
  <c r="Y79" i="2"/>
  <c r="S79" i="2"/>
  <c r="S173" i="2"/>
  <c r="Y173" i="2"/>
  <c r="T294" i="2"/>
  <c r="L294" i="2"/>
  <c r="L430" i="2"/>
  <c r="T379" i="2"/>
  <c r="L379" i="2"/>
  <c r="L419" i="2"/>
  <c r="Y93" i="2"/>
  <c r="S93" i="2"/>
  <c r="Y121" i="2"/>
  <c r="S121" i="2"/>
  <c r="L315" i="2"/>
  <c r="L418" i="2"/>
  <c r="Y94" i="2"/>
  <c r="S94" i="2"/>
  <c r="L425" i="2"/>
  <c r="T254" i="2"/>
  <c r="L254" i="2"/>
  <c r="Y106" i="2"/>
  <c r="S106" i="2"/>
  <c r="L304" i="2"/>
  <c r="L152" i="2"/>
  <c r="L88" i="2"/>
  <c r="L428" i="2"/>
  <c r="L189" i="2"/>
  <c r="T7" i="2"/>
  <c r="L7" i="2"/>
  <c r="L114" i="2"/>
  <c r="W299" i="2"/>
  <c r="W87" i="2"/>
  <c r="W149" i="2"/>
  <c r="W313" i="2"/>
  <c r="W159" i="2"/>
  <c r="W129" i="2"/>
  <c r="W79" i="2"/>
  <c r="W141" i="2"/>
  <c r="W123" i="2"/>
  <c r="W414" i="2"/>
  <c r="W62" i="2"/>
  <c r="W137" i="2"/>
  <c r="W157" i="2"/>
  <c r="T362" i="2"/>
  <c r="L362" i="2"/>
  <c r="T28" i="2"/>
  <c r="L28" i="2"/>
  <c r="Y147" i="2"/>
  <c r="S147" i="2"/>
  <c r="L131" i="2"/>
  <c r="L138" i="2"/>
  <c r="L108" i="2"/>
  <c r="L91" i="2"/>
  <c r="L305" i="2"/>
  <c r="L407" i="2"/>
  <c r="Y56" i="2"/>
  <c r="S56" i="2"/>
  <c r="Y311" i="2"/>
  <c r="S311" i="2"/>
  <c r="L168" i="2"/>
  <c r="Y421" i="2"/>
  <c r="S421" i="2"/>
  <c r="T361" i="2"/>
  <c r="L361" i="2"/>
  <c r="Y115" i="2"/>
  <c r="S115" i="2"/>
  <c r="T11" i="2"/>
  <c r="L11" i="2"/>
  <c r="L77" i="2"/>
  <c r="L154" i="2"/>
  <c r="Y432" i="2"/>
  <c r="S432" i="2"/>
  <c r="L90" i="2"/>
  <c r="T3" i="2"/>
  <c r="L3" i="2"/>
  <c r="T252" i="2"/>
  <c r="L252" i="2"/>
  <c r="L174" i="2"/>
  <c r="L133" i="2"/>
  <c r="L140" i="2"/>
  <c r="L92" i="2"/>
  <c r="T2" i="2"/>
  <c r="L2" i="2"/>
  <c r="L63" i="2"/>
  <c r="T246" i="2"/>
  <c r="L246" i="2"/>
  <c r="W169" i="2"/>
  <c r="W177" i="2"/>
  <c r="W162" i="2"/>
  <c r="W97" i="2"/>
  <c r="W323" i="2"/>
  <c r="W59" i="2"/>
  <c r="W132" i="2"/>
  <c r="W121" i="2"/>
  <c r="W307" i="2"/>
  <c r="W113" i="2"/>
  <c r="Y166" i="2" l="1"/>
  <c r="S166" i="2"/>
  <c r="S125" i="2"/>
  <c r="Y125" i="2"/>
  <c r="S426" i="2"/>
  <c r="W105" i="2"/>
  <c r="S105" i="2"/>
  <c r="W78" i="2"/>
  <c r="Y426" i="2"/>
  <c r="S132" i="2"/>
  <c r="Y78" i="2"/>
  <c r="S84" i="2"/>
  <c r="W84" i="2"/>
  <c r="Y98" i="2"/>
  <c r="S99" i="2"/>
  <c r="Y99" i="2"/>
  <c r="S417" i="2"/>
  <c r="S314" i="2"/>
  <c r="Y417" i="2"/>
  <c r="Y314" i="2"/>
  <c r="Y11" i="2"/>
  <c r="S11" i="2"/>
  <c r="W11" i="2"/>
  <c r="Y248" i="2"/>
  <c r="S248" i="2"/>
  <c r="W248" i="2"/>
  <c r="Y86" i="2"/>
  <c r="S86" i="2"/>
  <c r="W86" i="2"/>
  <c r="Y10" i="2"/>
  <c r="S10" i="2"/>
  <c r="W10" i="2"/>
  <c r="Y373" i="2"/>
  <c r="S373" i="2"/>
  <c r="W373" i="2"/>
  <c r="Y138" i="2"/>
  <c r="S138" i="2"/>
  <c r="W138" i="2"/>
  <c r="Y304" i="2"/>
  <c r="S304" i="2"/>
  <c r="W304" i="2"/>
  <c r="Y418" i="2"/>
  <c r="S418" i="2"/>
  <c r="W418" i="2"/>
  <c r="Y66" i="2"/>
  <c r="S66" i="2"/>
  <c r="W66" i="2"/>
  <c r="Y103" i="2"/>
  <c r="S103" i="2"/>
  <c r="W103" i="2"/>
  <c r="W319" i="2"/>
  <c r="Y319" i="2"/>
  <c r="S319" i="2"/>
  <c r="Y410" i="2"/>
  <c r="S410" i="2"/>
  <c r="W410" i="2"/>
  <c r="Y64" i="2"/>
  <c r="S64" i="2"/>
  <c r="W64" i="2"/>
  <c r="S111" i="2"/>
  <c r="Y111" i="2"/>
  <c r="W111" i="2"/>
  <c r="Y265" i="2"/>
  <c r="S265" i="2"/>
  <c r="W265" i="2"/>
  <c r="Y312" i="2"/>
  <c r="S312" i="2"/>
  <c r="W312" i="2"/>
  <c r="Y261" i="2"/>
  <c r="S261" i="2"/>
  <c r="W261" i="2"/>
  <c r="Y317" i="2"/>
  <c r="S317" i="2"/>
  <c r="W317" i="2"/>
  <c r="Y108" i="2"/>
  <c r="S108" i="2"/>
  <c r="W108" i="2"/>
  <c r="Y379" i="2"/>
  <c r="S379" i="2"/>
  <c r="W379" i="2"/>
  <c r="W397" i="2"/>
  <c r="Y397" i="2"/>
  <c r="S397" i="2"/>
  <c r="Y187" i="2"/>
  <c r="S187" i="2"/>
  <c r="W187" i="2"/>
  <c r="Y180" i="2"/>
  <c r="S180" i="2"/>
  <c r="W180" i="2"/>
  <c r="Y315" i="2"/>
  <c r="S315" i="2"/>
  <c r="W315" i="2"/>
  <c r="Y430" i="2"/>
  <c r="S430" i="2"/>
  <c r="W430" i="2"/>
  <c r="W367" i="2"/>
  <c r="Y367" i="2"/>
  <c r="S367" i="2"/>
  <c r="Y369" i="2"/>
  <c r="S369" i="2"/>
  <c r="W369" i="2"/>
  <c r="Y124" i="2"/>
  <c r="S124" i="2"/>
  <c r="W124" i="2"/>
  <c r="Y320" i="2"/>
  <c r="S320" i="2"/>
  <c r="W320" i="2"/>
  <c r="Y359" i="2"/>
  <c r="W359" i="2"/>
  <c r="S359" i="2"/>
  <c r="Y69" i="2"/>
  <c r="S69" i="2"/>
  <c r="W69" i="2"/>
  <c r="Y160" i="2"/>
  <c r="S160" i="2"/>
  <c r="W160" i="2"/>
  <c r="Y156" i="2"/>
  <c r="S156" i="2"/>
  <c r="W156" i="2"/>
  <c r="Y301" i="2"/>
  <c r="S301" i="2"/>
  <c r="W301" i="2"/>
  <c r="Y100" i="2"/>
  <c r="S100" i="2"/>
  <c r="W100" i="2"/>
  <c r="Y415" i="2"/>
  <c r="S415" i="2"/>
  <c r="W415" i="2"/>
  <c r="Y85" i="2"/>
  <c r="S85" i="2"/>
  <c r="W85" i="2"/>
  <c r="W392" i="2"/>
  <c r="Y392" i="2"/>
  <c r="S392" i="2"/>
  <c r="Y15" i="2"/>
  <c r="S15" i="2"/>
  <c r="W15" i="2"/>
  <c r="Y63" i="2"/>
  <c r="S63" i="2"/>
  <c r="W63" i="2"/>
  <c r="Y289" i="2"/>
  <c r="W289" i="2"/>
  <c r="S289" i="2"/>
  <c r="Y81" i="2"/>
  <c r="S81" i="2"/>
  <c r="W81" i="2"/>
  <c r="Y92" i="2"/>
  <c r="S92" i="2"/>
  <c r="W92" i="2"/>
  <c r="Y90" i="2"/>
  <c r="S90" i="2"/>
  <c r="W90" i="2"/>
  <c r="Y7" i="2"/>
  <c r="S7" i="2"/>
  <c r="W7" i="2"/>
  <c r="Y294" i="2"/>
  <c r="S294" i="2"/>
  <c r="W294" i="2"/>
  <c r="Y376" i="2"/>
  <c r="S376" i="2"/>
  <c r="W376" i="2"/>
  <c r="Y172" i="2"/>
  <c r="S172" i="2"/>
  <c r="W172" i="2"/>
  <c r="Y270" i="2"/>
  <c r="W270" i="2"/>
  <c r="S270" i="2"/>
  <c r="Y179" i="2"/>
  <c r="S179" i="2"/>
  <c r="W179" i="2"/>
  <c r="Y6" i="2"/>
  <c r="S6" i="2"/>
  <c r="W6" i="2"/>
  <c r="Y364" i="2"/>
  <c r="S364" i="2"/>
  <c r="W364" i="2"/>
  <c r="Y155" i="2"/>
  <c r="S155" i="2"/>
  <c r="W155" i="2"/>
  <c r="Y167" i="2"/>
  <c r="S167" i="2"/>
  <c r="W167" i="2"/>
  <c r="S182" i="2"/>
  <c r="Y182" i="2"/>
  <c r="W182" i="2"/>
  <c r="Y102" i="2"/>
  <c r="S102" i="2"/>
  <c r="W102" i="2"/>
  <c r="Y258" i="2"/>
  <c r="S258" i="2"/>
  <c r="W258" i="2"/>
  <c r="Y60" i="2"/>
  <c r="S60" i="2"/>
  <c r="W60" i="2"/>
  <c r="Y183" i="2"/>
  <c r="S183" i="2"/>
  <c r="W183" i="2"/>
  <c r="Y12" i="2"/>
  <c r="W12" i="2"/>
  <c r="S12" i="2"/>
  <c r="Y247" i="2"/>
  <c r="S247" i="2"/>
  <c r="W247" i="2"/>
  <c r="Y114" i="2"/>
  <c r="S114" i="2"/>
  <c r="W114" i="2"/>
  <c r="W385" i="2"/>
  <c r="Y385" i="2"/>
  <c r="S385" i="2"/>
  <c r="Y131" i="2"/>
  <c r="S131" i="2"/>
  <c r="W131" i="2"/>
  <c r="Y140" i="2"/>
  <c r="S140" i="2"/>
  <c r="W140" i="2"/>
  <c r="Y361" i="2"/>
  <c r="S361" i="2"/>
  <c r="W361" i="2"/>
  <c r="Y254" i="2"/>
  <c r="S254" i="2"/>
  <c r="W254" i="2"/>
  <c r="Y420" i="2"/>
  <c r="S420" i="2"/>
  <c r="W420" i="2"/>
  <c r="W277" i="2"/>
  <c r="S277" i="2"/>
  <c r="Y277" i="2"/>
  <c r="Y75" i="2"/>
  <c r="S75" i="2"/>
  <c r="W75" i="2"/>
  <c r="Y120" i="2"/>
  <c r="S120" i="2"/>
  <c r="W120" i="2"/>
  <c r="Y23" i="2"/>
  <c r="W23" i="2"/>
  <c r="S23" i="2"/>
  <c r="Y266" i="2"/>
  <c r="S266" i="2"/>
  <c r="W266" i="2"/>
  <c r="Y264" i="2"/>
  <c r="W264" i="2"/>
  <c r="S264" i="2"/>
  <c r="W18" i="2"/>
  <c r="Y18" i="2"/>
  <c r="S18" i="2"/>
  <c r="Y431" i="2"/>
  <c r="S431" i="2"/>
  <c r="W431" i="2"/>
  <c r="Y14" i="2"/>
  <c r="S14" i="2"/>
  <c r="W14" i="2"/>
  <c r="Y427" i="2"/>
  <c r="S427" i="2"/>
  <c r="W427" i="2"/>
  <c r="Y26" i="2"/>
  <c r="W26" i="2"/>
  <c r="S26" i="2"/>
  <c r="Y152" i="2"/>
  <c r="S152" i="2"/>
  <c r="W152" i="2"/>
  <c r="Y408" i="2"/>
  <c r="S408" i="2"/>
  <c r="W408" i="2"/>
  <c r="Y3" i="2"/>
  <c r="S3" i="2"/>
  <c r="W3" i="2"/>
  <c r="Y133" i="2"/>
  <c r="S133" i="2"/>
  <c r="W133" i="2"/>
  <c r="Y407" i="2"/>
  <c r="S407" i="2"/>
  <c r="W407" i="2"/>
  <c r="Y28" i="2"/>
  <c r="S28" i="2"/>
  <c r="W28" i="2"/>
  <c r="Y189" i="2"/>
  <c r="S189" i="2"/>
  <c r="W189" i="2"/>
  <c r="Y27" i="2"/>
  <c r="W27" i="2"/>
  <c r="S27" i="2"/>
  <c r="Y20" i="2"/>
  <c r="S20" i="2"/>
  <c r="W20" i="2"/>
  <c r="Y300" i="2"/>
  <c r="S300" i="2"/>
  <c r="W300" i="2"/>
  <c r="Y109" i="2"/>
  <c r="S109" i="2"/>
  <c r="W109" i="2"/>
  <c r="Y357" i="2"/>
  <c r="S357" i="2"/>
  <c r="W357" i="2"/>
  <c r="Y184" i="2"/>
  <c r="S184" i="2"/>
  <c r="W184" i="2"/>
  <c r="Y271" i="2"/>
  <c r="S271" i="2"/>
  <c r="W271" i="2"/>
  <c r="Y68" i="2"/>
  <c r="S68" i="2"/>
  <c r="W68" i="2"/>
  <c r="Y22" i="2"/>
  <c r="S22" i="2"/>
  <c r="W22" i="2"/>
  <c r="Y371" i="2"/>
  <c r="S371" i="2"/>
  <c r="W371" i="2"/>
  <c r="Y165" i="2"/>
  <c r="S165" i="2"/>
  <c r="W165" i="2"/>
  <c r="Y375" i="2"/>
  <c r="S375" i="2"/>
  <c r="W375" i="2"/>
  <c r="Y4" i="2"/>
  <c r="S4" i="2"/>
  <c r="W4" i="2"/>
  <c r="Y151" i="2"/>
  <c r="S151" i="2"/>
  <c r="W151" i="2"/>
  <c r="W404" i="2"/>
  <c r="S404" i="2"/>
  <c r="Y404" i="2"/>
  <c r="Y176" i="2"/>
  <c r="S176" i="2"/>
  <c r="W176" i="2"/>
  <c r="Y101" i="2"/>
  <c r="S101" i="2"/>
  <c r="W101" i="2"/>
  <c r="Y76" i="2"/>
  <c r="S76" i="2"/>
  <c r="W76" i="2"/>
  <c r="Y82" i="2"/>
  <c r="S82" i="2"/>
  <c r="W82" i="2"/>
  <c r="Y2" i="2"/>
  <c r="W2" i="2"/>
  <c r="S2" i="2"/>
  <c r="Y246" i="2"/>
  <c r="S246" i="2"/>
  <c r="W246" i="2"/>
  <c r="Y174" i="2"/>
  <c r="S174" i="2"/>
  <c r="W174" i="2"/>
  <c r="Y154" i="2"/>
  <c r="S154" i="2"/>
  <c r="W154" i="2"/>
  <c r="Y305" i="2"/>
  <c r="S305" i="2"/>
  <c r="W305" i="2"/>
  <c r="Y428" i="2"/>
  <c r="S428" i="2"/>
  <c r="W428" i="2"/>
  <c r="Y425" i="2"/>
  <c r="S425" i="2"/>
  <c r="W425" i="2"/>
  <c r="Y374" i="2"/>
  <c r="W374" i="2"/>
  <c r="S374" i="2"/>
  <c r="Y143" i="2"/>
  <c r="S143" i="2"/>
  <c r="W143" i="2"/>
  <c r="Y424" i="2"/>
  <c r="S424" i="2"/>
  <c r="W424" i="2"/>
  <c r="Y284" i="2"/>
  <c r="S284" i="2"/>
  <c r="W284" i="2"/>
  <c r="Y185" i="2"/>
  <c r="S185" i="2"/>
  <c r="W185" i="2"/>
  <c r="Y148" i="2"/>
  <c r="S148" i="2"/>
  <c r="W148" i="2"/>
  <c r="Y135" i="2"/>
  <c r="S135" i="2"/>
  <c r="W135" i="2"/>
  <c r="Y188" i="2"/>
  <c r="S188" i="2"/>
  <c r="W188" i="2"/>
  <c r="Y249" i="2"/>
  <c r="S249" i="2"/>
  <c r="W249" i="2"/>
  <c r="Y355" i="2"/>
  <c r="W355" i="2"/>
  <c r="S355" i="2"/>
  <c r="Y118" i="2"/>
  <c r="S118" i="2"/>
  <c r="W118" i="2"/>
  <c r="Y356" i="2"/>
  <c r="W356" i="2"/>
  <c r="S356" i="2"/>
  <c r="Y422" i="2"/>
  <c r="S422" i="2"/>
  <c r="W422" i="2"/>
  <c r="Y412" i="2"/>
  <c r="S412" i="2"/>
  <c r="W412" i="2"/>
  <c r="Y324" i="2"/>
  <c r="S324" i="2"/>
  <c r="W324" i="2"/>
  <c r="Y117" i="2"/>
  <c r="S117" i="2"/>
  <c r="W117" i="2"/>
  <c r="Y260" i="2"/>
  <c r="S260" i="2"/>
  <c r="W260" i="2"/>
  <c r="Y168" i="2"/>
  <c r="S168" i="2"/>
  <c r="W168" i="2"/>
  <c r="Y252" i="2"/>
  <c r="S252" i="2"/>
  <c r="W252" i="2"/>
  <c r="Y77" i="2"/>
  <c r="S77" i="2"/>
  <c r="W77" i="2"/>
  <c r="S91" i="2"/>
  <c r="Y91" i="2"/>
  <c r="W91" i="2"/>
  <c r="Y362" i="2"/>
  <c r="S362" i="2"/>
  <c r="W362" i="2"/>
  <c r="Y88" i="2"/>
  <c r="S88" i="2"/>
  <c r="W88" i="2"/>
  <c r="Y419" i="2"/>
  <c r="S419" i="2"/>
  <c r="W419" i="2"/>
  <c r="W387" i="2"/>
  <c r="Y387" i="2"/>
  <c r="S387" i="2"/>
  <c r="Y368" i="2"/>
  <c r="S368" i="2"/>
  <c r="W368" i="2"/>
  <c r="Y253" i="2"/>
  <c r="S253" i="2"/>
  <c r="W253" i="2"/>
  <c r="Y322" i="2"/>
  <c r="S322" i="2"/>
  <c r="W322" i="2"/>
  <c r="Y429" i="2"/>
  <c r="S429" i="2"/>
  <c r="W429" i="2"/>
  <c r="W150" i="2"/>
  <c r="Y150" i="2"/>
  <c r="S150" i="2"/>
  <c r="W399" i="2"/>
  <c r="S399" i="2"/>
  <c r="Y399" i="2"/>
  <c r="W282" i="2"/>
  <c r="S282" i="2"/>
  <c r="Y282" i="2"/>
  <c r="W296" i="2"/>
  <c r="S296" i="2"/>
  <c r="Y296" i="2"/>
  <c r="Y413" i="2"/>
  <c r="S413" i="2"/>
  <c r="W413" i="2"/>
  <c r="Y259" i="2"/>
  <c r="S259" i="2"/>
  <c r="W259" i="2"/>
  <c r="Y158" i="2"/>
  <c r="S158" i="2"/>
  <c r="W158" i="2"/>
  <c r="Y142" i="2"/>
  <c r="S142" i="2"/>
  <c r="W142" i="2"/>
  <c r="Y107" i="2"/>
  <c r="S107" i="2"/>
  <c r="W107" i="2"/>
</calcChain>
</file>

<file path=xl/sharedStrings.xml><?xml version="1.0" encoding="utf-8"?>
<sst xmlns="http://schemas.openxmlformats.org/spreadsheetml/2006/main" count="34" uniqueCount="24">
  <si>
    <t>L1D[mm]</t>
  </si>
  <si>
    <t>L/Dreg</t>
  </si>
  <si>
    <t>dT[K]</t>
  </si>
  <si>
    <t>f[Hz]</t>
  </si>
  <si>
    <t>CB[kgh]</t>
  </si>
  <si>
    <t>Qc[W]</t>
  </si>
  <si>
    <t>D</t>
  </si>
  <si>
    <t>L</t>
  </si>
  <si>
    <t>d [m]</t>
  </si>
  <si>
    <t>L [m]</t>
  </si>
  <si>
    <t>D [m]</t>
  </si>
  <si>
    <t>m [kg]</t>
  </si>
  <si>
    <t>c</t>
  </si>
  <si>
    <t>dT</t>
  </si>
  <si>
    <t>cf</t>
  </si>
  <si>
    <t>phi</t>
  </si>
  <si>
    <t>mf</t>
  </si>
  <si>
    <t>L_a</t>
  </si>
  <si>
    <t>D_a</t>
  </si>
  <si>
    <t>Area</t>
  </si>
  <si>
    <t>h</t>
  </si>
  <si>
    <t>há</t>
  </si>
  <si>
    <t>Qc</t>
  </si>
  <si>
    <t>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</si>
</sst>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#,##0.00000000"/>
    <numFmt numFmtId="165" formatCode="#,##0.0000000000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esktop/Dimensionless/Add-ins/Convectio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lanilha1"/>
    </sheetNames>
    <definedNames>
      <definedName name="Convection"/>
      <definedName name="HeatTransferAre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PI433"/>
  <sheetViews>
    <sheetView topLeftCell="A390" workbookViewId="0">
      <selection activeCell="A2" sqref="A2:H433"/>
    </sheetView>
  </sheetViews>
  <sheetFormatPr defaultRowHeight="15" x14ac:dyDescent="0.25"/>
  <sheetData>
    <row r="1" spans="1:425" x14ac:dyDescent="0.25">
      <c r="A1" t="s">
        <v>15</v>
      </c>
      <c r="B1" t="s">
        <v>17</v>
      </c>
      <c r="C1" t="s">
        <v>18</v>
      </c>
      <c r="D1" t="s">
        <v>23</v>
      </c>
      <c r="E1" t="s">
        <v>21</v>
      </c>
      <c r="F1" t="s">
        <v>13</v>
      </c>
      <c r="G1" s="1" t="s">
        <v>22</v>
      </c>
      <c r="H1" t="s">
        <v>5</v>
      </c>
    </row>
    <row r="2" spans="1:425" x14ac:dyDescent="0.25">
      <c r="A2">
        <v>1.9755654425746831</v>
      </c>
      <c r="B2">
        <v>3.7400265957446807E-6</v>
      </c>
      <c r="C2">
        <v>4.1555851063829797E-7</v>
      </c>
      <c r="D2">
        <v>3</v>
      </c>
      <c r="E2">
        <v>730.6058313214171</v>
      </c>
      <c r="F2">
        <v>3.125</v>
      </c>
      <c r="G2">
        <v>0.46329294487925476</v>
      </c>
      <c r="H2">
        <v>32.425132470000001</v>
      </c>
    </row>
    <row r="3" spans="1:425" x14ac:dyDescent="0.25">
      <c r="A3">
        <v>0.98778272128734157</v>
      </c>
      <c r="B3">
        <v>7.4800531914893613E-6</v>
      </c>
      <c r="C3">
        <v>8.3111702127659595E-7</v>
      </c>
      <c r="D3">
        <v>3</v>
      </c>
      <c r="E3">
        <v>365.30291566070855</v>
      </c>
      <c r="F3">
        <v>3.125</v>
      </c>
      <c r="G3">
        <v>0.27301055110098488</v>
      </c>
      <c r="H3">
        <v>38.215143930000004</v>
      </c>
    </row>
    <row r="4" spans="1:425" x14ac:dyDescent="0.25">
      <c r="A4">
        <v>0.65852181419156097</v>
      </c>
      <c r="B4">
        <v>1.1220079787234043E-5</v>
      </c>
      <c r="C4">
        <v>1.2466755319148938E-6</v>
      </c>
      <c r="D4">
        <v>3</v>
      </c>
      <c r="E4">
        <v>243.53527710713902</v>
      </c>
      <c r="F4">
        <v>3.125</v>
      </c>
      <c r="G4">
        <v>0.18362219641085564</v>
      </c>
      <c r="H4">
        <v>38.554271819999997</v>
      </c>
    </row>
    <row r="5" spans="1:425" x14ac:dyDescent="0.25">
      <c r="A5">
        <v>1.4816740819310121</v>
      </c>
      <c r="B5">
        <v>6.6489361702127676E-6</v>
      </c>
      <c r="C5">
        <v>4.1555851063829797E-7</v>
      </c>
      <c r="D5">
        <v>4</v>
      </c>
      <c r="E5">
        <v>730.6058313214171</v>
      </c>
      <c r="F5">
        <v>3.125</v>
      </c>
      <c r="G5">
        <v>0.38739672823862864</v>
      </c>
      <c r="H5">
        <v>36.151036820000002</v>
      </c>
    </row>
    <row r="6" spans="1:425" x14ac:dyDescent="0.25">
      <c r="A6">
        <v>0.74083704096550607</v>
      </c>
      <c r="B6">
        <v>1.3297872340425535E-5</v>
      </c>
      <c r="C6">
        <v>8.3111702127659595E-7</v>
      </c>
      <c r="D6">
        <v>4</v>
      </c>
      <c r="E6">
        <v>365.30291566070855</v>
      </c>
      <c r="F6">
        <v>3.125</v>
      </c>
      <c r="G6">
        <v>0.20307323628518512</v>
      </c>
      <c r="H6">
        <v>37.900722989999998</v>
      </c>
    </row>
    <row r="7" spans="1:425" x14ac:dyDescent="0.25">
      <c r="A7">
        <v>0.49389136064367067</v>
      </c>
      <c r="B7">
        <v>1.99468085106383E-5</v>
      </c>
      <c r="C7">
        <v>1.2466755319148938E-6</v>
      </c>
      <c r="D7">
        <v>4</v>
      </c>
      <c r="E7">
        <v>243.53527710713902</v>
      </c>
      <c r="F7">
        <v>3.125</v>
      </c>
      <c r="G7">
        <v>0.13513551879875879</v>
      </c>
      <c r="H7">
        <v>37.831675590000003</v>
      </c>
    </row>
    <row r="8" spans="1:425" x14ac:dyDescent="0.25">
      <c r="A8">
        <v>1.1853392655448096</v>
      </c>
      <c r="B8">
        <v>1.0388962765957447E-5</v>
      </c>
      <c r="C8">
        <v>4.1555851063829797E-7</v>
      </c>
      <c r="D8">
        <v>5</v>
      </c>
      <c r="E8">
        <v>730.60583132141699</v>
      </c>
      <c r="F8">
        <v>3.125</v>
      </c>
      <c r="G8">
        <v>0.31571377449886756</v>
      </c>
      <c r="H8">
        <v>36.82717049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"/>
      <c r="NK8" s="1"/>
      <c r="NL8" s="1"/>
      <c r="NM8" s="1"/>
      <c r="NN8" s="1"/>
      <c r="NO8" s="1"/>
      <c r="NP8" s="1"/>
      <c r="NQ8" s="1"/>
      <c r="NR8" s="1"/>
      <c r="NS8" s="1"/>
      <c r="NT8" s="1"/>
      <c r="NU8" s="1"/>
      <c r="NV8" s="1"/>
      <c r="NW8" s="1"/>
      <c r="NX8" s="1"/>
      <c r="NY8" s="1"/>
      <c r="NZ8" s="1"/>
      <c r="OA8" s="1"/>
      <c r="OB8" s="1"/>
      <c r="OC8" s="1"/>
      <c r="OD8" s="1"/>
      <c r="OE8" s="1"/>
      <c r="OF8" s="1"/>
      <c r="OG8" s="1"/>
      <c r="OH8" s="1"/>
      <c r="OI8" s="1"/>
      <c r="OJ8" s="1"/>
      <c r="OK8" s="1"/>
      <c r="OL8" s="1"/>
      <c r="OM8" s="1"/>
      <c r="ON8" s="1"/>
      <c r="OO8" s="1"/>
      <c r="OP8" s="1"/>
      <c r="OQ8" s="1"/>
      <c r="OR8" s="1"/>
      <c r="OS8" s="1"/>
      <c r="OT8" s="1"/>
      <c r="OU8" s="1"/>
      <c r="OV8" s="1"/>
      <c r="OW8" s="1"/>
      <c r="OX8" s="1"/>
      <c r="OY8" s="1"/>
      <c r="OZ8" s="1"/>
      <c r="PA8" s="1"/>
      <c r="PB8" s="1"/>
      <c r="PC8" s="1"/>
      <c r="PD8" s="1"/>
      <c r="PE8" s="1"/>
      <c r="PF8" s="1"/>
      <c r="PG8" s="1"/>
      <c r="PH8" s="1"/>
      <c r="PI8" s="1"/>
    </row>
    <row r="9" spans="1:425" x14ac:dyDescent="0.25">
      <c r="A9">
        <v>0.59266963277240481</v>
      </c>
      <c r="B9">
        <v>2.0777925531914893E-5</v>
      </c>
      <c r="C9">
        <v>8.3111702127659595E-7</v>
      </c>
      <c r="D9">
        <v>5</v>
      </c>
      <c r="E9">
        <v>365.30291566070849</v>
      </c>
      <c r="F9">
        <v>3.125</v>
      </c>
      <c r="G9">
        <v>0.15992958723463155</v>
      </c>
      <c r="H9">
        <v>37.310720349999997</v>
      </c>
    </row>
    <row r="10" spans="1:425" x14ac:dyDescent="0.25">
      <c r="A10">
        <v>0.39511308851493648</v>
      </c>
      <c r="B10">
        <v>3.1166888297872338E-5</v>
      </c>
      <c r="C10">
        <v>1.2466755319148938E-6</v>
      </c>
      <c r="D10">
        <v>5</v>
      </c>
      <c r="E10">
        <v>243.53527710713897</v>
      </c>
      <c r="F10">
        <v>3.125</v>
      </c>
      <c r="G10">
        <v>0.10596302769537012</v>
      </c>
      <c r="H10">
        <v>37.080914440000001</v>
      </c>
    </row>
    <row r="11" spans="1:425" x14ac:dyDescent="0.25">
      <c r="A11">
        <v>1.9755654425746831</v>
      </c>
      <c r="B11">
        <v>3.7400265957446807E-6</v>
      </c>
      <c r="C11">
        <v>4.1555851063829797E-7</v>
      </c>
      <c r="D11">
        <v>3</v>
      </c>
      <c r="E11">
        <v>414.31042633598912</v>
      </c>
      <c r="F11">
        <v>3.125</v>
      </c>
      <c r="G11">
        <v>0.45256203836042497</v>
      </c>
      <c r="H11">
        <v>31.67409348</v>
      </c>
    </row>
    <row r="12" spans="1:425" x14ac:dyDescent="0.25">
      <c r="A12">
        <v>0.98778272128734157</v>
      </c>
      <c r="B12">
        <v>7.4800531914893613E-6</v>
      </c>
      <c r="C12">
        <v>8.3111702127659595E-7</v>
      </c>
      <c r="D12">
        <v>3</v>
      </c>
      <c r="E12">
        <v>207.15521316799456</v>
      </c>
      <c r="F12">
        <v>3.125</v>
      </c>
      <c r="G12">
        <v>0.27306509235264947</v>
      </c>
      <c r="H12">
        <v>38.222778439999999</v>
      </c>
    </row>
    <row r="13" spans="1:425" x14ac:dyDescent="0.25">
      <c r="A13">
        <v>0.65852181419156097</v>
      </c>
      <c r="B13">
        <v>1.1220079787234043E-5</v>
      </c>
      <c r="C13">
        <v>1.2466755319148938E-6</v>
      </c>
      <c r="D13">
        <v>3</v>
      </c>
      <c r="E13">
        <v>138.10347544532968</v>
      </c>
      <c r="F13">
        <v>3.125</v>
      </c>
      <c r="G13">
        <v>0.18464608935363144</v>
      </c>
      <c r="H13">
        <v>38.769253710000001</v>
      </c>
    </row>
    <row r="14" spans="1:425" x14ac:dyDescent="0.25">
      <c r="A14">
        <v>1.4816740819310121</v>
      </c>
      <c r="B14">
        <v>6.6489361702127676E-6</v>
      </c>
      <c r="C14">
        <v>4.1555851063829797E-7</v>
      </c>
      <c r="D14">
        <v>4</v>
      </c>
      <c r="E14">
        <v>414.31042633598912</v>
      </c>
      <c r="F14">
        <v>3.125</v>
      </c>
      <c r="G14">
        <v>0.3877733278190153</v>
      </c>
      <c r="H14">
        <v>36.186180290000003</v>
      </c>
    </row>
    <row r="15" spans="1:425" x14ac:dyDescent="0.25">
      <c r="A15">
        <v>0.74083704096550607</v>
      </c>
      <c r="B15">
        <v>1.3297872340425535E-5</v>
      </c>
      <c r="C15">
        <v>8.3111702127659595E-7</v>
      </c>
      <c r="D15">
        <v>4</v>
      </c>
      <c r="E15">
        <v>207.15521316799456</v>
      </c>
      <c r="F15">
        <v>3.125</v>
      </c>
      <c r="G15" s="1">
        <v>0.20556745662619713</v>
      </c>
      <c r="H15" s="1">
        <v>38.366233639999997</v>
      </c>
    </row>
    <row r="16" spans="1:425" x14ac:dyDescent="0.25">
      <c r="A16">
        <v>0.49389136064367067</v>
      </c>
      <c r="B16">
        <v>1.99468085106383E-5</v>
      </c>
      <c r="C16">
        <v>1.2466755319148938E-6</v>
      </c>
      <c r="D16">
        <v>4</v>
      </c>
      <c r="E16">
        <v>138.10347544532971</v>
      </c>
      <c r="F16">
        <v>3.125</v>
      </c>
      <c r="G16">
        <v>0.13724784334252568</v>
      </c>
      <c r="H16">
        <v>38.423028459999998</v>
      </c>
    </row>
    <row r="17" spans="1:8" x14ac:dyDescent="0.25">
      <c r="A17">
        <v>1.1853392655448096</v>
      </c>
      <c r="B17">
        <v>1.0388962765957447E-5</v>
      </c>
      <c r="C17">
        <v>4.1555851063829797E-7</v>
      </c>
      <c r="D17">
        <v>5</v>
      </c>
      <c r="E17">
        <v>414.31042633598901</v>
      </c>
      <c r="F17">
        <v>3.125</v>
      </c>
      <c r="G17">
        <v>0.31967507956509694</v>
      </c>
      <c r="H17" s="1">
        <v>37.289246169999998</v>
      </c>
    </row>
    <row r="18" spans="1:8" x14ac:dyDescent="0.25">
      <c r="A18">
        <v>0.59266963277240481</v>
      </c>
      <c r="B18">
        <v>2.0777925531914893E-5</v>
      </c>
      <c r="C18">
        <v>8.3111702127659595E-7</v>
      </c>
      <c r="D18">
        <v>5</v>
      </c>
      <c r="E18">
        <v>207.1552131679945</v>
      </c>
      <c r="F18">
        <v>3.125</v>
      </c>
      <c r="G18">
        <v>0.16324028558231229</v>
      </c>
      <c r="H18">
        <v>38.083088629999999</v>
      </c>
    </row>
    <row r="19" spans="1:8" x14ac:dyDescent="0.25">
      <c r="A19">
        <v>0.39511308851493648</v>
      </c>
      <c r="B19">
        <v>3.1166888297872338E-5</v>
      </c>
      <c r="C19">
        <v>1.2466755319148938E-6</v>
      </c>
      <c r="D19">
        <v>5</v>
      </c>
      <c r="E19">
        <v>138.10347544532968</v>
      </c>
      <c r="F19">
        <v>3.125</v>
      </c>
      <c r="G19">
        <v>0.10842204566413208</v>
      </c>
      <c r="H19">
        <v>37.941428119999998</v>
      </c>
    </row>
    <row r="20" spans="1:8" x14ac:dyDescent="0.25">
      <c r="A20">
        <v>1.9755654425746831</v>
      </c>
      <c r="B20">
        <v>3.7400265957446807E-6</v>
      </c>
      <c r="C20">
        <v>4.1555851063829797E-7</v>
      </c>
      <c r="D20">
        <v>3</v>
      </c>
      <c r="E20">
        <v>267.09305219889205</v>
      </c>
      <c r="F20">
        <v>3.125</v>
      </c>
      <c r="G20">
        <v>0.43497152107462722</v>
      </c>
      <c r="H20">
        <v>30.4429613</v>
      </c>
    </row>
    <row r="21" spans="1:8" x14ac:dyDescent="0.25">
      <c r="A21">
        <v>0.98778272128734157</v>
      </c>
      <c r="B21">
        <v>7.4800531914893613E-6</v>
      </c>
      <c r="C21">
        <v>8.3111702127659595E-7</v>
      </c>
      <c r="D21">
        <v>3</v>
      </c>
      <c r="E21">
        <v>133.54652609944603</v>
      </c>
      <c r="F21">
        <v>3.125</v>
      </c>
      <c r="G21">
        <v>0.26952708061101177</v>
      </c>
      <c r="H21">
        <v>37.727538869999997</v>
      </c>
    </row>
    <row r="22" spans="1:8" x14ac:dyDescent="0.25">
      <c r="A22">
        <v>0.65852181419156097</v>
      </c>
      <c r="B22">
        <v>1.1220079787234043E-5</v>
      </c>
      <c r="C22">
        <v>1.2466755319148938E-6</v>
      </c>
      <c r="D22">
        <v>3</v>
      </c>
      <c r="E22">
        <v>89.03101739963067</v>
      </c>
      <c r="F22">
        <v>3.125</v>
      </c>
      <c r="G22">
        <v>0.18309027136715258</v>
      </c>
      <c r="H22">
        <v>38.442586069999997</v>
      </c>
    </row>
    <row r="23" spans="1:8" x14ac:dyDescent="0.25">
      <c r="A23">
        <v>1.4816740819310121</v>
      </c>
      <c r="B23">
        <v>6.6489361702127676E-6</v>
      </c>
      <c r="C23">
        <v>4.1555851063829797E-7</v>
      </c>
      <c r="D23">
        <v>4</v>
      </c>
      <c r="E23">
        <v>267.093052198892</v>
      </c>
      <c r="F23">
        <v>3.125</v>
      </c>
      <c r="G23">
        <v>0.3831013811865801</v>
      </c>
      <c r="H23">
        <v>35.750204189999998</v>
      </c>
    </row>
    <row r="24" spans="1:8" x14ac:dyDescent="0.25">
      <c r="A24">
        <v>0.74083704096550607</v>
      </c>
      <c r="B24">
        <v>1.3297872340425535E-5</v>
      </c>
      <c r="C24">
        <v>8.3111702127659595E-7</v>
      </c>
      <c r="D24">
        <v>4</v>
      </c>
      <c r="E24">
        <v>133.546526099446</v>
      </c>
      <c r="F24">
        <v>3.125</v>
      </c>
      <c r="G24">
        <v>0.20524337560517616</v>
      </c>
      <c r="H24">
        <v>38.305748540000003</v>
      </c>
    </row>
    <row r="25" spans="1:8" x14ac:dyDescent="0.25">
      <c r="A25">
        <v>0.49389136064367067</v>
      </c>
      <c r="B25">
        <v>1.99468085106383E-5</v>
      </c>
      <c r="C25">
        <v>1.2466755319148938E-6</v>
      </c>
      <c r="D25">
        <v>4</v>
      </c>
      <c r="E25">
        <v>89.031017399630656</v>
      </c>
      <c r="F25">
        <v>3.125</v>
      </c>
      <c r="G25">
        <v>0.13735174638048478</v>
      </c>
      <c r="H25">
        <v>38.452116490000002</v>
      </c>
    </row>
    <row r="26" spans="1:8" x14ac:dyDescent="0.25">
      <c r="A26">
        <v>1.1853392655448096</v>
      </c>
      <c r="B26">
        <v>1.0388962765957447E-5</v>
      </c>
      <c r="C26">
        <v>4.1555851063829797E-7</v>
      </c>
      <c r="D26">
        <v>5</v>
      </c>
      <c r="E26">
        <v>267.093052198892</v>
      </c>
      <c r="F26">
        <v>3.125</v>
      </c>
      <c r="G26">
        <v>0.31920619847241538</v>
      </c>
      <c r="H26">
        <v>37.234552440000002</v>
      </c>
    </row>
    <row r="27" spans="1:8" x14ac:dyDescent="0.25">
      <c r="A27">
        <v>0.59266963277240481</v>
      </c>
      <c r="B27">
        <v>2.0777925531914893E-5</v>
      </c>
      <c r="C27">
        <v>8.3111702127659595E-7</v>
      </c>
      <c r="D27">
        <v>5</v>
      </c>
      <c r="E27">
        <v>133.546526099446</v>
      </c>
      <c r="F27">
        <v>3.125</v>
      </c>
      <c r="G27">
        <v>0.1640559707826145</v>
      </c>
      <c r="H27">
        <v>38.273383639999999</v>
      </c>
    </row>
    <row r="28" spans="1:8" x14ac:dyDescent="0.25">
      <c r="A28">
        <v>0.39511308851493648</v>
      </c>
      <c r="B28">
        <v>3.1166888297872338E-5</v>
      </c>
      <c r="C28">
        <v>1.2466755319148938E-6</v>
      </c>
      <c r="D28">
        <v>5</v>
      </c>
      <c r="E28">
        <v>89.031017399630656</v>
      </c>
      <c r="F28">
        <v>3.125</v>
      </c>
      <c r="G28">
        <v>0.10910086580044616</v>
      </c>
      <c r="H28">
        <v>38.178975800000003</v>
      </c>
    </row>
    <row r="29" spans="1:8" x14ac:dyDescent="0.25">
      <c r="A29">
        <v>1.829227261643225</v>
      </c>
      <c r="B29">
        <v>3.7400265957446807E-6</v>
      </c>
      <c r="C29">
        <v>5.9840425531914893E-7</v>
      </c>
      <c r="D29">
        <v>2.5</v>
      </c>
      <c r="E29">
        <v>729.18161280968491</v>
      </c>
      <c r="F29">
        <v>3.125</v>
      </c>
      <c r="G29">
        <v>0.45588239308830769</v>
      </c>
      <c r="H29">
        <v>45.945330910000003</v>
      </c>
    </row>
    <row r="30" spans="1:8" x14ac:dyDescent="0.25">
      <c r="A30">
        <v>0.91461363082161251</v>
      </c>
      <c r="B30">
        <v>7.4800531914893613E-6</v>
      </c>
      <c r="C30">
        <v>1.1968085106382979E-6</v>
      </c>
      <c r="D30">
        <v>2.5</v>
      </c>
      <c r="E30">
        <v>364.59080640484245</v>
      </c>
      <c r="F30">
        <v>3.125</v>
      </c>
      <c r="G30">
        <v>0.25583750358038188</v>
      </c>
      <c r="H30">
        <v>51.568294539999997</v>
      </c>
    </row>
    <row r="31" spans="1:8" x14ac:dyDescent="0.25">
      <c r="A31">
        <v>0.60974242054774175</v>
      </c>
      <c r="B31">
        <v>1.1220079787234043E-5</v>
      </c>
      <c r="C31">
        <v>1.7952127659574469E-6</v>
      </c>
      <c r="D31">
        <v>2.5</v>
      </c>
      <c r="E31">
        <v>243.06053760322828</v>
      </c>
      <c r="F31">
        <v>3.125</v>
      </c>
      <c r="G31">
        <v>0.17144484835440796</v>
      </c>
      <c r="H31">
        <v>51.836331540000003</v>
      </c>
    </row>
    <row r="32" spans="1:8" x14ac:dyDescent="0.25">
      <c r="A32">
        <v>1.3719204599516233</v>
      </c>
      <c r="B32">
        <v>6.6489360372340447E-6</v>
      </c>
      <c r="C32">
        <v>5.9840425531914893E-7</v>
      </c>
      <c r="D32">
        <v>3.3333333000000001</v>
      </c>
      <c r="E32">
        <v>729.18161280968491</v>
      </c>
      <c r="F32">
        <v>3.125</v>
      </c>
      <c r="G32">
        <v>0.36696594060772691</v>
      </c>
      <c r="H32">
        <v>49.31204966</v>
      </c>
    </row>
    <row r="33" spans="1:8" x14ac:dyDescent="0.25">
      <c r="A33">
        <v>0.68596022997581163</v>
      </c>
      <c r="B33">
        <v>1.3297872074468089E-5</v>
      </c>
      <c r="C33">
        <v>1.1968085106382979E-6</v>
      </c>
      <c r="D33">
        <v>3.3333333000000001</v>
      </c>
      <c r="E33">
        <v>364.59080640484245</v>
      </c>
      <c r="F33">
        <v>3.125</v>
      </c>
      <c r="G33">
        <v>0.18959238692442446</v>
      </c>
      <c r="H33">
        <v>50.953988719999998</v>
      </c>
    </row>
    <row r="34" spans="1:8" x14ac:dyDescent="0.25">
      <c r="A34">
        <v>0.45730681998387446</v>
      </c>
      <c r="B34">
        <v>1.9946808111702133E-5</v>
      </c>
      <c r="C34">
        <v>1.7952127659574469E-6</v>
      </c>
      <c r="D34">
        <v>3.3333333000000001</v>
      </c>
      <c r="E34">
        <v>243.06053760322831</v>
      </c>
      <c r="F34">
        <v>3.125</v>
      </c>
      <c r="G34">
        <v>0.12597152985318955</v>
      </c>
      <c r="H34">
        <v>50.78330424</v>
      </c>
    </row>
    <row r="35" spans="1:8" x14ac:dyDescent="0.25">
      <c r="A35">
        <v>1.097536374546517</v>
      </c>
      <c r="B35">
        <v>1.038896243351064E-5</v>
      </c>
      <c r="C35">
        <v>5.9840425531914893E-7</v>
      </c>
      <c r="D35">
        <v>4.1666666000000001</v>
      </c>
      <c r="E35">
        <v>729.18161280968479</v>
      </c>
      <c r="F35">
        <v>3.125</v>
      </c>
      <c r="G35">
        <v>0.29642304878383569</v>
      </c>
      <c r="H35">
        <v>49.79081979</v>
      </c>
    </row>
    <row r="36" spans="1:8" x14ac:dyDescent="0.25">
      <c r="A36">
        <v>0.54876818727325849</v>
      </c>
      <c r="B36">
        <v>2.077792486702128E-5</v>
      </c>
      <c r="C36">
        <v>1.1968085106382979E-6</v>
      </c>
      <c r="D36">
        <v>4.1666666000000001</v>
      </c>
      <c r="E36">
        <v>364.5908064048424</v>
      </c>
      <c r="F36">
        <v>3.125</v>
      </c>
      <c r="G36">
        <v>0.14914497363113838</v>
      </c>
      <c r="H36">
        <v>50.104406760000003</v>
      </c>
    </row>
    <row r="37" spans="1:8" x14ac:dyDescent="0.25">
      <c r="A37">
        <v>0.36584545818217235</v>
      </c>
      <c r="B37">
        <v>3.1166887300531924E-5</v>
      </c>
      <c r="C37">
        <v>1.7952127659574469E-6</v>
      </c>
      <c r="D37">
        <v>4.1666666000000001</v>
      </c>
      <c r="E37">
        <v>243.06053760322828</v>
      </c>
      <c r="F37">
        <v>3.125</v>
      </c>
      <c r="G37">
        <v>9.8730334872190809E-2</v>
      </c>
      <c r="H37">
        <v>49.751842830000001</v>
      </c>
    </row>
    <row r="38" spans="1:8" x14ac:dyDescent="0.25">
      <c r="A38">
        <v>1.829227261643225</v>
      </c>
      <c r="B38">
        <v>3.7400265957446807E-6</v>
      </c>
      <c r="C38">
        <v>5.9840425531914893E-7</v>
      </c>
      <c r="D38">
        <v>2.5</v>
      </c>
      <c r="E38">
        <v>413.35837055360355</v>
      </c>
      <c r="F38">
        <v>3.125</v>
      </c>
      <c r="G38">
        <v>0.44828914402874831</v>
      </c>
      <c r="H38">
        <v>45.18005823</v>
      </c>
    </row>
    <row r="39" spans="1:8" x14ac:dyDescent="0.25">
      <c r="A39">
        <v>0.91461363082161251</v>
      </c>
      <c r="B39">
        <v>7.4800531914893613E-6</v>
      </c>
      <c r="C39">
        <v>1.1968085106382979E-6</v>
      </c>
      <c r="D39">
        <v>2.5</v>
      </c>
      <c r="E39">
        <v>206.67918527680177</v>
      </c>
      <c r="F39">
        <v>3.125</v>
      </c>
      <c r="G39">
        <v>0.25625274674052151</v>
      </c>
      <c r="H39">
        <v>51.651993689999998</v>
      </c>
    </row>
    <row r="40" spans="1:8" x14ac:dyDescent="0.25">
      <c r="A40">
        <v>0.60974242054774175</v>
      </c>
      <c r="B40">
        <v>1.1220079787234043E-5</v>
      </c>
      <c r="C40">
        <v>1.7952127659574469E-6</v>
      </c>
      <c r="D40">
        <v>2.5</v>
      </c>
      <c r="E40">
        <v>137.78612351786785</v>
      </c>
      <c r="F40">
        <v>3.125</v>
      </c>
      <c r="G40">
        <v>0.17250774322401255</v>
      </c>
      <c r="H40">
        <v>52.157697689999999</v>
      </c>
    </row>
    <row r="41" spans="1:8" x14ac:dyDescent="0.25">
      <c r="A41">
        <v>1.3719204599516233</v>
      </c>
      <c r="B41">
        <v>6.6489360372340447E-6</v>
      </c>
      <c r="C41">
        <v>5.9840425531914893E-7</v>
      </c>
      <c r="D41">
        <v>3.3333333000000001</v>
      </c>
      <c r="E41">
        <v>413.35837055360355</v>
      </c>
      <c r="F41">
        <v>3.125</v>
      </c>
      <c r="G41">
        <v>0.36793239554875323</v>
      </c>
      <c r="H41">
        <v>49.441919679999998</v>
      </c>
    </row>
    <row r="42" spans="1:8" x14ac:dyDescent="0.25">
      <c r="A42">
        <v>0.68596022997581163</v>
      </c>
      <c r="B42">
        <v>1.3297872074468089E-5</v>
      </c>
      <c r="C42">
        <v>1.1968085106382979E-6</v>
      </c>
      <c r="D42">
        <v>3.3333333000000001</v>
      </c>
      <c r="E42">
        <v>206.67918527680177</v>
      </c>
      <c r="F42">
        <v>3.125</v>
      </c>
      <c r="G42">
        <v>0.19192296147503374</v>
      </c>
      <c r="H42">
        <v>51.58034335</v>
      </c>
    </row>
    <row r="43" spans="1:8" x14ac:dyDescent="0.25">
      <c r="A43">
        <v>0.45730681998387446</v>
      </c>
      <c r="B43">
        <v>1.9946808111702133E-5</v>
      </c>
      <c r="C43">
        <v>1.7952127659574469E-6</v>
      </c>
      <c r="D43">
        <v>3.3333333000000001</v>
      </c>
      <c r="E43">
        <v>137.78612351786785</v>
      </c>
      <c r="F43">
        <v>3.125</v>
      </c>
      <c r="G43">
        <v>0.12787655934638831</v>
      </c>
      <c r="H43">
        <v>51.551284850000002</v>
      </c>
    </row>
    <row r="44" spans="1:8" x14ac:dyDescent="0.25">
      <c r="A44">
        <v>1.097536374546517</v>
      </c>
      <c r="B44">
        <v>1.038896243351064E-5</v>
      </c>
      <c r="C44">
        <v>5.9840425531914893E-7</v>
      </c>
      <c r="D44">
        <v>4.1666666000000001</v>
      </c>
      <c r="E44">
        <v>413.35837055360355</v>
      </c>
      <c r="F44">
        <v>3.125</v>
      </c>
      <c r="G44">
        <v>0.30020397444346292</v>
      </c>
      <c r="H44">
        <v>50.425910039999998</v>
      </c>
    </row>
    <row r="45" spans="1:8" x14ac:dyDescent="0.25">
      <c r="A45">
        <v>0.54876818727325849</v>
      </c>
      <c r="B45">
        <v>2.077792486702128E-5</v>
      </c>
      <c r="C45">
        <v>1.1968085106382979E-6</v>
      </c>
      <c r="D45">
        <v>4.1666666000000001</v>
      </c>
      <c r="E45">
        <v>206.67918527680177</v>
      </c>
      <c r="F45">
        <v>3.125</v>
      </c>
      <c r="G45">
        <v>0.15210036043381103</v>
      </c>
      <c r="H45">
        <v>51.097252169999997</v>
      </c>
    </row>
    <row r="46" spans="1:8" x14ac:dyDescent="0.25">
      <c r="A46">
        <v>0.36584545818217235</v>
      </c>
      <c r="B46">
        <v>3.1166887300531924E-5</v>
      </c>
      <c r="C46">
        <v>1.7952127659574469E-6</v>
      </c>
      <c r="D46">
        <v>4.1666666000000001</v>
      </c>
      <c r="E46">
        <v>137.78612351786785</v>
      </c>
      <c r="F46">
        <v>3.125</v>
      </c>
      <c r="G46">
        <v>0.10090030897134429</v>
      </c>
      <c r="H46">
        <v>50.845328539999997</v>
      </c>
    </row>
    <row r="47" spans="1:8" x14ac:dyDescent="0.25">
      <c r="A47">
        <v>1.829227261643225</v>
      </c>
      <c r="B47">
        <v>3.7400265957446807E-6</v>
      </c>
      <c r="C47">
        <v>5.9840425531914893E-7</v>
      </c>
      <c r="D47">
        <v>2.5</v>
      </c>
      <c r="E47">
        <v>266.39644432848951</v>
      </c>
      <c r="F47">
        <v>3.125</v>
      </c>
      <c r="G47">
        <v>0.43476148426797012</v>
      </c>
      <c r="H47">
        <v>43.816696069999999</v>
      </c>
    </row>
    <row r="48" spans="1:8" x14ac:dyDescent="0.25">
      <c r="A48">
        <v>0.91461363082161251</v>
      </c>
      <c r="B48">
        <v>7.4800531914893613E-6</v>
      </c>
      <c r="C48">
        <v>1.1968085106382979E-6</v>
      </c>
      <c r="D48">
        <v>2.5</v>
      </c>
      <c r="E48">
        <v>133.19822216424475</v>
      </c>
      <c r="F48">
        <v>3.125</v>
      </c>
      <c r="G48">
        <v>0.25353107483226062</v>
      </c>
      <c r="H48">
        <v>51.103395550000002</v>
      </c>
    </row>
    <row r="49" spans="1:8" x14ac:dyDescent="0.25">
      <c r="A49">
        <v>0.60974242054774175</v>
      </c>
      <c r="B49">
        <v>1.1220079787234043E-5</v>
      </c>
      <c r="C49">
        <v>1.7952127659574469E-6</v>
      </c>
      <c r="D49">
        <v>2.5</v>
      </c>
      <c r="E49">
        <v>88.798814776163169</v>
      </c>
      <c r="F49">
        <v>3.125</v>
      </c>
      <c r="G49">
        <v>0.17132639096169899</v>
      </c>
      <c r="H49">
        <v>51.800515959999998</v>
      </c>
    </row>
    <row r="50" spans="1:8" x14ac:dyDescent="0.25">
      <c r="A50">
        <v>1.3719204599516233</v>
      </c>
      <c r="B50">
        <v>6.6489360372340447E-6</v>
      </c>
      <c r="C50">
        <v>5.9840425531914893E-7</v>
      </c>
      <c r="D50">
        <v>3.3333333000000001</v>
      </c>
      <c r="E50">
        <v>266.39644432848951</v>
      </c>
      <c r="F50">
        <v>3.125</v>
      </c>
      <c r="G50">
        <v>0.36451659849691304</v>
      </c>
      <c r="H50">
        <v>48.982912630000001</v>
      </c>
    </row>
    <row r="51" spans="1:8" x14ac:dyDescent="0.25">
      <c r="A51">
        <v>0.68596022997581163</v>
      </c>
      <c r="B51">
        <v>1.3297872074468089E-5</v>
      </c>
      <c r="C51">
        <v>1.1968085106382979E-6</v>
      </c>
      <c r="D51">
        <v>3.3333333000000001</v>
      </c>
      <c r="E51">
        <v>133.19822216424475</v>
      </c>
      <c r="F51">
        <v>3.125</v>
      </c>
      <c r="G51">
        <v>0.1918059574511089</v>
      </c>
      <c r="H51">
        <v>51.548897879999998</v>
      </c>
    </row>
    <row r="52" spans="1:8" x14ac:dyDescent="0.25">
      <c r="A52">
        <v>0.45730681998387446</v>
      </c>
      <c r="B52">
        <v>1.9946808111702133E-5</v>
      </c>
      <c r="C52">
        <v>1.7952127659574469E-6</v>
      </c>
      <c r="D52">
        <v>3.3333333000000001</v>
      </c>
      <c r="E52">
        <v>88.798814776163184</v>
      </c>
      <c r="F52">
        <v>3.125</v>
      </c>
      <c r="G52">
        <v>0.12803410494700954</v>
      </c>
      <c r="H52">
        <v>51.61479671</v>
      </c>
    </row>
    <row r="53" spans="1:8" x14ac:dyDescent="0.25">
      <c r="A53">
        <v>1.097536374546517</v>
      </c>
      <c r="B53">
        <v>1.038896243351064E-5</v>
      </c>
      <c r="C53">
        <v>5.9840425531914893E-7</v>
      </c>
      <c r="D53">
        <v>4.1666666000000001</v>
      </c>
      <c r="E53">
        <v>266.39644432848945</v>
      </c>
      <c r="F53">
        <v>3.125</v>
      </c>
      <c r="G53">
        <v>0.300151487293224</v>
      </c>
      <c r="H53">
        <v>50.417093659999999</v>
      </c>
    </row>
    <row r="54" spans="1:8" x14ac:dyDescent="0.25">
      <c r="A54">
        <v>0.54876818727325849</v>
      </c>
      <c r="B54">
        <v>2.077792486702128E-5</v>
      </c>
      <c r="C54">
        <v>1.1968085106382979E-6</v>
      </c>
      <c r="D54">
        <v>4.1666666000000001</v>
      </c>
      <c r="E54">
        <v>133.19822216424473</v>
      </c>
      <c r="F54">
        <v>3.125</v>
      </c>
      <c r="G54">
        <v>0.15288879135574535</v>
      </c>
      <c r="H54">
        <v>51.36212106</v>
      </c>
    </row>
    <row r="55" spans="1:8" x14ac:dyDescent="0.25">
      <c r="A55">
        <v>0.36584545818217235</v>
      </c>
      <c r="B55">
        <v>3.1166887300531924E-5</v>
      </c>
      <c r="C55">
        <v>1.7952127659574469E-6</v>
      </c>
      <c r="D55">
        <v>4.1666666000000001</v>
      </c>
      <c r="E55">
        <v>88.798814776163155</v>
      </c>
      <c r="F55">
        <v>3.125</v>
      </c>
      <c r="G55">
        <v>0.10151623238771129</v>
      </c>
      <c r="H55">
        <v>51.155702499999997</v>
      </c>
    </row>
    <row r="56" spans="1:8" x14ac:dyDescent="0.25">
      <c r="A56">
        <v>1.0032597404293342</v>
      </c>
      <c r="B56">
        <v>3.7750144591090596E-6</v>
      </c>
      <c r="C56">
        <v>8.1449468085106394E-7</v>
      </c>
      <c r="D56">
        <v>2.152857</v>
      </c>
      <c r="E56">
        <v>720.12145193420656</v>
      </c>
      <c r="F56">
        <v>3.125</v>
      </c>
      <c r="G56">
        <v>0.28449703184228442</v>
      </c>
      <c r="H56" s="1">
        <v>39.208646260000002</v>
      </c>
    </row>
    <row r="57" spans="1:8" x14ac:dyDescent="0.25">
      <c r="A57">
        <v>0.5016298702146671</v>
      </c>
      <c r="B57">
        <v>7.5500289182181192E-6</v>
      </c>
      <c r="C57">
        <v>1.6289893617021279E-6</v>
      </c>
      <c r="D57">
        <v>2.152857</v>
      </c>
      <c r="E57">
        <v>360.06072596710328</v>
      </c>
      <c r="F57">
        <v>3.125</v>
      </c>
      <c r="G57" s="1">
        <v>0.14273162100416587</v>
      </c>
      <c r="H57">
        <v>39.341806849999998</v>
      </c>
    </row>
    <row r="58" spans="1:8" x14ac:dyDescent="0.25">
      <c r="A58">
        <v>0.33441991347644473</v>
      </c>
      <c r="B58">
        <v>1.1325043377327179E-5</v>
      </c>
      <c r="C58">
        <v>2.4434840425531916E-6</v>
      </c>
      <c r="D58">
        <v>2.152857</v>
      </c>
      <c r="E58">
        <v>240.04048397806883</v>
      </c>
      <c r="F58">
        <v>3.125</v>
      </c>
      <c r="G58">
        <v>9.445887951740313E-2</v>
      </c>
      <c r="H58" s="1">
        <v>39.054236549999999</v>
      </c>
    </row>
    <row r="59" spans="1:8" x14ac:dyDescent="0.25">
      <c r="A59">
        <v>0.7533195083054719</v>
      </c>
      <c r="B59">
        <v>6.6955608400931009E-6</v>
      </c>
      <c r="C59">
        <v>8.1449468085106394E-7</v>
      </c>
      <c r="D59">
        <v>2.867143</v>
      </c>
      <c r="E59">
        <v>720.12145193420656</v>
      </c>
      <c r="F59">
        <v>3.125</v>
      </c>
      <c r="G59">
        <v>0.21218658443192082</v>
      </c>
      <c r="H59">
        <v>38.945402870000002</v>
      </c>
    </row>
    <row r="60" spans="1:8" x14ac:dyDescent="0.25">
      <c r="A60">
        <v>0.37665975415273595</v>
      </c>
      <c r="B60">
        <v>1.3391121680186202E-5</v>
      </c>
      <c r="C60">
        <v>1.6289893617021279E-6</v>
      </c>
      <c r="D60">
        <v>2.867143</v>
      </c>
      <c r="E60">
        <v>360.06072596710328</v>
      </c>
      <c r="F60">
        <v>3.125</v>
      </c>
      <c r="G60">
        <v>0.10505531170799187</v>
      </c>
      <c r="H60">
        <v>38.564374360000002</v>
      </c>
    </row>
    <row r="61" spans="1:8" x14ac:dyDescent="0.25">
      <c r="A61">
        <v>0.25110650276849067</v>
      </c>
      <c r="B61">
        <v>2.0086682520279301E-5</v>
      </c>
      <c r="C61">
        <v>2.4434840425531916E-6</v>
      </c>
      <c r="D61">
        <v>2.867143</v>
      </c>
      <c r="E61">
        <v>240.04048397806886</v>
      </c>
      <c r="F61">
        <v>3.125</v>
      </c>
      <c r="G61">
        <v>6.9275261602389587E-2</v>
      </c>
      <c r="H61">
        <v>38.145007790000001</v>
      </c>
    </row>
    <row r="62" spans="1:8" x14ac:dyDescent="0.25">
      <c r="A62">
        <v>0.60307624554374106</v>
      </c>
      <c r="B62">
        <v>1.0447224907247491E-5</v>
      </c>
      <c r="C62">
        <v>8.1449468085106394E-7</v>
      </c>
      <c r="D62">
        <v>3.581429</v>
      </c>
      <c r="E62">
        <v>720.12145193420645</v>
      </c>
      <c r="F62">
        <v>3.125</v>
      </c>
      <c r="G62">
        <v>0.16783232824523148</v>
      </c>
      <c r="H62">
        <v>38.478744200000001</v>
      </c>
    </row>
    <row r="63" spans="1:8" x14ac:dyDescent="0.25">
      <c r="A63">
        <v>0.30153812277187053</v>
      </c>
      <c r="B63">
        <v>2.0894449814494981E-5</v>
      </c>
      <c r="C63">
        <v>1.6289893617021279E-6</v>
      </c>
      <c r="D63">
        <v>3.581429</v>
      </c>
      <c r="E63">
        <v>360.06072596710322</v>
      </c>
      <c r="F63">
        <v>3.125</v>
      </c>
      <c r="G63">
        <v>8.2579530488303549E-2</v>
      </c>
      <c r="H63">
        <v>37.865846980000001</v>
      </c>
    </row>
    <row r="64" spans="1:8" x14ac:dyDescent="0.25">
      <c r="A64">
        <v>0.201025415181247</v>
      </c>
      <c r="B64">
        <v>3.134167472174247E-5</v>
      </c>
      <c r="C64">
        <v>2.4434840425531916E-6</v>
      </c>
      <c r="D64">
        <v>3.581429</v>
      </c>
      <c r="E64">
        <v>240.04048397806883</v>
      </c>
      <c r="F64">
        <v>3.125</v>
      </c>
      <c r="G64">
        <v>5.431283428847658E-2</v>
      </c>
      <c r="H64">
        <v>37.356741919999997</v>
      </c>
    </row>
    <row r="65" spans="1:8" x14ac:dyDescent="0.25">
      <c r="A65">
        <v>1.0032597404293342</v>
      </c>
      <c r="B65">
        <v>3.7750144591090596E-6</v>
      </c>
      <c r="C65">
        <v>8.1449468085106394E-7</v>
      </c>
      <c r="D65">
        <v>2.152857</v>
      </c>
      <c r="E65">
        <v>407.30187116128036</v>
      </c>
      <c r="F65">
        <v>3.125</v>
      </c>
      <c r="G65">
        <v>0.28488594908446369</v>
      </c>
      <c r="H65">
        <v>39.262245829999998</v>
      </c>
    </row>
    <row r="66" spans="1:8" x14ac:dyDescent="0.25">
      <c r="A66">
        <v>0.5016298702146671</v>
      </c>
      <c r="B66">
        <v>7.5500289182181192E-6</v>
      </c>
      <c r="C66">
        <v>1.6289893617021279E-6</v>
      </c>
      <c r="D66">
        <v>2.152857</v>
      </c>
      <c r="E66">
        <v>203.65093558064018</v>
      </c>
      <c r="F66">
        <v>3.125</v>
      </c>
      <c r="G66">
        <v>0.14365680028967526</v>
      </c>
      <c r="H66">
        <v>39.596818489999997</v>
      </c>
    </row>
    <row r="67" spans="1:8" x14ac:dyDescent="0.25">
      <c r="A67">
        <v>0.33441991347644473</v>
      </c>
      <c r="B67">
        <v>1.1325043377327179E-5</v>
      </c>
      <c r="C67">
        <v>2.4434840425531916E-6</v>
      </c>
      <c r="D67">
        <v>2.152857</v>
      </c>
      <c r="E67">
        <v>135.76729038709345</v>
      </c>
      <c r="F67">
        <v>3.125</v>
      </c>
      <c r="G67">
        <v>9.5209745107724369E-2</v>
      </c>
      <c r="H67">
        <v>39.364683620000001</v>
      </c>
    </row>
    <row r="68" spans="1:8" x14ac:dyDescent="0.25">
      <c r="A68">
        <v>0.7533195083054719</v>
      </c>
      <c r="B68">
        <v>6.6955608400931009E-6</v>
      </c>
      <c r="C68">
        <v>8.1449468085106394E-7</v>
      </c>
      <c r="D68">
        <v>2.867143</v>
      </c>
      <c r="E68">
        <v>407.30187116128042</v>
      </c>
      <c r="F68">
        <v>3.125</v>
      </c>
      <c r="G68">
        <v>0.21383201512191488</v>
      </c>
      <c r="H68">
        <v>39.247410469999998</v>
      </c>
    </row>
    <row r="69" spans="1:8" x14ac:dyDescent="0.25">
      <c r="A69">
        <v>0.37665975415273595</v>
      </c>
      <c r="B69">
        <v>1.3391121680186202E-5</v>
      </c>
      <c r="C69">
        <v>1.6289893617021279E-6</v>
      </c>
      <c r="D69">
        <v>2.867143</v>
      </c>
      <c r="E69">
        <v>203.65093558064021</v>
      </c>
      <c r="F69">
        <v>3.125</v>
      </c>
      <c r="G69">
        <v>0.1062283123156799</v>
      </c>
      <c r="H69">
        <v>38.994966910000002</v>
      </c>
    </row>
    <row r="70" spans="1:8" x14ac:dyDescent="0.25">
      <c r="A70">
        <v>0.25110650276849067</v>
      </c>
      <c r="B70">
        <v>2.0086682520279301E-5</v>
      </c>
      <c r="C70">
        <v>2.4434840425531916E-6</v>
      </c>
      <c r="D70">
        <v>2.867143</v>
      </c>
      <c r="E70">
        <v>135.76729038709348</v>
      </c>
      <c r="F70">
        <v>3.125</v>
      </c>
      <c r="G70">
        <v>7.0143501999400309E-2</v>
      </c>
      <c r="H70">
        <v>38.623086630000003</v>
      </c>
    </row>
    <row r="71" spans="1:8" x14ac:dyDescent="0.25">
      <c r="A71">
        <v>0.60307624554374106</v>
      </c>
      <c r="B71">
        <v>1.0447224907247491E-5</v>
      </c>
      <c r="C71">
        <v>8.1449468085106394E-7</v>
      </c>
      <c r="D71">
        <v>3.581429</v>
      </c>
      <c r="E71">
        <v>407.3018711612803</v>
      </c>
      <c r="F71">
        <v>3.125</v>
      </c>
      <c r="G71">
        <v>0.16986722258813866</v>
      </c>
      <c r="H71">
        <v>38.945282319999997</v>
      </c>
    </row>
    <row r="72" spans="1:8" x14ac:dyDescent="0.25">
      <c r="A72">
        <v>0.30153812277187053</v>
      </c>
      <c r="B72">
        <v>2.0894449814494981E-5</v>
      </c>
      <c r="C72">
        <v>1.6289893617021279E-6</v>
      </c>
      <c r="D72">
        <v>3.581429</v>
      </c>
      <c r="E72">
        <v>203.65093558064015</v>
      </c>
      <c r="F72">
        <v>3.125</v>
      </c>
      <c r="G72">
        <v>8.3830622693163784E-2</v>
      </c>
      <c r="H72">
        <v>38.439520209999998</v>
      </c>
    </row>
    <row r="73" spans="1:8" x14ac:dyDescent="0.25">
      <c r="A73">
        <v>0.201025415181247</v>
      </c>
      <c r="B73">
        <v>3.134167472174247E-5</v>
      </c>
      <c r="C73">
        <v>2.4434840425531916E-6</v>
      </c>
      <c r="D73">
        <v>3.581429</v>
      </c>
      <c r="E73">
        <v>135.76729038709345</v>
      </c>
      <c r="F73">
        <v>3.125</v>
      </c>
      <c r="G73">
        <v>5.5206213148607797E-2</v>
      </c>
      <c r="H73">
        <v>37.971214060000001</v>
      </c>
    </row>
    <row r="74" spans="1:8" x14ac:dyDescent="0.25">
      <c r="A74">
        <v>1.0032597404293342</v>
      </c>
      <c r="B74">
        <v>3.7750144591090596E-6</v>
      </c>
      <c r="C74">
        <v>8.1449468085106394E-7</v>
      </c>
      <c r="D74">
        <v>2.152857</v>
      </c>
      <c r="E74">
        <v>261.96497589792284</v>
      </c>
      <c r="F74">
        <v>3.125</v>
      </c>
      <c r="G74">
        <v>0.28340846972474576</v>
      </c>
      <c r="H74">
        <v>39.058623439999998</v>
      </c>
    </row>
    <row r="75" spans="1:8" x14ac:dyDescent="0.25">
      <c r="A75">
        <v>0.5016298702146671</v>
      </c>
      <c r="B75">
        <v>7.5500289182181192E-6</v>
      </c>
      <c r="C75">
        <v>1.6289893617021279E-6</v>
      </c>
      <c r="D75">
        <v>2.152857</v>
      </c>
      <c r="E75">
        <v>130.98248794896142</v>
      </c>
      <c r="F75">
        <v>3.125</v>
      </c>
      <c r="G75">
        <v>0.14348157577589252</v>
      </c>
      <c r="H75">
        <v>39.548520510000003</v>
      </c>
    </row>
    <row r="76" spans="1:8" x14ac:dyDescent="0.25">
      <c r="A76">
        <v>0.33441991347644473</v>
      </c>
      <c r="B76">
        <v>1.1325043377327179E-5</v>
      </c>
      <c r="C76">
        <v>2.4434840425531916E-6</v>
      </c>
      <c r="D76">
        <v>2.152857</v>
      </c>
      <c r="E76">
        <v>87.321658632640947</v>
      </c>
      <c r="F76">
        <v>3.125</v>
      </c>
      <c r="G76">
        <v>9.5139263740673413E-2</v>
      </c>
      <c r="H76">
        <v>39.335542940000003</v>
      </c>
    </row>
    <row r="77" spans="1:8" x14ac:dyDescent="0.25">
      <c r="A77">
        <v>0.7533195083054719</v>
      </c>
      <c r="B77">
        <v>6.6955608400931009E-6</v>
      </c>
      <c r="C77">
        <v>8.1449468085106394E-7</v>
      </c>
      <c r="D77">
        <v>2.867143</v>
      </c>
      <c r="E77">
        <v>261.96497589792284</v>
      </c>
      <c r="F77">
        <v>3.125</v>
      </c>
      <c r="G77">
        <v>0.21405348392007206</v>
      </c>
      <c r="H77">
        <v>39.288059560000001</v>
      </c>
    </row>
    <row r="78" spans="1:8" x14ac:dyDescent="0.25">
      <c r="A78">
        <v>0.37665975415273595</v>
      </c>
      <c r="B78">
        <v>1.3391121680186202E-5</v>
      </c>
      <c r="C78">
        <v>1.6289893617021279E-6</v>
      </c>
      <c r="D78">
        <v>2.867143</v>
      </c>
      <c r="E78">
        <v>130.98248794896142</v>
      </c>
      <c r="F78">
        <v>3.125</v>
      </c>
      <c r="G78">
        <v>0.10652462973610603</v>
      </c>
      <c r="H78">
        <v>39.103740999999999</v>
      </c>
    </row>
    <row r="79" spans="1:8" x14ac:dyDescent="0.25">
      <c r="A79">
        <v>0.25110650276849067</v>
      </c>
      <c r="B79">
        <v>2.0086682520279301E-5</v>
      </c>
      <c r="C79">
        <v>2.4434840425531916E-6</v>
      </c>
      <c r="D79">
        <v>2.867143</v>
      </c>
      <c r="E79">
        <v>87.321658632640961</v>
      </c>
      <c r="F79">
        <v>3.125</v>
      </c>
      <c r="G79">
        <v>7.0331187541307072E-2</v>
      </c>
      <c r="H79">
        <v>38.726431839999996</v>
      </c>
    </row>
    <row r="80" spans="1:8" x14ac:dyDescent="0.25">
      <c r="A80">
        <v>0.60307624554374106</v>
      </c>
      <c r="B80">
        <v>1.0447224907247491E-5</v>
      </c>
      <c r="C80">
        <v>8.1449468085106394E-7</v>
      </c>
      <c r="D80">
        <v>3.581429</v>
      </c>
      <c r="E80">
        <v>261.96497589792284</v>
      </c>
      <c r="F80">
        <v>3.125</v>
      </c>
      <c r="G80">
        <v>0.17061932346649628</v>
      </c>
      <c r="H80">
        <v>39.117715709999999</v>
      </c>
    </row>
    <row r="81" spans="1:8" x14ac:dyDescent="0.25">
      <c r="A81">
        <v>0.30153812277187053</v>
      </c>
      <c r="B81">
        <v>2.0894449814494981E-5</v>
      </c>
      <c r="C81">
        <v>1.6289893617021279E-6</v>
      </c>
      <c r="D81">
        <v>3.581429</v>
      </c>
      <c r="E81">
        <v>130.98248794896142</v>
      </c>
      <c r="F81">
        <v>3.125</v>
      </c>
      <c r="G81">
        <v>8.4279200240387153E-2</v>
      </c>
      <c r="H81">
        <v>38.645210030000001</v>
      </c>
    </row>
    <row r="82" spans="1:8" x14ac:dyDescent="0.25">
      <c r="A82">
        <v>0.201025415181247</v>
      </c>
      <c r="B82">
        <v>3.134167472174247E-5</v>
      </c>
      <c r="C82">
        <v>2.4434840425531916E-6</v>
      </c>
      <c r="D82">
        <v>3.581429</v>
      </c>
      <c r="E82">
        <v>87.321658632640947</v>
      </c>
      <c r="F82">
        <v>3.125</v>
      </c>
      <c r="G82">
        <v>5.5487022589972054E-2</v>
      </c>
      <c r="H82">
        <v>38.164356730000002</v>
      </c>
    </row>
    <row r="83" spans="1:8" x14ac:dyDescent="0.25">
      <c r="A83">
        <v>1.3439221593735065</v>
      </c>
      <c r="B83">
        <v>3.740026097074485E-6</v>
      </c>
      <c r="C83">
        <v>8.1449468085106394E-7</v>
      </c>
      <c r="D83">
        <v>2.1428569999999998</v>
      </c>
      <c r="E83">
        <v>724.09221539783198</v>
      </c>
      <c r="F83">
        <v>3.125</v>
      </c>
      <c r="G83">
        <v>0.37060506501701146</v>
      </c>
      <c r="H83">
        <v>50.838586280000001</v>
      </c>
    </row>
    <row r="84" spans="1:8" x14ac:dyDescent="0.25">
      <c r="A84">
        <v>0.67196107968675323</v>
      </c>
      <c r="B84">
        <v>7.48005219414897E-6</v>
      </c>
      <c r="C84">
        <v>1.6289893617021279E-6</v>
      </c>
      <c r="D84">
        <v>2.1428569999999998</v>
      </c>
      <c r="E84">
        <v>362.04610769891599</v>
      </c>
      <c r="F84">
        <v>3.125</v>
      </c>
      <c r="G84">
        <v>0.19117445787084347</v>
      </c>
      <c r="H84">
        <v>52.449575510000003</v>
      </c>
    </row>
    <row r="85" spans="1:8" x14ac:dyDescent="0.25">
      <c r="A85">
        <v>0.44797405312450211</v>
      </c>
      <c r="B85">
        <v>1.1220078291223454E-5</v>
      </c>
      <c r="C85">
        <v>2.4434840425531916E-6</v>
      </c>
      <c r="D85">
        <v>2.1428569999999998</v>
      </c>
      <c r="E85">
        <v>241.3640717992773</v>
      </c>
      <c r="F85">
        <v>3.125</v>
      </c>
      <c r="G85">
        <v>0.1270616475889659</v>
      </c>
      <c r="H85">
        <v>52.289904890000003</v>
      </c>
    </row>
    <row r="86" spans="1:8" x14ac:dyDescent="0.25">
      <c r="A86">
        <v>1.0079415019369466</v>
      </c>
      <c r="B86">
        <v>6.6489368351063999E-6</v>
      </c>
      <c r="C86">
        <v>8.1449468085106394E-7</v>
      </c>
      <c r="D86">
        <v>2.8571430000000002</v>
      </c>
      <c r="E86">
        <v>724.09221539783175</v>
      </c>
      <c r="F86">
        <v>3.125</v>
      </c>
      <c r="G86">
        <v>0.28097821157027258</v>
      </c>
      <c r="H86">
        <v>51.391766480000001</v>
      </c>
    </row>
    <row r="87" spans="1:8" x14ac:dyDescent="0.25">
      <c r="A87">
        <v>0.50397075096847332</v>
      </c>
      <c r="B87">
        <v>1.32978736702128E-5</v>
      </c>
      <c r="C87">
        <v>1.6289893617021279E-6</v>
      </c>
      <c r="D87">
        <v>2.8571430000000002</v>
      </c>
      <c r="E87">
        <v>362.04610769891588</v>
      </c>
      <c r="F87">
        <v>3.125</v>
      </c>
      <c r="G87">
        <v>0.14081582489276614</v>
      </c>
      <c r="H87">
        <v>51.511282309999999</v>
      </c>
    </row>
    <row r="88" spans="1:8" x14ac:dyDescent="0.25">
      <c r="A88">
        <v>0.33598050064564888</v>
      </c>
      <c r="B88">
        <v>1.99468105053192E-5</v>
      </c>
      <c r="C88">
        <v>2.4434840425531916E-6</v>
      </c>
      <c r="D88">
        <v>2.8571430000000002</v>
      </c>
      <c r="E88">
        <v>241.36407179927727</v>
      </c>
      <c r="F88">
        <v>3.125</v>
      </c>
      <c r="G88">
        <v>9.3171170904658762E-2</v>
      </c>
      <c r="H88">
        <v>51.123868620000003</v>
      </c>
    </row>
    <row r="89" spans="1:8" x14ac:dyDescent="0.25">
      <c r="A89">
        <v>0.80635314510484002</v>
      </c>
      <c r="B89">
        <v>1.038896525930866E-5</v>
      </c>
      <c r="C89">
        <v>8.1449468085106394E-7</v>
      </c>
      <c r="D89">
        <v>3.5714290000000002</v>
      </c>
      <c r="E89">
        <v>724.09221539783175</v>
      </c>
      <c r="F89">
        <v>3.125</v>
      </c>
      <c r="G89">
        <v>0.22319319569391957</v>
      </c>
      <c r="H89">
        <v>51.0283935</v>
      </c>
    </row>
    <row r="90" spans="1:8" x14ac:dyDescent="0.25">
      <c r="A90">
        <v>0.40317657255242001</v>
      </c>
      <c r="B90">
        <v>2.077793051861732E-5</v>
      </c>
      <c r="C90">
        <v>1.6289893617021279E-6</v>
      </c>
      <c r="D90">
        <v>3.5714290000000002</v>
      </c>
      <c r="E90">
        <v>362.04610769891588</v>
      </c>
      <c r="F90">
        <v>3.125</v>
      </c>
      <c r="G90">
        <v>0.11064393531830967</v>
      </c>
      <c r="H90">
        <v>50.592781309999999</v>
      </c>
    </row>
    <row r="91" spans="1:8" x14ac:dyDescent="0.25">
      <c r="A91">
        <v>0.2687843817016134</v>
      </c>
      <c r="B91">
        <v>3.1166895777925976E-5</v>
      </c>
      <c r="C91">
        <v>2.4434840425531916E-6</v>
      </c>
      <c r="D91">
        <v>3.5714290000000002</v>
      </c>
      <c r="E91">
        <v>241.36407179927733</v>
      </c>
      <c r="F91">
        <v>3.125</v>
      </c>
      <c r="G91">
        <v>7.3021082059909787E-2</v>
      </c>
      <c r="H91">
        <v>50.084168079999998</v>
      </c>
    </row>
    <row r="92" spans="1:8" x14ac:dyDescent="0.25">
      <c r="A92">
        <v>1.3439221593735065</v>
      </c>
      <c r="B92">
        <v>3.740026097074485E-6</v>
      </c>
      <c r="C92">
        <v>8.1449468085106394E-7</v>
      </c>
      <c r="D92">
        <v>2.1428569999999998</v>
      </c>
      <c r="E92">
        <v>409.95623092762804</v>
      </c>
      <c r="F92">
        <v>3.125</v>
      </c>
      <c r="G92">
        <v>0.36919044838064752</v>
      </c>
      <c r="H92">
        <v>50.64453305</v>
      </c>
    </row>
    <row r="93" spans="1:8" x14ac:dyDescent="0.25">
      <c r="A93">
        <v>0.67196107968675323</v>
      </c>
      <c r="B93">
        <v>7.48005219414897E-6</v>
      </c>
      <c r="C93">
        <v>1.6289893617021279E-6</v>
      </c>
      <c r="D93">
        <v>2.1428569999999998</v>
      </c>
      <c r="E93">
        <v>204.97811546381402</v>
      </c>
      <c r="F93">
        <v>3.125</v>
      </c>
      <c r="G93">
        <v>0.19211553631741238</v>
      </c>
      <c r="H93">
        <v>52.70776463</v>
      </c>
    </row>
    <row r="94" spans="1:8" x14ac:dyDescent="0.25">
      <c r="A94">
        <v>0.44797405312450211</v>
      </c>
      <c r="B94">
        <v>1.1220078291223454E-5</v>
      </c>
      <c r="C94">
        <v>2.4434840425531916E-6</v>
      </c>
      <c r="D94">
        <v>2.1428569999999998</v>
      </c>
      <c r="E94">
        <v>136.65207697587599</v>
      </c>
      <c r="F94">
        <v>3.125</v>
      </c>
      <c r="G94">
        <v>0.12799804773331247</v>
      </c>
      <c r="H94">
        <v>52.675263299999997</v>
      </c>
    </row>
    <row r="95" spans="1:8" x14ac:dyDescent="0.25">
      <c r="A95">
        <v>1.0079415019369466</v>
      </c>
      <c r="B95">
        <v>6.6489368351063999E-6</v>
      </c>
      <c r="C95">
        <v>8.1449468085106394E-7</v>
      </c>
      <c r="D95">
        <v>2.8571430000000002</v>
      </c>
      <c r="E95">
        <v>409.95623092762798</v>
      </c>
      <c r="F95">
        <v>3.125</v>
      </c>
      <c r="G95">
        <v>0.28276360516710497</v>
      </c>
      <c r="H95">
        <v>51.718320380000002</v>
      </c>
    </row>
    <row r="96" spans="1:8" x14ac:dyDescent="0.25">
      <c r="A96">
        <v>0.50397075096847332</v>
      </c>
      <c r="B96">
        <v>1.32978736702128E-5</v>
      </c>
      <c r="C96">
        <v>1.6289893617021279E-6</v>
      </c>
      <c r="D96">
        <v>2.8571430000000002</v>
      </c>
      <c r="E96">
        <v>204.97811546381399</v>
      </c>
      <c r="F96">
        <v>3.125</v>
      </c>
      <c r="G96">
        <v>0.14246231335559759</v>
      </c>
      <c r="H96">
        <v>52.113577769999999</v>
      </c>
    </row>
    <row r="97" spans="1:8" x14ac:dyDescent="0.25">
      <c r="A97">
        <v>0.33598050064564888</v>
      </c>
      <c r="B97">
        <v>1.99468105053192E-5</v>
      </c>
      <c r="C97">
        <v>2.4434840425531916E-6</v>
      </c>
      <c r="D97">
        <v>2.8571430000000002</v>
      </c>
      <c r="E97">
        <v>136.65207697587599</v>
      </c>
      <c r="F97">
        <v>3.125</v>
      </c>
      <c r="G97">
        <v>9.4415267128907812E-2</v>
      </c>
      <c r="H97">
        <v>51.806515529999999</v>
      </c>
    </row>
    <row r="98" spans="1:8" x14ac:dyDescent="0.25">
      <c r="A98">
        <v>0.80635314510484002</v>
      </c>
      <c r="B98">
        <v>1.038896525930866E-5</v>
      </c>
      <c r="C98">
        <v>8.1449468085106394E-7</v>
      </c>
      <c r="D98">
        <v>3.5714290000000002</v>
      </c>
      <c r="E98">
        <v>409.95623092762793</v>
      </c>
      <c r="F98">
        <v>3.125</v>
      </c>
      <c r="G98">
        <v>0.2260496918886134</v>
      </c>
      <c r="H98">
        <v>51.68147081</v>
      </c>
    </row>
    <row r="99" spans="1:8" x14ac:dyDescent="0.25">
      <c r="A99">
        <v>0.40317657255242001</v>
      </c>
      <c r="B99">
        <v>2.077793051861732E-5</v>
      </c>
      <c r="C99">
        <v>1.6289893617021279E-6</v>
      </c>
      <c r="D99">
        <v>3.5714290000000002</v>
      </c>
      <c r="E99">
        <v>204.97811546381396</v>
      </c>
      <c r="F99">
        <v>3.125</v>
      </c>
      <c r="G99">
        <v>0.11251294804384221</v>
      </c>
      <c r="H99">
        <v>51.447401599999999</v>
      </c>
    </row>
    <row r="100" spans="1:8" x14ac:dyDescent="0.25">
      <c r="A100">
        <v>0.2687843817016134</v>
      </c>
      <c r="B100">
        <v>3.1166895777925976E-5</v>
      </c>
      <c r="C100">
        <v>2.4434840425531916E-6</v>
      </c>
      <c r="D100">
        <v>3.5714290000000002</v>
      </c>
      <c r="E100">
        <v>136.65207697587601</v>
      </c>
      <c r="F100">
        <v>3.125</v>
      </c>
      <c r="G100">
        <v>7.4354247365526857E-2</v>
      </c>
      <c r="H100">
        <v>50.998568050000003</v>
      </c>
    </row>
    <row r="101" spans="1:8" x14ac:dyDescent="0.25">
      <c r="A101">
        <v>1.3439221593735065</v>
      </c>
      <c r="B101">
        <v>3.740026097074485E-6</v>
      </c>
      <c r="C101">
        <v>8.1449468085106394E-7</v>
      </c>
      <c r="D101">
        <v>2.1428569999999998</v>
      </c>
      <c r="E101">
        <v>263.90713930717635</v>
      </c>
      <c r="F101">
        <v>3.125</v>
      </c>
      <c r="G101">
        <v>0.36449463608858862</v>
      </c>
      <c r="H101">
        <v>50.000374399999998</v>
      </c>
    </row>
    <row r="102" spans="1:8" x14ac:dyDescent="0.25">
      <c r="A102">
        <v>0.67196107968675323</v>
      </c>
      <c r="B102">
        <v>7.48005219414897E-6</v>
      </c>
      <c r="C102">
        <v>1.6289893617021279E-6</v>
      </c>
      <c r="D102">
        <v>2.1428569999999998</v>
      </c>
      <c r="E102">
        <v>131.95356965358818</v>
      </c>
      <c r="F102">
        <v>3.125</v>
      </c>
      <c r="G102">
        <v>0.19125895248931371</v>
      </c>
      <c r="H102">
        <v>52.472756990000001</v>
      </c>
    </row>
    <row r="103" spans="1:8" x14ac:dyDescent="0.25">
      <c r="A103">
        <v>0.44797405312450211</v>
      </c>
      <c r="B103">
        <v>1.1220078291223454E-5</v>
      </c>
      <c r="C103">
        <v>2.4434840425531916E-6</v>
      </c>
      <c r="D103">
        <v>2.1428569999999998</v>
      </c>
      <c r="E103">
        <v>87.969046435725431</v>
      </c>
      <c r="F103">
        <v>3.125</v>
      </c>
      <c r="G103">
        <v>0.12763116796715962</v>
      </c>
      <c r="H103">
        <v>52.524280619999999</v>
      </c>
    </row>
    <row r="104" spans="1:8" x14ac:dyDescent="0.25">
      <c r="A104">
        <v>1.0079415019369466</v>
      </c>
      <c r="B104">
        <v>6.6489368351063999E-6</v>
      </c>
      <c r="C104">
        <v>8.1449468085106394E-7</v>
      </c>
      <c r="D104">
        <v>2.8571430000000002</v>
      </c>
      <c r="E104">
        <v>263.90713930717624</v>
      </c>
      <c r="F104">
        <v>3.125</v>
      </c>
      <c r="G104">
        <v>0.28208895155708985</v>
      </c>
      <c r="H104">
        <v>51.59492419</v>
      </c>
    </row>
    <row r="105" spans="1:8" x14ac:dyDescent="0.25">
      <c r="A105">
        <v>0.50397075096847332</v>
      </c>
      <c r="B105">
        <v>1.32978736702128E-5</v>
      </c>
      <c r="C105">
        <v>1.6289893617021279E-6</v>
      </c>
      <c r="D105">
        <v>2.8571430000000002</v>
      </c>
      <c r="E105">
        <v>131.95356965358812</v>
      </c>
      <c r="F105">
        <v>3.125</v>
      </c>
      <c r="G105">
        <v>0.14270028232097687</v>
      </c>
      <c r="H105">
        <v>52.200628260000002</v>
      </c>
    </row>
    <row r="106" spans="1:8" x14ac:dyDescent="0.25">
      <c r="A106">
        <v>0.33598050064564888</v>
      </c>
      <c r="B106">
        <v>1.99468105053192E-5</v>
      </c>
      <c r="C106">
        <v>2.4434840425531916E-6</v>
      </c>
      <c r="D106">
        <v>2.8571430000000002</v>
      </c>
      <c r="E106">
        <v>87.969046435725417</v>
      </c>
      <c r="F106">
        <v>3.125</v>
      </c>
      <c r="G106">
        <v>9.4621740889922798E-2</v>
      </c>
      <c r="H106">
        <v>51.919809559999997</v>
      </c>
    </row>
    <row r="107" spans="1:8" x14ac:dyDescent="0.25">
      <c r="A107">
        <v>0.80635314510484002</v>
      </c>
      <c r="B107">
        <v>1.038896525930866E-5</v>
      </c>
      <c r="C107">
        <v>8.1449468085106394E-7</v>
      </c>
      <c r="D107">
        <v>3.5714290000000002</v>
      </c>
      <c r="E107">
        <v>263.90713930717629</v>
      </c>
      <c r="F107">
        <v>3.125</v>
      </c>
      <c r="G107">
        <v>0.22673672972864384</v>
      </c>
      <c r="H107">
        <v>51.83854745</v>
      </c>
    </row>
    <row r="108" spans="1:8" x14ac:dyDescent="0.25">
      <c r="A108">
        <v>0.40317657255242001</v>
      </c>
      <c r="B108">
        <v>2.077793051861732E-5</v>
      </c>
      <c r="C108">
        <v>1.6289893617021279E-6</v>
      </c>
      <c r="D108">
        <v>3.5714290000000002</v>
      </c>
      <c r="E108">
        <v>131.95356965358815</v>
      </c>
      <c r="F108">
        <v>3.125</v>
      </c>
      <c r="G108">
        <v>0.11311251370360509</v>
      </c>
      <c r="H108">
        <v>51.721557560000001</v>
      </c>
    </row>
    <row r="109" spans="1:8" x14ac:dyDescent="0.25">
      <c r="A109">
        <v>0.2687843817016134</v>
      </c>
      <c r="B109">
        <v>3.1166895777925976E-5</v>
      </c>
      <c r="C109">
        <v>2.4434840425531916E-6</v>
      </c>
      <c r="D109">
        <v>3.5714290000000002</v>
      </c>
      <c r="E109">
        <v>87.969046435725446</v>
      </c>
      <c r="F109">
        <v>3.125</v>
      </c>
      <c r="G109">
        <v>7.4756244058557714E-2</v>
      </c>
      <c r="H109">
        <v>51.274292119999998</v>
      </c>
    </row>
    <row r="110" spans="1:8" x14ac:dyDescent="0.25">
      <c r="A110">
        <v>1.6799026992168833</v>
      </c>
      <c r="B110">
        <v>3.740026097074485E-6</v>
      </c>
      <c r="C110">
        <v>8.1449468085106394E-7</v>
      </c>
      <c r="D110">
        <v>2.1428569999999998</v>
      </c>
      <c r="E110">
        <v>727.68048860534145</v>
      </c>
      <c r="F110">
        <v>3.125</v>
      </c>
      <c r="G110">
        <v>0.43833253929065863</v>
      </c>
      <c r="H110">
        <v>60.129255430000001</v>
      </c>
    </row>
    <row r="111" spans="1:8" x14ac:dyDescent="0.25">
      <c r="A111">
        <v>0.83995134960844164</v>
      </c>
      <c r="B111">
        <v>7.48005219414897E-6</v>
      </c>
      <c r="C111">
        <v>1.6289893617021279E-6</v>
      </c>
      <c r="D111">
        <v>2.1428569999999998</v>
      </c>
      <c r="E111">
        <v>363.84024430267073</v>
      </c>
      <c r="F111">
        <v>3.125</v>
      </c>
      <c r="G111">
        <v>0.23742265997750858</v>
      </c>
      <c r="H111">
        <v>65.137978529999998</v>
      </c>
    </row>
    <row r="112" spans="1:8" x14ac:dyDescent="0.25">
      <c r="A112">
        <v>0.55996756640562761</v>
      </c>
      <c r="B112">
        <v>1.1220078291223454E-5</v>
      </c>
      <c r="C112">
        <v>2.4434840425531916E-6</v>
      </c>
      <c r="D112">
        <v>2.1428569999999998</v>
      </c>
      <c r="E112">
        <v>242.56016286844712</v>
      </c>
      <c r="F112">
        <v>3.125</v>
      </c>
      <c r="G112">
        <v>0.15860755739958593</v>
      </c>
      <c r="H112">
        <v>65.272049030000005</v>
      </c>
    </row>
    <row r="113" spans="1:8" x14ac:dyDescent="0.25">
      <c r="A113">
        <v>1.2599268774211834</v>
      </c>
      <c r="B113">
        <v>6.6489368351063999E-6</v>
      </c>
      <c r="C113">
        <v>8.1449468085106394E-7</v>
      </c>
      <c r="D113">
        <v>2.8571430000000002</v>
      </c>
      <c r="E113">
        <v>727.68048860534134</v>
      </c>
      <c r="F113">
        <v>3.125</v>
      </c>
      <c r="G113">
        <v>0.34363285234349406</v>
      </c>
      <c r="H113">
        <v>62.851490169999998</v>
      </c>
    </row>
    <row r="114" spans="1:8" x14ac:dyDescent="0.25">
      <c r="A114">
        <v>0.62996343871059168</v>
      </c>
      <c r="B114">
        <v>1.32978736702128E-5</v>
      </c>
      <c r="C114">
        <v>1.6289893617021279E-6</v>
      </c>
      <c r="D114">
        <v>2.8571430000000002</v>
      </c>
      <c r="E114">
        <v>363.84024430267067</v>
      </c>
      <c r="F114">
        <v>3.125</v>
      </c>
      <c r="G114">
        <v>0.17540670115074131</v>
      </c>
      <c r="H114">
        <v>64.164834519999999</v>
      </c>
    </row>
    <row r="115" spans="1:8" x14ac:dyDescent="0.25">
      <c r="A115">
        <v>0.4199756258070611</v>
      </c>
      <c r="B115">
        <v>1.99468105053192E-5</v>
      </c>
      <c r="C115">
        <v>2.4434840425531916E-6</v>
      </c>
      <c r="D115">
        <v>2.8571430000000002</v>
      </c>
      <c r="E115">
        <v>242.56016286844709</v>
      </c>
      <c r="F115">
        <v>3.125</v>
      </c>
      <c r="G115">
        <v>0.11638194491520948</v>
      </c>
      <c r="H115">
        <v>63.859831360000001</v>
      </c>
    </row>
    <row r="116" spans="1:8" x14ac:dyDescent="0.25">
      <c r="A116">
        <v>1.00794143138105</v>
      </c>
      <c r="B116">
        <v>1.038896525930866E-5</v>
      </c>
      <c r="C116">
        <v>8.1449468085106394E-7</v>
      </c>
      <c r="D116">
        <v>3.5714290000000002</v>
      </c>
      <c r="E116">
        <v>727.68048860534122</v>
      </c>
      <c r="F116">
        <v>3.125</v>
      </c>
      <c r="G116">
        <v>0.27555233201152501</v>
      </c>
      <c r="H116">
        <v>62.99920024</v>
      </c>
    </row>
    <row r="117" spans="1:8" x14ac:dyDescent="0.25">
      <c r="A117">
        <v>0.50397071569052498</v>
      </c>
      <c r="B117">
        <v>2.077793051861732E-5</v>
      </c>
      <c r="C117">
        <v>1.6289893617021279E-6</v>
      </c>
      <c r="D117">
        <v>3.5714290000000002</v>
      </c>
      <c r="E117">
        <v>363.84024430267061</v>
      </c>
      <c r="F117">
        <v>3.125</v>
      </c>
      <c r="G117">
        <v>0.13786043681776128</v>
      </c>
      <c r="H117">
        <v>63.037733709999998</v>
      </c>
    </row>
    <row r="118" spans="1:8" x14ac:dyDescent="0.25">
      <c r="A118">
        <v>0.33598047712701673</v>
      </c>
      <c r="B118">
        <v>3.1166895777925976E-5</v>
      </c>
      <c r="C118">
        <v>2.4434840425531916E-6</v>
      </c>
      <c r="D118">
        <v>3.5714290000000002</v>
      </c>
      <c r="E118">
        <v>242.56016286844712</v>
      </c>
      <c r="F118">
        <v>3.125</v>
      </c>
      <c r="G118">
        <v>9.1177901244351683E-2</v>
      </c>
      <c r="H118">
        <v>62.53768367</v>
      </c>
    </row>
    <row r="119" spans="1:8" x14ac:dyDescent="0.25">
      <c r="A119">
        <v>1.6799026992168833</v>
      </c>
      <c r="B119">
        <v>3.740026097074485E-6</v>
      </c>
      <c r="C119">
        <v>8.1449468085106394E-7</v>
      </c>
      <c r="D119">
        <v>2.1428569999999998</v>
      </c>
      <c r="E119">
        <v>412.35490516746296</v>
      </c>
      <c r="F119">
        <v>3.125</v>
      </c>
      <c r="G119">
        <v>0.43327042043241948</v>
      </c>
      <c r="H119">
        <v>59.434847849999997</v>
      </c>
    </row>
    <row r="120" spans="1:8" x14ac:dyDescent="0.25">
      <c r="A120">
        <v>0.83995134960844164</v>
      </c>
      <c r="B120">
        <v>7.48005219414897E-6</v>
      </c>
      <c r="C120">
        <v>1.6289893617021279E-6</v>
      </c>
      <c r="D120">
        <v>2.1428569999999998</v>
      </c>
      <c r="E120">
        <v>206.17745258373148</v>
      </c>
      <c r="F120">
        <v>3.125</v>
      </c>
      <c r="G120">
        <v>0.23810889432131987</v>
      </c>
      <c r="H120">
        <v>65.326250020000003</v>
      </c>
    </row>
    <row r="121" spans="1:8" x14ac:dyDescent="0.25">
      <c r="A121">
        <v>0.55996756640562761</v>
      </c>
      <c r="B121">
        <v>1.1220078291223454E-5</v>
      </c>
      <c r="C121">
        <v>2.4434840425531916E-6</v>
      </c>
      <c r="D121">
        <v>2.1428569999999998</v>
      </c>
      <c r="E121">
        <v>137.45163505582096</v>
      </c>
      <c r="F121">
        <v>3.125</v>
      </c>
      <c r="G121">
        <v>0.15967179977550655</v>
      </c>
      <c r="H121">
        <v>65.710018579999996</v>
      </c>
    </row>
    <row r="122" spans="1:8" x14ac:dyDescent="0.25">
      <c r="A122">
        <v>1.2599268774211834</v>
      </c>
      <c r="B122">
        <v>6.6489368351063999E-6</v>
      </c>
      <c r="C122">
        <v>8.1449468085106394E-7</v>
      </c>
      <c r="D122">
        <v>2.8571430000000002</v>
      </c>
      <c r="E122">
        <v>412.3549051674629</v>
      </c>
      <c r="F122">
        <v>3.125</v>
      </c>
      <c r="G122">
        <v>0.34500729419349918</v>
      </c>
      <c r="H122">
        <v>63.10287975</v>
      </c>
    </row>
    <row r="123" spans="1:8" x14ac:dyDescent="0.25">
      <c r="A123">
        <v>0.62996343871059168</v>
      </c>
      <c r="B123">
        <v>1.32978736702128E-5</v>
      </c>
      <c r="C123">
        <v>1.6289893617021279E-6</v>
      </c>
      <c r="D123">
        <v>2.8571430000000002</v>
      </c>
      <c r="E123">
        <v>206.17745258373145</v>
      </c>
      <c r="F123">
        <v>3.125</v>
      </c>
      <c r="G123">
        <v>0.17754620602021345</v>
      </c>
      <c r="H123">
        <v>64.947478369999999</v>
      </c>
    </row>
    <row r="124" spans="1:8" x14ac:dyDescent="0.25">
      <c r="A124">
        <v>0.4199756258070611</v>
      </c>
      <c r="B124">
        <v>1.99468105053192E-5</v>
      </c>
      <c r="C124">
        <v>2.4434840425531916E-6</v>
      </c>
      <c r="D124">
        <v>2.8571430000000002</v>
      </c>
      <c r="E124">
        <v>137.45163505582096</v>
      </c>
      <c r="F124">
        <v>3.125</v>
      </c>
      <c r="G124">
        <v>0.11807669647476987</v>
      </c>
      <c r="H124">
        <v>64.789756949999997</v>
      </c>
    </row>
    <row r="125" spans="1:8" x14ac:dyDescent="0.25">
      <c r="A125">
        <v>1.00794143138105</v>
      </c>
      <c r="B125">
        <v>1.038896525930866E-5</v>
      </c>
      <c r="C125">
        <v>8.1449468085106394E-7</v>
      </c>
      <c r="D125">
        <v>3.5714290000000002</v>
      </c>
      <c r="E125">
        <v>412.35490516746285</v>
      </c>
      <c r="F125">
        <v>3.125</v>
      </c>
      <c r="G125" s="1">
        <v>0.27910396568183193</v>
      </c>
      <c r="H125">
        <v>63.811205999999999</v>
      </c>
    </row>
    <row r="126" spans="1:8" x14ac:dyDescent="0.25">
      <c r="A126">
        <v>0.50397071569052498</v>
      </c>
      <c r="B126">
        <v>2.077793051861732E-5</v>
      </c>
      <c r="C126">
        <v>1.6289893617021279E-6</v>
      </c>
      <c r="D126">
        <v>3.5714290000000002</v>
      </c>
      <c r="E126">
        <v>206.17745258373142</v>
      </c>
      <c r="F126">
        <v>3.125</v>
      </c>
      <c r="G126">
        <v>0.14046248290004767</v>
      </c>
      <c r="H126">
        <v>64.22753908</v>
      </c>
    </row>
    <row r="127" spans="1:8" x14ac:dyDescent="0.25">
      <c r="A127">
        <v>0.33598047712701673</v>
      </c>
      <c r="B127">
        <v>3.1166895777925976E-5</v>
      </c>
      <c r="C127">
        <v>2.4434840425531916E-6</v>
      </c>
      <c r="D127">
        <v>3.5714290000000002</v>
      </c>
      <c r="E127">
        <v>137.45163505582099</v>
      </c>
      <c r="F127">
        <v>3.125</v>
      </c>
      <c r="G127">
        <v>9.3068951197482985E-2</v>
      </c>
      <c r="H127" s="1">
        <v>63.83472914</v>
      </c>
    </row>
    <row r="128" spans="1:8" x14ac:dyDescent="0.25">
      <c r="A128">
        <v>1.6799026992168833</v>
      </c>
      <c r="B128">
        <v>3.740026097074485E-6</v>
      </c>
      <c r="C128">
        <v>8.1449468085106394E-7</v>
      </c>
      <c r="D128">
        <v>2.1428569999999998</v>
      </c>
      <c r="E128">
        <v>265.66222066366356</v>
      </c>
      <c r="F128">
        <v>3.125</v>
      </c>
      <c r="G128">
        <v>0.42315852973348633</v>
      </c>
      <c r="H128">
        <v>58.047726419999996</v>
      </c>
    </row>
    <row r="129" spans="1:8" x14ac:dyDescent="0.25">
      <c r="A129">
        <v>0.83995134960844164</v>
      </c>
      <c r="B129">
        <v>7.48005219414897E-6</v>
      </c>
      <c r="C129">
        <v>1.6289893617021279E-6</v>
      </c>
      <c r="D129">
        <v>2.1428569999999998</v>
      </c>
      <c r="E129">
        <v>132.83111033183178</v>
      </c>
      <c r="F129">
        <v>3.125</v>
      </c>
      <c r="G129">
        <v>0.23610337054973662</v>
      </c>
      <c r="H129">
        <v>64.776025520000005</v>
      </c>
    </row>
    <row r="130" spans="1:8" x14ac:dyDescent="0.25">
      <c r="A130">
        <v>0.55996756640562761</v>
      </c>
      <c r="B130">
        <v>1.1220078291223454E-5</v>
      </c>
      <c r="C130">
        <v>2.4434840425531916E-6</v>
      </c>
      <c r="D130">
        <v>2.1428569999999998</v>
      </c>
      <c r="E130">
        <v>88.554073554554492</v>
      </c>
      <c r="F130">
        <v>3.125</v>
      </c>
      <c r="G130">
        <v>0.158811006770569</v>
      </c>
      <c r="H130">
        <v>65.355774909999994</v>
      </c>
    </row>
    <row r="131" spans="1:8" x14ac:dyDescent="0.25">
      <c r="A131">
        <v>1.2599268774211834</v>
      </c>
      <c r="B131">
        <v>6.6489368351063999E-6</v>
      </c>
      <c r="C131">
        <v>8.1449468085106394E-7</v>
      </c>
      <c r="D131">
        <v>2.8571430000000002</v>
      </c>
      <c r="E131">
        <v>265.6622206636635</v>
      </c>
      <c r="F131">
        <v>3.125</v>
      </c>
      <c r="G131">
        <v>0.34265772853478987</v>
      </c>
      <c r="H131">
        <v>62.673137070000003</v>
      </c>
    </row>
    <row r="132" spans="1:8" x14ac:dyDescent="0.25">
      <c r="A132">
        <v>0.62996343871059168</v>
      </c>
      <c r="B132">
        <v>1.32978736702128E-5</v>
      </c>
      <c r="C132">
        <v>1.6289893617021279E-6</v>
      </c>
      <c r="D132">
        <v>2.8571430000000002</v>
      </c>
      <c r="E132">
        <v>132.83111033183175</v>
      </c>
      <c r="F132">
        <v>3.125</v>
      </c>
      <c r="G132">
        <v>0.17759357122768402</v>
      </c>
      <c r="H132">
        <v>64.964804849999993</v>
      </c>
    </row>
    <row r="133" spans="1:8" x14ac:dyDescent="0.25">
      <c r="A133">
        <v>0.4199756258070611</v>
      </c>
      <c r="B133">
        <v>1.99468105053192E-5</v>
      </c>
      <c r="C133">
        <v>2.4434840425531916E-6</v>
      </c>
      <c r="D133">
        <v>2.8571430000000002</v>
      </c>
      <c r="E133">
        <v>88.554073554554492</v>
      </c>
      <c r="F133">
        <v>3.125</v>
      </c>
      <c r="G133">
        <v>0.11827060190022021</v>
      </c>
      <c r="H133">
        <v>64.896154620000004</v>
      </c>
    </row>
    <row r="134" spans="1:8" x14ac:dyDescent="0.25">
      <c r="A134">
        <v>1.00794143138105</v>
      </c>
      <c r="B134">
        <v>1.038896525930866E-5</v>
      </c>
      <c r="C134">
        <v>8.1449468085106394E-7</v>
      </c>
      <c r="D134">
        <v>3.5714290000000002</v>
      </c>
      <c r="E134">
        <v>265.66222066366345</v>
      </c>
      <c r="F134">
        <v>3.125</v>
      </c>
      <c r="G134">
        <v>0.27938485618530773</v>
      </c>
      <c r="H134">
        <v>63.875425659999998</v>
      </c>
    </row>
    <row r="135" spans="1:8" x14ac:dyDescent="0.25">
      <c r="A135">
        <v>0.50397071569052498</v>
      </c>
      <c r="B135">
        <v>2.077793051861732E-5</v>
      </c>
      <c r="C135">
        <v>1.6289893617021279E-6</v>
      </c>
      <c r="D135">
        <v>3.5714290000000002</v>
      </c>
      <c r="E135">
        <v>132.83111033183172</v>
      </c>
      <c r="F135">
        <v>3.125</v>
      </c>
      <c r="G135">
        <v>0.1412078367078767</v>
      </c>
      <c r="H135">
        <v>64.568357779999999</v>
      </c>
    </row>
    <row r="136" spans="1:8" x14ac:dyDescent="0.25">
      <c r="A136">
        <v>0.33598047712701673</v>
      </c>
      <c r="B136">
        <v>3.1166895777925976E-5</v>
      </c>
      <c r="C136">
        <v>2.4434840425531916E-6</v>
      </c>
      <c r="D136">
        <v>3.5714290000000002</v>
      </c>
      <c r="E136">
        <v>88.554073554554506</v>
      </c>
      <c r="F136">
        <v>3.125</v>
      </c>
      <c r="G136">
        <v>9.3619037848280656E-2</v>
      </c>
      <c r="H136">
        <v>64.212026100000003</v>
      </c>
    </row>
    <row r="137" spans="1:8" x14ac:dyDescent="0.25">
      <c r="A137">
        <v>2.6340872567662443</v>
      </c>
      <c r="B137">
        <v>3.7400265957446807E-6</v>
      </c>
      <c r="C137">
        <v>4.1555851063829797E-7</v>
      </c>
      <c r="D137">
        <v>3</v>
      </c>
      <c r="E137">
        <v>736.55186904175866</v>
      </c>
      <c r="F137">
        <v>3.125</v>
      </c>
      <c r="G137">
        <v>0.17450747926287768</v>
      </c>
      <c r="H137">
        <v>12.21349946</v>
      </c>
    </row>
    <row r="138" spans="1:8" x14ac:dyDescent="0.25">
      <c r="A138">
        <v>1.3170436283831222</v>
      </c>
      <c r="B138">
        <v>7.4800531914893613E-6</v>
      </c>
      <c r="C138">
        <v>8.3111702127659595E-7</v>
      </c>
      <c r="D138">
        <v>3</v>
      </c>
      <c r="E138">
        <v>368.27593452087933</v>
      </c>
      <c r="F138">
        <v>3.125</v>
      </c>
      <c r="G138">
        <v>0.34992143944215909</v>
      </c>
      <c r="H138">
        <v>48.980884140000001</v>
      </c>
    </row>
    <row r="139" spans="1:8" x14ac:dyDescent="0.25">
      <c r="A139">
        <v>0.87802908558874804</v>
      </c>
      <c r="B139">
        <v>1.1220079787234043E-5</v>
      </c>
      <c r="C139">
        <v>1.2466755319148938E-6</v>
      </c>
      <c r="D139">
        <v>3</v>
      </c>
      <c r="E139">
        <v>245.5172896805862</v>
      </c>
      <c r="F139">
        <v>3.125</v>
      </c>
      <c r="G139">
        <v>0.24076270829163257</v>
      </c>
      <c r="H139">
        <v>50.551791020000003</v>
      </c>
    </row>
    <row r="140" spans="1:8" x14ac:dyDescent="0.25">
      <c r="A140">
        <v>1.9755654425746829</v>
      </c>
      <c r="B140">
        <v>6.6489361702127676E-6</v>
      </c>
      <c r="C140">
        <v>4.1555851063829797E-7</v>
      </c>
      <c r="D140">
        <v>4</v>
      </c>
      <c r="E140">
        <v>736.55186904175866</v>
      </c>
      <c r="F140">
        <v>3.125</v>
      </c>
      <c r="G140">
        <v>0.45038425672054494</v>
      </c>
      <c r="H140">
        <v>42.028898699999999</v>
      </c>
    </row>
    <row r="141" spans="1:8" x14ac:dyDescent="0.25">
      <c r="A141">
        <v>0.98778272128734146</v>
      </c>
      <c r="B141">
        <v>1.3297872340425535E-5</v>
      </c>
      <c r="C141">
        <v>8.3111702127659595E-7</v>
      </c>
      <c r="D141">
        <v>4</v>
      </c>
      <c r="E141">
        <v>368.27593452087933</v>
      </c>
      <c r="F141">
        <v>3.125</v>
      </c>
      <c r="G141">
        <v>0.2649290791954404</v>
      </c>
      <c r="H141">
        <v>49.445233780000002</v>
      </c>
    </row>
    <row r="142" spans="1:8" x14ac:dyDescent="0.25">
      <c r="A142">
        <v>0.65852181419156097</v>
      </c>
      <c r="B142">
        <v>1.99468085106383E-5</v>
      </c>
      <c r="C142">
        <v>1.2466755319148938E-6</v>
      </c>
      <c r="D142">
        <v>4</v>
      </c>
      <c r="E142">
        <v>245.5172896805862</v>
      </c>
      <c r="F142">
        <v>3.125</v>
      </c>
      <c r="G142">
        <v>0.17783563187412435</v>
      </c>
      <c r="H142">
        <v>49.785726160000003</v>
      </c>
    </row>
    <row r="143" spans="1:8" x14ac:dyDescent="0.25">
      <c r="A143">
        <v>1.5804523540597462</v>
      </c>
      <c r="B143">
        <v>1.0388962765957447E-5</v>
      </c>
      <c r="C143">
        <v>4.1555851063829797E-7</v>
      </c>
      <c r="D143">
        <v>5</v>
      </c>
      <c r="E143">
        <v>736.55186904175855</v>
      </c>
      <c r="F143">
        <v>3.125</v>
      </c>
      <c r="G143">
        <v>0.39464779491193314</v>
      </c>
      <c r="H143">
        <v>46.034613630000003</v>
      </c>
    </row>
    <row r="144" spans="1:8" x14ac:dyDescent="0.25">
      <c r="A144">
        <v>0.79022617702987308</v>
      </c>
      <c r="B144">
        <v>2.0777925531914893E-5</v>
      </c>
      <c r="C144">
        <v>8.3111702127659595E-7</v>
      </c>
      <c r="D144">
        <v>5</v>
      </c>
      <c r="E144">
        <v>368.27593452087928</v>
      </c>
      <c r="F144">
        <v>3.125</v>
      </c>
      <c r="G144">
        <v>0.20933288876523634</v>
      </c>
      <c r="H144">
        <v>48.836247299999997</v>
      </c>
    </row>
    <row r="145" spans="1:8" x14ac:dyDescent="0.25">
      <c r="A145">
        <v>0.52681745135324864</v>
      </c>
      <c r="B145">
        <v>3.1166888297872338E-5</v>
      </c>
      <c r="C145">
        <v>1.2466755319148938E-6</v>
      </c>
      <c r="D145">
        <v>5</v>
      </c>
      <c r="E145">
        <v>245.51728968058615</v>
      </c>
      <c r="F145">
        <v>3.125</v>
      </c>
      <c r="G145">
        <v>0.13926425652968236</v>
      </c>
      <c r="H145">
        <v>48.734413250000003</v>
      </c>
    </row>
    <row r="146" spans="1:8" x14ac:dyDescent="0.25">
      <c r="A146">
        <v>2.6340872567662443</v>
      </c>
      <c r="B146">
        <v>3.7400265957446807E-6</v>
      </c>
      <c r="C146">
        <v>4.1555851063829797E-7</v>
      </c>
      <c r="D146">
        <v>3</v>
      </c>
      <c r="E146">
        <v>418.28520938177888</v>
      </c>
      <c r="F146">
        <v>3.125</v>
      </c>
      <c r="G146">
        <v>0.14844452682540329</v>
      </c>
      <c r="H146">
        <v>10.389395090000001</v>
      </c>
    </row>
    <row r="147" spans="1:8" x14ac:dyDescent="0.25">
      <c r="A147">
        <v>1.3170436283831222</v>
      </c>
      <c r="B147">
        <v>7.4800531914893613E-6</v>
      </c>
      <c r="C147">
        <v>8.3111702127659595E-7</v>
      </c>
      <c r="D147">
        <v>3</v>
      </c>
      <c r="E147">
        <v>209.14260469088944</v>
      </c>
      <c r="F147">
        <v>3.125</v>
      </c>
      <c r="G147">
        <v>0.34739792130013009</v>
      </c>
      <c r="H147">
        <v>48.62765014</v>
      </c>
    </row>
    <row r="148" spans="1:8" x14ac:dyDescent="0.25">
      <c r="A148">
        <v>0.87802908558874804</v>
      </c>
      <c r="B148">
        <v>1.1220079787234043E-5</v>
      </c>
      <c r="C148">
        <v>1.2466755319148938E-6</v>
      </c>
      <c r="D148">
        <v>3</v>
      </c>
      <c r="E148">
        <v>139.4284031272596</v>
      </c>
      <c r="F148">
        <v>3.125</v>
      </c>
      <c r="G148">
        <v>0.24130291499330447</v>
      </c>
      <c r="H148">
        <v>50.665215629999999</v>
      </c>
    </row>
    <row r="149" spans="1:8" x14ac:dyDescent="0.25">
      <c r="A149">
        <v>1.9755654425746829</v>
      </c>
      <c r="B149">
        <v>6.6489361702127676E-6</v>
      </c>
      <c r="C149">
        <v>4.1555851063829797E-7</v>
      </c>
      <c r="D149">
        <v>4</v>
      </c>
      <c r="E149">
        <v>418.28520938177883</v>
      </c>
      <c r="F149">
        <v>3.125</v>
      </c>
      <c r="G149">
        <v>0.44527292756899856</v>
      </c>
      <c r="H149">
        <v>41.551920359999997</v>
      </c>
    </row>
    <row r="150" spans="1:8" x14ac:dyDescent="0.25">
      <c r="A150">
        <v>0.98778272128734146</v>
      </c>
      <c r="B150">
        <v>1.3297872340425535E-5</v>
      </c>
      <c r="C150">
        <v>8.3111702127659595E-7</v>
      </c>
      <c r="D150">
        <v>4</v>
      </c>
      <c r="E150">
        <v>209.14260469088941</v>
      </c>
      <c r="F150">
        <v>3.125</v>
      </c>
      <c r="G150">
        <v>0.26798775660160029</v>
      </c>
      <c r="H150">
        <v>50.016092290000003</v>
      </c>
    </row>
    <row r="151" spans="1:8" x14ac:dyDescent="0.25">
      <c r="A151">
        <v>0.65852181419156097</v>
      </c>
      <c r="B151">
        <v>1.99468085106383E-5</v>
      </c>
      <c r="C151">
        <v>1.2466755319148938E-6</v>
      </c>
      <c r="D151">
        <v>4</v>
      </c>
      <c r="E151">
        <v>139.42840312725963</v>
      </c>
      <c r="F151">
        <v>3.125</v>
      </c>
      <c r="G151">
        <v>0.18096037249468705</v>
      </c>
      <c r="H151">
        <v>50.660508559999997</v>
      </c>
    </row>
    <row r="152" spans="1:8" x14ac:dyDescent="0.25">
      <c r="A152">
        <v>1.5804523540597462</v>
      </c>
      <c r="B152">
        <v>1.0388962765957447E-5</v>
      </c>
      <c r="C152">
        <v>4.1555851063829797E-7</v>
      </c>
      <c r="D152">
        <v>5</v>
      </c>
      <c r="E152">
        <v>418.28520938177877</v>
      </c>
      <c r="F152">
        <v>3.125</v>
      </c>
      <c r="G152">
        <v>0.398690114344942</v>
      </c>
      <c r="H152">
        <v>46.506139419999997</v>
      </c>
    </row>
    <row r="153" spans="1:8" x14ac:dyDescent="0.25">
      <c r="A153">
        <v>0.79022617702987308</v>
      </c>
      <c r="B153">
        <v>2.0777925531914893E-5</v>
      </c>
      <c r="C153">
        <v>8.3111702127659595E-7</v>
      </c>
      <c r="D153">
        <v>5</v>
      </c>
      <c r="E153">
        <v>209.14260469088939</v>
      </c>
      <c r="F153">
        <v>3.125</v>
      </c>
      <c r="G153">
        <v>0.21441735725173725</v>
      </c>
      <c r="H153">
        <v>50.022426699999997</v>
      </c>
    </row>
    <row r="154" spans="1:8" x14ac:dyDescent="0.25">
      <c r="A154">
        <v>0.52681745135324864</v>
      </c>
      <c r="B154">
        <v>3.1166888297872338E-5</v>
      </c>
      <c r="C154">
        <v>1.2466755319148938E-6</v>
      </c>
      <c r="D154">
        <v>5</v>
      </c>
      <c r="E154">
        <v>139.4284031272596</v>
      </c>
      <c r="F154">
        <v>3.125</v>
      </c>
      <c r="G154">
        <v>0.14326758453045854</v>
      </c>
      <c r="H154">
        <v>50.135345880000003</v>
      </c>
    </row>
    <row r="155" spans="1:8" x14ac:dyDescent="0.25">
      <c r="A155">
        <v>2.6340872567662443</v>
      </c>
      <c r="B155">
        <v>3.7400265957446807E-6</v>
      </c>
      <c r="C155">
        <v>4.1555851063829797E-7</v>
      </c>
      <c r="D155">
        <v>3</v>
      </c>
      <c r="E155">
        <v>270.00135358633958</v>
      </c>
      <c r="F155">
        <v>3.125</v>
      </c>
      <c r="G155">
        <v>0.1114797889833728</v>
      </c>
      <c r="H155">
        <v>7.8022921900000002</v>
      </c>
    </row>
    <row r="156" spans="1:8" x14ac:dyDescent="0.25">
      <c r="A156">
        <v>1.3170436283831222</v>
      </c>
      <c r="B156">
        <v>7.4800531914893613E-6</v>
      </c>
      <c r="C156">
        <v>8.3111702127659595E-7</v>
      </c>
      <c r="D156">
        <v>3</v>
      </c>
      <c r="E156">
        <v>135.00067679316979</v>
      </c>
      <c r="F156">
        <v>3.125</v>
      </c>
      <c r="G156">
        <v>0.33897130652651486</v>
      </c>
      <c r="H156">
        <v>47.448119550000001</v>
      </c>
    </row>
    <row r="157" spans="1:8" x14ac:dyDescent="0.25">
      <c r="A157">
        <v>0.87802908558874804</v>
      </c>
      <c r="B157">
        <v>1.1220079787234043E-5</v>
      </c>
      <c r="C157">
        <v>1.2466755319148938E-6</v>
      </c>
      <c r="D157">
        <v>3</v>
      </c>
      <c r="E157">
        <v>90.00045119544653</v>
      </c>
      <c r="F157">
        <v>3.125</v>
      </c>
      <c r="G157">
        <v>0.23755808767320544</v>
      </c>
      <c r="H157">
        <v>49.878932200000001</v>
      </c>
    </row>
    <row r="158" spans="1:8" x14ac:dyDescent="0.25">
      <c r="A158">
        <v>1.9755654425746829</v>
      </c>
      <c r="B158">
        <v>6.6489361702127676E-6</v>
      </c>
      <c r="C158">
        <v>4.1555851063829797E-7</v>
      </c>
      <c r="D158">
        <v>4</v>
      </c>
      <c r="E158">
        <v>270.00135358633958</v>
      </c>
      <c r="F158">
        <v>3.125</v>
      </c>
      <c r="G158">
        <v>0.43148197622100104</v>
      </c>
      <c r="H158" s="1">
        <v>40.26497818</v>
      </c>
    </row>
    <row r="159" spans="1:8" x14ac:dyDescent="0.25">
      <c r="A159">
        <v>0.98778272128734146</v>
      </c>
      <c r="B159">
        <v>1.3297872340425535E-5</v>
      </c>
      <c r="C159">
        <v>8.3111702127659595E-7</v>
      </c>
      <c r="D159">
        <v>4</v>
      </c>
      <c r="E159">
        <v>135.00067679316979</v>
      </c>
      <c r="F159">
        <v>3.125</v>
      </c>
      <c r="G159" s="1">
        <v>0.26627285796410149</v>
      </c>
      <c r="H159">
        <v>49.696030919999998</v>
      </c>
    </row>
    <row r="160" spans="1:8" x14ac:dyDescent="0.25">
      <c r="A160">
        <v>0.65852181419156097</v>
      </c>
      <c r="B160">
        <v>1.99468085106383E-5</v>
      </c>
      <c r="C160">
        <v>1.2466755319148938E-6</v>
      </c>
      <c r="D160">
        <v>4</v>
      </c>
      <c r="E160">
        <v>90.000451195446516</v>
      </c>
      <c r="F160">
        <v>3.125</v>
      </c>
      <c r="G160">
        <v>0.18066182495451399</v>
      </c>
      <c r="H160" s="1">
        <v>50.576929100000001</v>
      </c>
    </row>
    <row r="161" spans="1:8" x14ac:dyDescent="0.25">
      <c r="A161">
        <v>1.5804523540597462</v>
      </c>
      <c r="B161">
        <v>1.0388962765957447E-5</v>
      </c>
      <c r="C161">
        <v>4.1555851063829797E-7</v>
      </c>
      <c r="D161">
        <v>5</v>
      </c>
      <c r="E161">
        <v>270.00135358633952</v>
      </c>
      <c r="F161">
        <v>3.125</v>
      </c>
      <c r="G161">
        <v>0.39517210607498338</v>
      </c>
      <c r="H161">
        <v>46.095773129999998</v>
      </c>
    </row>
    <row r="162" spans="1:8" x14ac:dyDescent="0.25">
      <c r="A162">
        <v>0.79022617702987308</v>
      </c>
      <c r="B162">
        <v>2.0777925531914893E-5</v>
      </c>
      <c r="C162">
        <v>8.3111702127659595E-7</v>
      </c>
      <c r="D162">
        <v>5</v>
      </c>
      <c r="E162">
        <v>135.00067679316976</v>
      </c>
      <c r="F162">
        <v>3.125</v>
      </c>
      <c r="G162">
        <v>0.21521454044343566</v>
      </c>
      <c r="H162">
        <v>50.208405290000002</v>
      </c>
    </row>
    <row r="163" spans="1:8" x14ac:dyDescent="0.25">
      <c r="A163">
        <v>0.52681745135324864</v>
      </c>
      <c r="B163">
        <v>3.1166888297872338E-5</v>
      </c>
      <c r="C163">
        <v>1.2466755319148938E-6</v>
      </c>
      <c r="D163">
        <v>5</v>
      </c>
      <c r="E163">
        <v>90.000451195446502</v>
      </c>
      <c r="F163">
        <v>3.125</v>
      </c>
      <c r="G163">
        <v>0.14423867981047894</v>
      </c>
      <c r="H163">
        <v>50.475172909999998</v>
      </c>
    </row>
    <row r="164" spans="1:8" x14ac:dyDescent="0.25">
      <c r="A164">
        <v>3.2926090709578055</v>
      </c>
      <c r="B164">
        <v>3.7400265957446807E-6</v>
      </c>
      <c r="C164">
        <v>4.1555851063829797E-7</v>
      </c>
      <c r="D164">
        <v>3</v>
      </c>
      <c r="E164">
        <v>741.92514499692243</v>
      </c>
      <c r="F164">
        <v>3.125</v>
      </c>
      <c r="G164">
        <v>-1.3564159640483</v>
      </c>
      <c r="H164">
        <v>-94.933384599999997</v>
      </c>
    </row>
    <row r="165" spans="1:8" x14ac:dyDescent="0.25">
      <c r="A165">
        <v>1.6463045354789028</v>
      </c>
      <c r="B165">
        <v>7.4800531914893613E-6</v>
      </c>
      <c r="C165">
        <v>8.3111702127659595E-7</v>
      </c>
      <c r="D165">
        <v>3</v>
      </c>
      <c r="E165">
        <v>370.96257249846121</v>
      </c>
      <c r="F165">
        <v>3.125</v>
      </c>
      <c r="G165">
        <v>0.40824628918445488</v>
      </c>
      <c r="H165">
        <v>57.1450101</v>
      </c>
    </row>
    <row r="166" spans="1:8" x14ac:dyDescent="0.25">
      <c r="A166">
        <v>1.0975363569859351</v>
      </c>
      <c r="B166">
        <v>1.1220079787234043E-5</v>
      </c>
      <c r="C166">
        <v>1.2466755319148938E-6</v>
      </c>
      <c r="D166">
        <v>3</v>
      </c>
      <c r="E166">
        <v>247.30838166564078</v>
      </c>
      <c r="F166">
        <v>3.125</v>
      </c>
      <c r="G166">
        <v>0.29302569788125093</v>
      </c>
      <c r="H166">
        <v>61.525200259999998</v>
      </c>
    </row>
    <row r="167" spans="1:8" x14ac:dyDescent="0.25">
      <c r="A167">
        <v>2.4694568032183537</v>
      </c>
      <c r="B167">
        <v>6.6489361702127676E-6</v>
      </c>
      <c r="C167">
        <v>4.1555851063829797E-7</v>
      </c>
      <c r="D167">
        <v>4</v>
      </c>
      <c r="E167">
        <v>741.92514499692243</v>
      </c>
      <c r="F167">
        <v>3.125</v>
      </c>
      <c r="G167">
        <v>0.32306042558889475</v>
      </c>
      <c r="H167">
        <v>30.147310210000001</v>
      </c>
    </row>
    <row r="168" spans="1:8" x14ac:dyDescent="0.25">
      <c r="A168">
        <v>1.2347284016091769</v>
      </c>
      <c r="B168">
        <v>1.3297872340425535E-5</v>
      </c>
      <c r="C168">
        <v>8.3111702127659595E-7</v>
      </c>
      <c r="D168">
        <v>4</v>
      </c>
      <c r="E168">
        <v>370.96257249846121</v>
      </c>
      <c r="F168">
        <v>3.125</v>
      </c>
      <c r="G168">
        <v>0.32007389620895049</v>
      </c>
      <c r="H168">
        <v>59.737227310000002</v>
      </c>
    </row>
    <row r="169" spans="1:8" x14ac:dyDescent="0.25">
      <c r="A169">
        <v>0.82315226773945127</v>
      </c>
      <c r="B169">
        <v>1.99468085106383E-5</v>
      </c>
      <c r="C169">
        <v>1.2466755319148938E-6</v>
      </c>
      <c r="D169">
        <v>4</v>
      </c>
      <c r="E169">
        <v>247.30838166564081</v>
      </c>
      <c r="F169">
        <v>3.125</v>
      </c>
      <c r="G169">
        <v>0.21809807631827152</v>
      </c>
      <c r="H169">
        <v>61.057342609999999</v>
      </c>
    </row>
    <row r="170" spans="1:8" x14ac:dyDescent="0.25">
      <c r="A170">
        <v>1.9755654425746827</v>
      </c>
      <c r="B170">
        <v>1.0388962765957447E-5</v>
      </c>
      <c r="C170">
        <v>4.1555851063829797E-7</v>
      </c>
      <c r="D170">
        <v>5</v>
      </c>
      <c r="E170">
        <v>741.92514499692231</v>
      </c>
      <c r="F170">
        <v>3.125</v>
      </c>
      <c r="G170">
        <v>0.43395447149435451</v>
      </c>
      <c r="H170">
        <v>50.619632709999998</v>
      </c>
    </row>
    <row r="171" spans="1:8" x14ac:dyDescent="0.25">
      <c r="A171">
        <v>0.98778272128734135</v>
      </c>
      <c r="B171">
        <v>2.0777925531914893E-5</v>
      </c>
      <c r="C171">
        <v>8.3111702127659595E-7</v>
      </c>
      <c r="D171">
        <v>5</v>
      </c>
      <c r="E171">
        <v>370.96257249846116</v>
      </c>
      <c r="F171">
        <v>3.125</v>
      </c>
      <c r="G171">
        <v>0.25498438127126827</v>
      </c>
      <c r="H171">
        <v>59.486497200000002</v>
      </c>
    </row>
    <row r="172" spans="1:8" x14ac:dyDescent="0.25">
      <c r="A172">
        <v>0.65852181419156086</v>
      </c>
      <c r="B172">
        <v>3.1166888297872338E-5</v>
      </c>
      <c r="C172">
        <v>1.2466755319148938E-6</v>
      </c>
      <c r="D172">
        <v>5</v>
      </c>
      <c r="E172">
        <v>247.30838166564075</v>
      </c>
      <c r="F172">
        <v>3.125</v>
      </c>
      <c r="G172">
        <v>0.17071512690606802</v>
      </c>
      <c r="H172">
        <v>59.740393910000002</v>
      </c>
    </row>
    <row r="173" spans="1:8" x14ac:dyDescent="0.25">
      <c r="A173">
        <v>3.2926090709578055</v>
      </c>
      <c r="B173">
        <v>3.7400265957446807E-6</v>
      </c>
      <c r="C173">
        <v>4.1555851063829797E-7</v>
      </c>
      <c r="D173">
        <v>3</v>
      </c>
      <c r="E173">
        <v>421.87711497865558</v>
      </c>
      <c r="F173">
        <v>3.125</v>
      </c>
      <c r="G173">
        <v>-1.3448833512597353</v>
      </c>
      <c r="H173">
        <v>-94.126235469999997</v>
      </c>
    </row>
    <row r="174" spans="1:8" x14ac:dyDescent="0.25">
      <c r="A174">
        <v>1.6463045354789028</v>
      </c>
      <c r="B174">
        <v>7.4800531914893613E-6</v>
      </c>
      <c r="C174">
        <v>8.3111702127659595E-7</v>
      </c>
      <c r="D174">
        <v>3</v>
      </c>
      <c r="E174">
        <v>210.93855748932779</v>
      </c>
      <c r="F174">
        <v>3.125</v>
      </c>
      <c r="G174">
        <v>0.40077871739381798</v>
      </c>
      <c r="H174">
        <v>56.099723279999999</v>
      </c>
    </row>
    <row r="175" spans="1:8" x14ac:dyDescent="0.25">
      <c r="A175">
        <v>1.0975363569859351</v>
      </c>
      <c r="B175">
        <v>1.1220079787234043E-5</v>
      </c>
      <c r="C175">
        <v>1.2466755319148938E-6</v>
      </c>
      <c r="D175">
        <v>3</v>
      </c>
      <c r="E175">
        <v>140.62570499288518</v>
      </c>
      <c r="F175">
        <v>3.125</v>
      </c>
      <c r="G175">
        <v>0.29227206919692561</v>
      </c>
      <c r="H175">
        <v>61.366964459999998</v>
      </c>
    </row>
    <row r="176" spans="1:8" x14ac:dyDescent="0.25">
      <c r="A176">
        <v>2.4694568032183537</v>
      </c>
      <c r="B176">
        <v>6.6489361702127676E-6</v>
      </c>
      <c r="C176">
        <v>4.1555851063829797E-7</v>
      </c>
      <c r="D176">
        <v>4</v>
      </c>
      <c r="E176">
        <v>421.87711497865553</v>
      </c>
      <c r="F176">
        <v>3.125</v>
      </c>
      <c r="G176">
        <v>0.30696116743753826</v>
      </c>
      <c r="H176">
        <v>28.644961760000001</v>
      </c>
    </row>
    <row r="177" spans="1:8" x14ac:dyDescent="0.25">
      <c r="A177">
        <v>1.2347284016091769</v>
      </c>
      <c r="B177">
        <v>1.3297872340425535E-5</v>
      </c>
      <c r="C177">
        <v>8.3111702127659595E-7</v>
      </c>
      <c r="D177">
        <v>4</v>
      </c>
      <c r="E177">
        <v>210.93855748932776</v>
      </c>
      <c r="F177">
        <v>3.125</v>
      </c>
      <c r="G177">
        <v>0.32308800465869281</v>
      </c>
      <c r="H177">
        <v>60.299767660000001</v>
      </c>
    </row>
    <row r="178" spans="1:8" x14ac:dyDescent="0.25">
      <c r="A178">
        <v>0.82315226773945127</v>
      </c>
      <c r="B178">
        <v>1.99468085106383E-5</v>
      </c>
      <c r="C178">
        <v>1.2466755319148938E-6</v>
      </c>
      <c r="D178">
        <v>4</v>
      </c>
      <c r="E178">
        <v>140.62570499288518</v>
      </c>
      <c r="F178">
        <v>3.125</v>
      </c>
      <c r="G178">
        <v>0.22216740095456133</v>
      </c>
      <c r="H178">
        <v>62.196564709999997</v>
      </c>
    </row>
    <row r="179" spans="1:8" x14ac:dyDescent="0.25">
      <c r="A179">
        <v>1.9755654425746827</v>
      </c>
      <c r="B179">
        <v>1.0388962765957447E-5</v>
      </c>
      <c r="C179">
        <v>4.1555851063829797E-7</v>
      </c>
      <c r="D179">
        <v>5</v>
      </c>
      <c r="E179">
        <v>421.87711497865547</v>
      </c>
      <c r="F179">
        <v>3.125</v>
      </c>
      <c r="G179">
        <v>0.43566125733400712</v>
      </c>
      <c r="H179">
        <v>50.81872473</v>
      </c>
    </row>
    <row r="180" spans="1:8" x14ac:dyDescent="0.25">
      <c r="A180">
        <v>0.98778272128734135</v>
      </c>
      <c r="B180">
        <v>2.0777925531914893E-5</v>
      </c>
      <c r="C180">
        <v>8.3111702127659595E-7</v>
      </c>
      <c r="D180">
        <v>5</v>
      </c>
      <c r="E180">
        <v>210.93855748932774</v>
      </c>
      <c r="F180">
        <v>3.125</v>
      </c>
      <c r="G180">
        <v>0.2618545614895737</v>
      </c>
      <c r="H180">
        <v>61.089273630000001</v>
      </c>
    </row>
    <row r="181" spans="1:8" x14ac:dyDescent="0.25">
      <c r="A181">
        <v>0.65852181419156086</v>
      </c>
      <c r="B181">
        <v>3.1166888297872338E-5</v>
      </c>
      <c r="C181">
        <v>1.2466755319148938E-6</v>
      </c>
      <c r="D181">
        <v>5</v>
      </c>
      <c r="E181">
        <v>140.62570499288515</v>
      </c>
      <c r="F181">
        <v>3.125</v>
      </c>
      <c r="G181">
        <v>0.17652917965468523</v>
      </c>
      <c r="H181">
        <v>61.774975189999999</v>
      </c>
    </row>
    <row r="182" spans="1:8" x14ac:dyDescent="0.25">
      <c r="A182">
        <v>3.2926090709578055</v>
      </c>
      <c r="B182">
        <v>3.7400265957446807E-6</v>
      </c>
      <c r="C182">
        <v>4.1555851063829797E-7</v>
      </c>
      <c r="D182">
        <v>3</v>
      </c>
      <c r="E182">
        <v>272.62950810713602</v>
      </c>
      <c r="F182">
        <v>3.125</v>
      </c>
      <c r="G182">
        <v>-1.3452115084918908</v>
      </c>
      <c r="H182">
        <v>-94.149202669999994</v>
      </c>
    </row>
    <row r="183" spans="1:8" x14ac:dyDescent="0.25">
      <c r="A183">
        <v>1.6463045354789028</v>
      </c>
      <c r="B183">
        <v>7.4800531914893613E-6</v>
      </c>
      <c r="C183">
        <v>8.3111702127659595E-7</v>
      </c>
      <c r="D183">
        <v>3</v>
      </c>
      <c r="E183">
        <v>136.31475405356801</v>
      </c>
      <c r="F183">
        <v>3.125</v>
      </c>
      <c r="G183">
        <v>0.38471363122612101</v>
      </c>
      <c r="H183">
        <v>53.850983890000002</v>
      </c>
    </row>
    <row r="184" spans="1:8" x14ac:dyDescent="0.25">
      <c r="A184">
        <v>1.0975363569859351</v>
      </c>
      <c r="B184">
        <v>1.1220079787234043E-5</v>
      </c>
      <c r="C184">
        <v>1.2466755319148938E-6</v>
      </c>
      <c r="D184">
        <v>3</v>
      </c>
      <c r="E184">
        <v>90.876502702378659</v>
      </c>
      <c r="F184">
        <v>3.125</v>
      </c>
      <c r="G184">
        <v>0.28528836091486071</v>
      </c>
      <c r="H184">
        <v>59.900628730000001</v>
      </c>
    </row>
    <row r="185" spans="1:8" x14ac:dyDescent="0.25">
      <c r="A185">
        <v>2.4694568032183537</v>
      </c>
      <c r="B185">
        <v>6.6489361702127676E-6</v>
      </c>
      <c r="C185">
        <v>4.1555851063829797E-7</v>
      </c>
      <c r="D185">
        <v>4</v>
      </c>
      <c r="E185">
        <v>272.62950810713596</v>
      </c>
      <c r="F185">
        <v>3.125</v>
      </c>
      <c r="G185">
        <v>0.27803226333175379</v>
      </c>
      <c r="H185">
        <v>25.945378099999999</v>
      </c>
    </row>
    <row r="186" spans="1:8" x14ac:dyDescent="0.25">
      <c r="A186">
        <v>1.2347284016091769</v>
      </c>
      <c r="B186">
        <v>1.3297872340425535E-5</v>
      </c>
      <c r="C186">
        <v>8.3111702127659595E-7</v>
      </c>
      <c r="D186">
        <v>4</v>
      </c>
      <c r="E186">
        <v>136.31475405356798</v>
      </c>
      <c r="F186">
        <v>3.125</v>
      </c>
      <c r="G186">
        <v>0.31900965977776607</v>
      </c>
      <c r="H186">
        <v>59.538602760000003</v>
      </c>
    </row>
    <row r="187" spans="1:8" x14ac:dyDescent="0.25">
      <c r="A187">
        <v>0.82315226773945127</v>
      </c>
      <c r="B187">
        <v>1.99468085106383E-5</v>
      </c>
      <c r="C187">
        <v>1.2466755319148938E-6</v>
      </c>
      <c r="D187">
        <v>4</v>
      </c>
      <c r="E187">
        <v>90.876502702378644</v>
      </c>
      <c r="F187">
        <v>3.125</v>
      </c>
      <c r="G187">
        <v>0.22107653323562448</v>
      </c>
      <c r="H187">
        <v>61.891172359999999</v>
      </c>
    </row>
    <row r="188" spans="1:8" x14ac:dyDescent="0.25">
      <c r="A188">
        <v>1.9755654425746827</v>
      </c>
      <c r="B188">
        <v>1.0388962765957447E-5</v>
      </c>
      <c r="C188">
        <v>4.1555851063829797E-7</v>
      </c>
      <c r="D188">
        <v>5</v>
      </c>
      <c r="E188">
        <v>272.6295081071359</v>
      </c>
      <c r="F188">
        <v>3.125</v>
      </c>
      <c r="G188">
        <v>0.4259269008844353</v>
      </c>
      <c r="H188">
        <v>49.683237990000002</v>
      </c>
    </row>
    <row r="189" spans="1:8" x14ac:dyDescent="0.25">
      <c r="A189">
        <v>0.98778272128734135</v>
      </c>
      <c r="B189">
        <v>2.0777925531914893E-5</v>
      </c>
      <c r="C189">
        <v>8.3111702127659595E-7</v>
      </c>
      <c r="D189">
        <v>5</v>
      </c>
      <c r="E189">
        <v>136.31475405356795</v>
      </c>
      <c r="F189">
        <v>3.125</v>
      </c>
      <c r="G189">
        <v>0.26225608879329249</v>
      </c>
      <c r="H189">
        <v>61.182947810000002</v>
      </c>
    </row>
    <row r="190" spans="1:8" x14ac:dyDescent="0.25">
      <c r="A190">
        <v>0.65852181419156086</v>
      </c>
      <c r="B190">
        <v>3.1166888297872338E-5</v>
      </c>
      <c r="C190">
        <v>1.2466755319148938E-6</v>
      </c>
      <c r="D190">
        <v>5</v>
      </c>
      <c r="E190">
        <v>90.87650270237863</v>
      </c>
      <c r="F190">
        <v>3.125</v>
      </c>
      <c r="G190">
        <v>0.1777121504134874</v>
      </c>
      <c r="H190">
        <v>62.188946350000002</v>
      </c>
    </row>
    <row r="191" spans="1:8" x14ac:dyDescent="0.25">
      <c r="A191">
        <v>2.3706785310896192</v>
      </c>
      <c r="B191">
        <v>2.5972406914893616E-6</v>
      </c>
      <c r="C191">
        <v>4.1555851063829797E-7</v>
      </c>
      <c r="D191">
        <v>2.5</v>
      </c>
      <c r="E191">
        <v>730.60583132141699</v>
      </c>
      <c r="F191">
        <v>3.125</v>
      </c>
      <c r="G191">
        <v>0.40645911513891914</v>
      </c>
      <c r="H191">
        <v>23.706186330000001</v>
      </c>
    </row>
    <row r="192" spans="1:8" x14ac:dyDescent="0.25">
      <c r="A192">
        <v>1.1853392655448096</v>
      </c>
      <c r="B192">
        <v>5.1944813829787233E-6</v>
      </c>
      <c r="C192">
        <v>8.3111702127659595E-7</v>
      </c>
      <c r="D192">
        <v>2.5</v>
      </c>
      <c r="E192">
        <v>365.30291566070849</v>
      </c>
      <c r="F192">
        <v>3.125</v>
      </c>
      <c r="G192">
        <v>0.32558097787520157</v>
      </c>
      <c r="H192">
        <v>37.978153470000002</v>
      </c>
    </row>
    <row r="193" spans="1:8" x14ac:dyDescent="0.25">
      <c r="A193">
        <v>0.79022617702987297</v>
      </c>
      <c r="B193">
        <v>7.7917220744680845E-6</v>
      </c>
      <c r="C193">
        <v>1.2466755319148938E-6</v>
      </c>
      <c r="D193">
        <v>2.5</v>
      </c>
      <c r="E193">
        <v>243.53527710713897</v>
      </c>
      <c r="F193">
        <v>3.125</v>
      </c>
      <c r="G193">
        <v>0.22183898011444078</v>
      </c>
      <c r="H193">
        <v>38.815388820000003</v>
      </c>
    </row>
    <row r="194" spans="1:8" x14ac:dyDescent="0.25">
      <c r="A194">
        <v>1.778009076118122</v>
      </c>
      <c r="B194">
        <v>4.6173158614066653E-6</v>
      </c>
      <c r="C194">
        <v>4.1555851063829797E-7</v>
      </c>
      <c r="D194">
        <v>3.3333330000000001</v>
      </c>
      <c r="E194">
        <v>730.6058313214171</v>
      </c>
      <c r="F194">
        <v>3.125</v>
      </c>
      <c r="G194">
        <v>0.44275799626111151</v>
      </c>
      <c r="H194" s="1">
        <v>34.431023500000002</v>
      </c>
    </row>
    <row r="195" spans="1:8" x14ac:dyDescent="0.25">
      <c r="A195">
        <v>0.88900453805906099</v>
      </c>
      <c r="B195">
        <v>9.2346317228133305E-6</v>
      </c>
      <c r="C195">
        <v>8.3111702127659595E-7</v>
      </c>
      <c r="D195">
        <v>3.3333330000000001</v>
      </c>
      <c r="E195">
        <v>365.30291566070855</v>
      </c>
      <c r="F195">
        <v>3.125</v>
      </c>
      <c r="G195">
        <v>0.24545655515638648</v>
      </c>
      <c r="H195" s="1">
        <v>38.175800279999997</v>
      </c>
    </row>
    <row r="196" spans="1:8" x14ac:dyDescent="0.25">
      <c r="A196">
        <v>0.59266969203937403</v>
      </c>
      <c r="B196">
        <v>1.3851947584219997E-5</v>
      </c>
      <c r="C196">
        <v>1.2466755319148938E-6</v>
      </c>
      <c r="D196">
        <v>3.3333330000000001</v>
      </c>
      <c r="E196">
        <v>243.53527710713905</v>
      </c>
      <c r="F196">
        <v>3.125</v>
      </c>
      <c r="G196">
        <v>0.16428210429226955</v>
      </c>
      <c r="H196">
        <v>38.326135549999996</v>
      </c>
    </row>
    <row r="197" spans="1:8" x14ac:dyDescent="0.25">
      <c r="A197">
        <v>1.422407346238947</v>
      </c>
      <c r="B197">
        <v>7.2145551677011307E-6</v>
      </c>
      <c r="C197">
        <v>4.1555851063829797E-7</v>
      </c>
      <c r="D197">
        <v>4.1666660000000002</v>
      </c>
      <c r="E197">
        <v>730.60583132141699</v>
      </c>
      <c r="F197">
        <v>3.125</v>
      </c>
      <c r="G197">
        <v>0.37407010466442181</v>
      </c>
      <c r="H197">
        <v>36.361894929999998</v>
      </c>
    </row>
    <row r="198" spans="1:8" x14ac:dyDescent="0.25">
      <c r="A198">
        <v>0.71120367311947352</v>
      </c>
      <c r="B198">
        <v>1.4429110335402261E-5</v>
      </c>
      <c r="C198">
        <v>8.3111702127659595E-7</v>
      </c>
      <c r="D198">
        <v>4.1666660000000002</v>
      </c>
      <c r="E198">
        <v>365.30291566070849</v>
      </c>
      <c r="F198">
        <v>3.125</v>
      </c>
      <c r="G198">
        <v>0.19448797340752264</v>
      </c>
      <c r="H198">
        <v>37.810833670000001</v>
      </c>
    </row>
    <row r="199" spans="1:8" x14ac:dyDescent="0.25">
      <c r="A199">
        <v>0.47413578207964907</v>
      </c>
      <c r="B199">
        <v>2.164366550310339E-5</v>
      </c>
      <c r="C199">
        <v>1.2466755319148938E-6</v>
      </c>
      <c r="D199">
        <v>4.1666660000000002</v>
      </c>
      <c r="E199">
        <v>243.53527710713902</v>
      </c>
      <c r="F199">
        <v>3.125</v>
      </c>
      <c r="G199">
        <v>0.12929873074017123</v>
      </c>
      <c r="H199">
        <v>37.705874940000001</v>
      </c>
    </row>
    <row r="200" spans="1:8" x14ac:dyDescent="0.25">
      <c r="A200">
        <v>2.3706785310896192</v>
      </c>
      <c r="B200">
        <v>2.5972406914893616E-6</v>
      </c>
      <c r="C200">
        <v>4.1555851063829797E-7</v>
      </c>
      <c r="D200">
        <v>2.5</v>
      </c>
      <c r="E200">
        <v>414.31042633598901</v>
      </c>
      <c r="F200">
        <v>3.125</v>
      </c>
      <c r="G200">
        <v>0.37995298352466322</v>
      </c>
      <c r="H200">
        <v>22.160251519999999</v>
      </c>
    </row>
    <row r="201" spans="1:8" x14ac:dyDescent="0.25">
      <c r="A201">
        <v>1.1853392655448096</v>
      </c>
      <c r="B201">
        <v>5.1944813829787233E-6</v>
      </c>
      <c r="C201">
        <v>8.3111702127659595E-7</v>
      </c>
      <c r="D201">
        <v>2.5</v>
      </c>
      <c r="E201">
        <v>207.1552131679945</v>
      </c>
      <c r="F201">
        <v>3.125</v>
      </c>
      <c r="G201">
        <v>0.32251672270553139</v>
      </c>
      <c r="H201">
        <v>37.620716270000003</v>
      </c>
    </row>
    <row r="202" spans="1:8" x14ac:dyDescent="0.25">
      <c r="A202">
        <v>0.79022617702987297</v>
      </c>
      <c r="B202">
        <v>7.7917220744680845E-6</v>
      </c>
      <c r="C202">
        <v>1.2466755319148938E-6</v>
      </c>
      <c r="D202">
        <v>2.5</v>
      </c>
      <c r="E202">
        <v>138.10347544532968</v>
      </c>
      <c r="F202">
        <v>3.125</v>
      </c>
      <c r="G202">
        <v>0.22140832578443054</v>
      </c>
      <c r="H202">
        <v>38.740036799999999</v>
      </c>
    </row>
    <row r="203" spans="1:8" x14ac:dyDescent="0.25">
      <c r="A203">
        <v>1.778009076118122</v>
      </c>
      <c r="B203">
        <v>4.6173158614066653E-6</v>
      </c>
      <c r="C203">
        <v>4.1555851063829797E-7</v>
      </c>
      <c r="D203">
        <v>3.3333330000000001</v>
      </c>
      <c r="E203">
        <v>414.31042633598895</v>
      </c>
      <c r="F203">
        <v>3.125</v>
      </c>
      <c r="G203">
        <v>0.43746817279022449</v>
      </c>
      <c r="H203">
        <v>34.019660999999999</v>
      </c>
    </row>
    <row r="204" spans="1:8" x14ac:dyDescent="0.25">
      <c r="A204">
        <v>0.88900453805906099</v>
      </c>
      <c r="B204">
        <v>9.2346317228133305E-6</v>
      </c>
      <c r="C204">
        <v>8.3111702127659595E-7</v>
      </c>
      <c r="D204">
        <v>3.3333330000000001</v>
      </c>
      <c r="E204">
        <v>207.15521316799448</v>
      </c>
      <c r="F204">
        <v>3.125</v>
      </c>
      <c r="G204">
        <v>0.24666604152255875</v>
      </c>
      <c r="H204">
        <v>38.36391141</v>
      </c>
    </row>
    <row r="205" spans="1:8" x14ac:dyDescent="0.25">
      <c r="A205">
        <v>0.59266969203937403</v>
      </c>
      <c r="B205">
        <v>1.3851947584219997E-5</v>
      </c>
      <c r="C205">
        <v>1.2466755319148938E-6</v>
      </c>
      <c r="D205">
        <v>3.3333330000000001</v>
      </c>
      <c r="E205">
        <v>138.10347544532968</v>
      </c>
      <c r="F205">
        <v>3.125</v>
      </c>
      <c r="G205">
        <v>0.1658308507999624</v>
      </c>
      <c r="H205">
        <v>38.687449819999998</v>
      </c>
    </row>
    <row r="206" spans="1:8" x14ac:dyDescent="0.25">
      <c r="A206">
        <v>1.422407346238947</v>
      </c>
      <c r="B206">
        <v>7.2145551677011307E-6</v>
      </c>
      <c r="C206">
        <v>4.1555851063829797E-7</v>
      </c>
      <c r="D206">
        <v>4.1666660000000002</v>
      </c>
      <c r="E206">
        <v>414.31042633598906</v>
      </c>
      <c r="F206">
        <v>3.125</v>
      </c>
      <c r="G206">
        <v>0.37530054466276486</v>
      </c>
      <c r="H206">
        <v>36.481501199999997</v>
      </c>
    </row>
    <row r="207" spans="1:8" x14ac:dyDescent="0.25">
      <c r="A207">
        <v>0.71120367311947352</v>
      </c>
      <c r="B207">
        <v>1.4429110335402261E-5</v>
      </c>
      <c r="C207">
        <v>8.3111702127659595E-7</v>
      </c>
      <c r="D207">
        <v>4.1666660000000002</v>
      </c>
      <c r="E207">
        <v>207.15521316799453</v>
      </c>
      <c r="F207">
        <v>3.125</v>
      </c>
      <c r="G207">
        <v>0.1971807598963321</v>
      </c>
      <c r="H207">
        <v>38.334344199999997</v>
      </c>
    </row>
    <row r="208" spans="1:8" x14ac:dyDescent="0.25">
      <c r="A208">
        <v>0.47413578207964907</v>
      </c>
      <c r="B208">
        <v>2.164366550310339E-5</v>
      </c>
      <c r="C208">
        <v>1.2466755319148938E-6</v>
      </c>
      <c r="D208">
        <v>4.1666660000000002</v>
      </c>
      <c r="E208">
        <v>138.10347544532971</v>
      </c>
      <c r="F208">
        <v>3.125</v>
      </c>
      <c r="G208">
        <v>0.13149567002303011</v>
      </c>
      <c r="H208">
        <v>38.346542620000001</v>
      </c>
    </row>
    <row r="209" spans="1:8" x14ac:dyDescent="0.25">
      <c r="A209">
        <v>2.3706785310896192</v>
      </c>
      <c r="B209">
        <v>2.5972406914893616E-6</v>
      </c>
      <c r="C209">
        <v>4.1555851063829797E-7</v>
      </c>
      <c r="D209">
        <v>2.5</v>
      </c>
      <c r="E209">
        <v>267.093052198892</v>
      </c>
      <c r="F209">
        <v>3.125</v>
      </c>
      <c r="G209">
        <v>0.34459825028582347</v>
      </c>
      <c r="H209">
        <v>20.09823381</v>
      </c>
    </row>
    <row r="210" spans="1:8" x14ac:dyDescent="0.25">
      <c r="A210">
        <v>1.1853392655448096</v>
      </c>
      <c r="B210">
        <v>5.1944813829787233E-6</v>
      </c>
      <c r="C210">
        <v>8.3111702127659595E-7</v>
      </c>
      <c r="D210">
        <v>2.5</v>
      </c>
      <c r="E210">
        <v>133.546526099446</v>
      </c>
      <c r="F210">
        <v>3.125</v>
      </c>
      <c r="G210">
        <v>0.315015025231764</v>
      </c>
      <c r="H210">
        <v>36.74566325</v>
      </c>
    </row>
    <row r="211" spans="1:8" x14ac:dyDescent="0.25">
      <c r="A211">
        <v>0.79022617702987297</v>
      </c>
      <c r="B211">
        <v>7.7917220744680845E-6</v>
      </c>
      <c r="C211">
        <v>1.2466755319148938E-6</v>
      </c>
      <c r="D211">
        <v>2.5</v>
      </c>
      <c r="E211">
        <v>89.031017399630656</v>
      </c>
      <c r="F211">
        <v>3.125</v>
      </c>
      <c r="G211">
        <v>0.21778749296235866</v>
      </c>
      <c r="H211">
        <v>38.106496049999997</v>
      </c>
    </row>
    <row r="212" spans="1:8" x14ac:dyDescent="0.25">
      <c r="A212">
        <v>1.778009076118122</v>
      </c>
      <c r="B212">
        <v>4.6173158614066653E-6</v>
      </c>
      <c r="C212">
        <v>4.1555851063829797E-7</v>
      </c>
      <c r="D212">
        <v>3.3333330000000001</v>
      </c>
      <c r="E212">
        <v>267.09305219889194</v>
      </c>
      <c r="F212">
        <v>3.125</v>
      </c>
      <c r="G212">
        <v>0.42616445827090049</v>
      </c>
      <c r="H212">
        <v>33.140628970000002</v>
      </c>
    </row>
    <row r="213" spans="1:8" x14ac:dyDescent="0.25">
      <c r="A213">
        <v>0.88900453805906099</v>
      </c>
      <c r="B213">
        <v>9.2346317228133305E-6</v>
      </c>
      <c r="C213">
        <v>8.3111702127659595E-7</v>
      </c>
      <c r="D213">
        <v>3.3333330000000001</v>
      </c>
      <c r="E213">
        <v>133.54652609944597</v>
      </c>
      <c r="F213">
        <v>3.125</v>
      </c>
      <c r="G213">
        <v>0.24462787268389286</v>
      </c>
      <c r="H213">
        <v>38.046915490000004</v>
      </c>
    </row>
    <row r="214" spans="1:8" x14ac:dyDescent="0.25">
      <c r="A214">
        <v>0.59266969203937403</v>
      </c>
      <c r="B214">
        <v>1.3851947584219997E-5</v>
      </c>
      <c r="C214">
        <v>1.2466755319148938E-6</v>
      </c>
      <c r="D214">
        <v>3.3333330000000001</v>
      </c>
      <c r="E214">
        <v>89.031017399630656</v>
      </c>
      <c r="F214">
        <v>3.125</v>
      </c>
      <c r="G214">
        <v>0.16505447066337878</v>
      </c>
      <c r="H214">
        <v>38.506324489999997</v>
      </c>
    </row>
    <row r="215" spans="1:8" x14ac:dyDescent="0.25">
      <c r="A215">
        <v>1.422407346238947</v>
      </c>
      <c r="B215">
        <v>7.2145551677011307E-6</v>
      </c>
      <c r="C215">
        <v>4.1555851063829797E-7</v>
      </c>
      <c r="D215">
        <v>4.1666660000000002</v>
      </c>
      <c r="E215">
        <v>267.093052198892</v>
      </c>
      <c r="F215">
        <v>3.125</v>
      </c>
      <c r="G215">
        <v>0.37163333786710312</v>
      </c>
      <c r="H215">
        <v>36.125026339999998</v>
      </c>
    </row>
    <row r="216" spans="1:8" x14ac:dyDescent="0.25">
      <c r="A216">
        <v>0.71120367311947352</v>
      </c>
      <c r="B216">
        <v>1.4429110335402261E-5</v>
      </c>
      <c r="C216">
        <v>8.3111702127659595E-7</v>
      </c>
      <c r="D216">
        <v>4.1666660000000002</v>
      </c>
      <c r="E216">
        <v>133.546526099446</v>
      </c>
      <c r="F216">
        <v>3.125</v>
      </c>
      <c r="G216">
        <v>0.1971274879807576</v>
      </c>
      <c r="H216">
        <v>38.32398749</v>
      </c>
    </row>
    <row r="217" spans="1:8" x14ac:dyDescent="0.25">
      <c r="A217">
        <v>0.47413578207964907</v>
      </c>
      <c r="B217">
        <v>2.164366550310339E-5</v>
      </c>
      <c r="C217">
        <v>1.2466755319148938E-6</v>
      </c>
      <c r="D217">
        <v>4.1666660000000002</v>
      </c>
      <c r="E217">
        <v>89.03101739963067</v>
      </c>
      <c r="F217">
        <v>3.125</v>
      </c>
      <c r="G217">
        <v>0.13173778024752422</v>
      </c>
      <c r="H217">
        <v>38.417146389999999</v>
      </c>
    </row>
    <row r="218" spans="1:8" x14ac:dyDescent="0.25">
      <c r="A218">
        <v>1.7585525719888275</v>
      </c>
      <c r="B218">
        <v>3.3085121400338789E-6</v>
      </c>
      <c r="C218">
        <v>3.676124600037644E-7</v>
      </c>
      <c r="D218">
        <v>3</v>
      </c>
      <c r="E218">
        <v>650.34988772929171</v>
      </c>
      <c r="F218">
        <v>4.658385093167702</v>
      </c>
      <c r="G218">
        <v>0.27982995110595765</v>
      </c>
      <c r="H218">
        <v>22.139215459999999</v>
      </c>
    </row>
    <row r="219" spans="1:8" x14ac:dyDescent="0.25">
      <c r="A219">
        <v>0.87927628599441376</v>
      </c>
      <c r="B219">
        <v>6.6170242800677579E-6</v>
      </c>
      <c r="C219">
        <v>7.3522492000752879E-7</v>
      </c>
      <c r="D219">
        <v>3</v>
      </c>
      <c r="E219">
        <v>325.17494386464585</v>
      </c>
      <c r="F219">
        <v>4.658385093167702</v>
      </c>
      <c r="G219">
        <v>0.18090683695400542</v>
      </c>
      <c r="H219">
        <v>28.625495059999999</v>
      </c>
    </row>
    <row r="220" spans="1:8" x14ac:dyDescent="0.25">
      <c r="A220">
        <v>0.58618419066294247</v>
      </c>
      <c r="B220">
        <v>9.9255364201016368E-6</v>
      </c>
      <c r="C220">
        <v>1.1028373800112932E-6</v>
      </c>
      <c r="D220">
        <v>3</v>
      </c>
      <c r="E220">
        <v>216.78329590976389</v>
      </c>
      <c r="F220">
        <v>4.658385093167702</v>
      </c>
      <c r="G220">
        <v>0.12197020441328538</v>
      </c>
      <c r="H220">
        <v>28.949631279999998</v>
      </c>
    </row>
    <row r="221" spans="1:8" x14ac:dyDescent="0.25">
      <c r="A221">
        <v>1.3189144289916206</v>
      </c>
      <c r="B221">
        <v>5.8817993600602304E-6</v>
      </c>
      <c r="C221">
        <v>3.676124600037644E-7</v>
      </c>
      <c r="D221">
        <v>4</v>
      </c>
      <c r="E221">
        <v>650.34988772929171</v>
      </c>
      <c r="F221">
        <v>4.658385093167702</v>
      </c>
      <c r="G221">
        <v>0.25538507465287624</v>
      </c>
      <c r="H221">
        <v>26.9402908</v>
      </c>
    </row>
    <row r="222" spans="1:8" x14ac:dyDescent="0.25">
      <c r="A222">
        <v>0.6594572144958103</v>
      </c>
      <c r="B222">
        <v>1.1763598720120461E-5</v>
      </c>
      <c r="C222">
        <v>7.3522492000752879E-7</v>
      </c>
      <c r="D222">
        <v>4</v>
      </c>
      <c r="E222">
        <v>325.17494386464585</v>
      </c>
      <c r="F222">
        <v>4.658385093167702</v>
      </c>
      <c r="G222">
        <v>0.1347330922523976</v>
      </c>
      <c r="H222">
        <v>28.4256916</v>
      </c>
    </row>
    <row r="223" spans="1:8" x14ac:dyDescent="0.25">
      <c r="A223">
        <v>0.43963814299720683</v>
      </c>
      <c r="B223">
        <v>1.7645398080180691E-5</v>
      </c>
      <c r="C223">
        <v>1.1028373800112932E-6</v>
      </c>
      <c r="D223">
        <v>4</v>
      </c>
      <c r="E223">
        <v>216.78329590976389</v>
      </c>
      <c r="F223">
        <v>4.658385093167702</v>
      </c>
      <c r="G223">
        <v>9.019950323281406E-2</v>
      </c>
      <c r="H223">
        <v>28.545139339999999</v>
      </c>
    </row>
    <row r="224" spans="1:8" x14ac:dyDescent="0.25">
      <c r="A224">
        <v>1.0551315431932964</v>
      </c>
      <c r="B224">
        <v>9.1903115000941076E-6</v>
      </c>
      <c r="C224">
        <v>3.676124600037644E-7</v>
      </c>
      <c r="D224">
        <v>5</v>
      </c>
      <c r="E224">
        <v>650.34988772929159</v>
      </c>
      <c r="F224">
        <v>4.658385093167702</v>
      </c>
      <c r="G224">
        <v>0.20908852868429861</v>
      </c>
      <c r="H224">
        <v>27.570648819999999</v>
      </c>
    </row>
    <row r="225" spans="1:8" x14ac:dyDescent="0.25">
      <c r="A225">
        <v>0.52756577159664819</v>
      </c>
      <c r="B225">
        <v>1.8380623000188215E-5</v>
      </c>
      <c r="C225">
        <v>7.3522492000752879E-7</v>
      </c>
      <c r="D225">
        <v>5</v>
      </c>
      <c r="E225">
        <v>325.1749438646458</v>
      </c>
      <c r="F225">
        <v>4.658385093167702</v>
      </c>
      <c r="G225">
        <v>0.10676208326221215</v>
      </c>
      <c r="H225">
        <v>28.155537020000001</v>
      </c>
    </row>
    <row r="226" spans="1:8" x14ac:dyDescent="0.25">
      <c r="A226">
        <v>0.35171051439776541</v>
      </c>
      <c r="B226">
        <v>2.7570934500282325E-5</v>
      </c>
      <c r="C226">
        <v>1.1028373800112932E-6</v>
      </c>
      <c r="D226">
        <v>5</v>
      </c>
      <c r="E226">
        <v>216.78329590976386</v>
      </c>
      <c r="F226">
        <v>4.658385093167702</v>
      </c>
      <c r="G226">
        <v>7.135341671544515E-2</v>
      </c>
      <c r="H226">
        <v>28.22622561</v>
      </c>
    </row>
    <row r="227" spans="1:8" x14ac:dyDescent="0.25">
      <c r="A227">
        <v>1.7585525719888275</v>
      </c>
      <c r="B227">
        <v>3.3085121400338789E-6</v>
      </c>
      <c r="C227">
        <v>3.676124600037644E-7</v>
      </c>
      <c r="D227">
        <v>3</v>
      </c>
      <c r="E227">
        <v>368.79905374605084</v>
      </c>
      <c r="F227">
        <v>4.658385093167702</v>
      </c>
      <c r="G227">
        <v>0.26128770335358897</v>
      </c>
      <c r="H227">
        <v>20.672214459999999</v>
      </c>
    </row>
    <row r="228" spans="1:8" x14ac:dyDescent="0.25">
      <c r="A228">
        <v>0.87927628599441376</v>
      </c>
      <c r="B228">
        <v>6.6170242800677579E-6</v>
      </c>
      <c r="C228">
        <v>7.3522492000752879E-7</v>
      </c>
      <c r="D228">
        <v>3</v>
      </c>
      <c r="E228">
        <v>184.39952687302542</v>
      </c>
      <c r="F228">
        <v>4.658385093167702</v>
      </c>
      <c r="G228">
        <v>0.17853777166379556</v>
      </c>
      <c r="H228">
        <v>28.250629920000002</v>
      </c>
    </row>
    <row r="229" spans="1:8" x14ac:dyDescent="0.25">
      <c r="A229">
        <v>0.58618419066294247</v>
      </c>
      <c r="B229">
        <v>9.9255364201016368E-6</v>
      </c>
      <c r="C229">
        <v>1.1028373800112932E-6</v>
      </c>
      <c r="D229">
        <v>3</v>
      </c>
      <c r="E229">
        <v>122.93301791535029</v>
      </c>
      <c r="F229">
        <v>4.658385093167702</v>
      </c>
      <c r="G229">
        <v>0.12096921126719293</v>
      </c>
      <c r="H229">
        <v>28.712045530000001</v>
      </c>
    </row>
    <row r="230" spans="1:8" x14ac:dyDescent="0.25">
      <c r="A230">
        <v>1.3189144289916206</v>
      </c>
      <c r="B230">
        <v>5.8817993600602304E-6</v>
      </c>
      <c r="C230">
        <v>3.676124600037644E-7</v>
      </c>
      <c r="D230">
        <v>4</v>
      </c>
      <c r="E230">
        <v>368.7990537460509</v>
      </c>
      <c r="F230">
        <v>4.658385093167702</v>
      </c>
      <c r="G230">
        <v>0.25115209595359406</v>
      </c>
      <c r="H230">
        <v>26.493758530000001</v>
      </c>
    </row>
    <row r="231" spans="1:8" x14ac:dyDescent="0.25">
      <c r="A231">
        <v>0.6594572144958103</v>
      </c>
      <c r="B231">
        <v>1.1763598720120461E-5</v>
      </c>
      <c r="C231">
        <v>7.3522492000752879E-7</v>
      </c>
      <c r="D231">
        <v>4</v>
      </c>
      <c r="E231">
        <v>184.39952687302545</v>
      </c>
      <c r="F231">
        <v>4.658385093167702</v>
      </c>
      <c r="G231">
        <v>0.13459158802882487</v>
      </c>
      <c r="H231">
        <v>28.395837350000001</v>
      </c>
    </row>
    <row r="232" spans="1:8" x14ac:dyDescent="0.25">
      <c r="A232">
        <v>0.43963814299720683</v>
      </c>
      <c r="B232">
        <v>1.7645398080180691E-5</v>
      </c>
      <c r="C232">
        <v>1.1028373800112932E-6</v>
      </c>
      <c r="D232">
        <v>4</v>
      </c>
      <c r="E232">
        <v>122.93301791535029</v>
      </c>
      <c r="F232">
        <v>4.658385093167702</v>
      </c>
      <c r="G232">
        <v>9.0033789242641687E-2</v>
      </c>
      <c r="H232">
        <v>28.492696380000002</v>
      </c>
    </row>
    <row r="233" spans="1:8" x14ac:dyDescent="0.25">
      <c r="A233">
        <v>1.0551315431932964</v>
      </c>
      <c r="B233">
        <v>9.1903115000941076E-6</v>
      </c>
      <c r="C233">
        <v>3.676124600037644E-7</v>
      </c>
      <c r="D233">
        <v>5</v>
      </c>
      <c r="E233">
        <v>368.79905374605084</v>
      </c>
      <c r="F233">
        <v>4.658385093167702</v>
      </c>
      <c r="G233">
        <v>0.20915182626300893</v>
      </c>
      <c r="H233">
        <v>27.57899531</v>
      </c>
    </row>
    <row r="234" spans="1:8" x14ac:dyDescent="0.25">
      <c r="A234">
        <v>0.52756577159664819</v>
      </c>
      <c r="B234">
        <v>1.8380623000188215E-5</v>
      </c>
      <c r="C234">
        <v>7.3522492000752879E-7</v>
      </c>
      <c r="D234">
        <v>5</v>
      </c>
      <c r="E234">
        <v>184.39952687302542</v>
      </c>
      <c r="F234">
        <v>4.658385093167702</v>
      </c>
      <c r="G234">
        <v>0.10708628715236621</v>
      </c>
      <c r="H234">
        <v>28.2410368</v>
      </c>
    </row>
    <row r="235" spans="1:8" x14ac:dyDescent="0.25">
      <c r="A235">
        <v>0.35171051439776541</v>
      </c>
      <c r="B235">
        <v>2.7570934500282325E-5</v>
      </c>
      <c r="C235">
        <v>1.1028373800112932E-6</v>
      </c>
      <c r="D235">
        <v>5</v>
      </c>
      <c r="E235">
        <v>122.93301791535026</v>
      </c>
      <c r="F235">
        <v>4.658385093167702</v>
      </c>
      <c r="G235">
        <v>7.1395070690106296E-2</v>
      </c>
      <c r="H235">
        <v>28.24270323</v>
      </c>
    </row>
    <row r="236" spans="1:8" x14ac:dyDescent="0.25">
      <c r="A236">
        <v>1.7585525719888275</v>
      </c>
      <c r="B236">
        <v>3.3085121400338789E-6</v>
      </c>
      <c r="C236">
        <v>3.676124600037644E-7</v>
      </c>
      <c r="D236">
        <v>3</v>
      </c>
      <c r="E236">
        <v>237.75328510128645</v>
      </c>
      <c r="F236">
        <v>4.658385093167702</v>
      </c>
      <c r="G236">
        <v>0.23567385791490839</v>
      </c>
      <c r="H236">
        <v>18.645732160000001</v>
      </c>
    </row>
    <row r="237" spans="1:8" x14ac:dyDescent="0.25">
      <c r="A237">
        <v>0.87927628599441376</v>
      </c>
      <c r="B237">
        <v>6.6170242800677579E-6</v>
      </c>
      <c r="C237">
        <v>7.3522492000752879E-7</v>
      </c>
      <c r="D237">
        <v>3</v>
      </c>
      <c r="E237">
        <v>118.87664255064323</v>
      </c>
      <c r="F237">
        <v>4.658385093167702</v>
      </c>
      <c r="G237">
        <v>0.17342603849223726</v>
      </c>
      <c r="H237">
        <v>27.44178325</v>
      </c>
    </row>
    <row r="238" spans="1:8" x14ac:dyDescent="0.25">
      <c r="A238">
        <v>0.58618419066294247</v>
      </c>
      <c r="B238">
        <v>9.9255364201016368E-6</v>
      </c>
      <c r="C238">
        <v>1.1028373800112932E-6</v>
      </c>
      <c r="D238">
        <v>3</v>
      </c>
      <c r="E238">
        <v>79.251095033762155</v>
      </c>
      <c r="F238">
        <v>4.658385093167702</v>
      </c>
      <c r="G238">
        <v>0.1184664585684131</v>
      </c>
      <c r="H238">
        <v>28.11801711</v>
      </c>
    </row>
    <row r="239" spans="1:8" x14ac:dyDescent="0.25">
      <c r="A239">
        <v>1.3189144289916206</v>
      </c>
      <c r="B239">
        <v>5.8817993600602304E-6</v>
      </c>
      <c r="C239">
        <v>3.676124600037644E-7</v>
      </c>
      <c r="D239">
        <v>4</v>
      </c>
      <c r="E239">
        <v>237.75328510128645</v>
      </c>
      <c r="F239">
        <v>4.658385093167702</v>
      </c>
      <c r="G239" s="1">
        <v>0.24270746193581594</v>
      </c>
      <c r="H239">
        <v>25.602943369999998</v>
      </c>
    </row>
    <row r="240" spans="1:8" x14ac:dyDescent="0.25">
      <c r="A240">
        <v>0.6594572144958103</v>
      </c>
      <c r="B240">
        <v>1.1763598720120461E-5</v>
      </c>
      <c r="C240">
        <v>7.3522492000752879E-7</v>
      </c>
      <c r="D240">
        <v>4</v>
      </c>
      <c r="E240">
        <v>118.87664255064323</v>
      </c>
      <c r="F240">
        <v>4.658385093167702</v>
      </c>
      <c r="G240">
        <v>0.13309944123574513</v>
      </c>
      <c r="H240" s="1">
        <v>28.081027500000001</v>
      </c>
    </row>
    <row r="241" spans="1:8" x14ac:dyDescent="0.25">
      <c r="A241">
        <v>0.43963814299720683</v>
      </c>
      <c r="B241">
        <v>1.7645398080180691E-5</v>
      </c>
      <c r="C241">
        <v>1.1028373800112932E-6</v>
      </c>
      <c r="D241">
        <v>4</v>
      </c>
      <c r="E241">
        <v>79.251095033762141</v>
      </c>
      <c r="F241">
        <v>4.658385093167702</v>
      </c>
      <c r="G241">
        <v>8.9114177296562638E-2</v>
      </c>
      <c r="H241">
        <v>28.201669819999999</v>
      </c>
    </row>
    <row r="242" spans="1:8" x14ac:dyDescent="0.25">
      <c r="A242">
        <v>1.0551315431932964</v>
      </c>
      <c r="B242">
        <v>9.1903115000941076E-6</v>
      </c>
      <c r="C242">
        <v>3.676124600037644E-7</v>
      </c>
      <c r="D242">
        <v>5</v>
      </c>
      <c r="E242">
        <v>237.75328510128642</v>
      </c>
      <c r="F242">
        <v>4.658385093167702</v>
      </c>
      <c r="G242">
        <v>0.20650776268906518</v>
      </c>
      <c r="H242">
        <v>27.230346109999999</v>
      </c>
    </row>
    <row r="243" spans="1:8" x14ac:dyDescent="0.25">
      <c r="A243">
        <v>0.52756577159664819</v>
      </c>
      <c r="B243">
        <v>1.8380623000188215E-5</v>
      </c>
      <c r="C243">
        <v>7.3522492000752879E-7</v>
      </c>
      <c r="D243">
        <v>5</v>
      </c>
      <c r="E243">
        <v>118.87664255064321</v>
      </c>
      <c r="F243">
        <v>4.658385093167702</v>
      </c>
      <c r="G243">
        <v>0.10656672507904601</v>
      </c>
      <c r="H243">
        <v>28.104016720000001</v>
      </c>
    </row>
    <row r="244" spans="1:8" x14ac:dyDescent="0.25">
      <c r="A244">
        <v>0.35171051439776541</v>
      </c>
      <c r="B244">
        <v>2.7570934500282325E-5</v>
      </c>
      <c r="C244">
        <v>1.1028373800112932E-6</v>
      </c>
      <c r="D244">
        <v>5</v>
      </c>
      <c r="E244">
        <v>79.251095033762127</v>
      </c>
      <c r="F244">
        <v>4.658385093167702</v>
      </c>
      <c r="G244">
        <v>7.0938440937479849E-2</v>
      </c>
      <c r="H244">
        <v>28.06206809</v>
      </c>
    </row>
    <row r="245" spans="1:8" x14ac:dyDescent="0.25">
      <c r="A245">
        <v>2.3447367626517703</v>
      </c>
      <c r="B245">
        <v>3.3085121400338789E-6</v>
      </c>
      <c r="C245">
        <v>3.676124600037644E-7</v>
      </c>
      <c r="D245">
        <v>3</v>
      </c>
      <c r="E245">
        <v>655.64276221520174</v>
      </c>
      <c r="F245">
        <v>4.658385093167702</v>
      </c>
      <c r="G245">
        <v>-9.7798501934052789E-2</v>
      </c>
      <c r="H245">
        <v>-7.7374923500000001</v>
      </c>
    </row>
    <row r="246" spans="1:8" x14ac:dyDescent="0.25">
      <c r="A246">
        <v>1.1723683813258852</v>
      </c>
      <c r="B246">
        <v>6.6170242800677579E-6</v>
      </c>
      <c r="C246">
        <v>7.3522492000752879E-7</v>
      </c>
      <c r="D246">
        <v>3</v>
      </c>
      <c r="E246">
        <v>327.82138110760087</v>
      </c>
      <c r="F246">
        <v>4.658385093167702</v>
      </c>
      <c r="G246">
        <v>0.23022086476495593</v>
      </c>
      <c r="H246">
        <v>36.42861894</v>
      </c>
    </row>
    <row r="247" spans="1:8" x14ac:dyDescent="0.25">
      <c r="A247">
        <v>0.78157892088392333</v>
      </c>
      <c r="B247">
        <v>9.9255364201016368E-6</v>
      </c>
      <c r="C247">
        <v>1.1028373800112932E-6</v>
      </c>
      <c r="D247">
        <v>3</v>
      </c>
      <c r="E247">
        <v>218.54758740506725</v>
      </c>
      <c r="F247">
        <v>4.658385093167702</v>
      </c>
      <c r="G247">
        <v>0.15965155415874366</v>
      </c>
      <c r="H247">
        <v>37.89330065</v>
      </c>
    </row>
    <row r="248" spans="1:8" x14ac:dyDescent="0.25">
      <c r="A248">
        <v>1.7585525719888275</v>
      </c>
      <c r="B248">
        <v>5.8817993600602304E-6</v>
      </c>
      <c r="C248">
        <v>3.676124600037644E-7</v>
      </c>
      <c r="D248">
        <v>4</v>
      </c>
      <c r="E248">
        <v>655.64276221520186</v>
      </c>
      <c r="F248">
        <v>4.658385093167702</v>
      </c>
      <c r="G248">
        <v>0.27020772185539588</v>
      </c>
      <c r="H248">
        <v>28.503915559999999</v>
      </c>
    </row>
    <row r="249" spans="1:8" x14ac:dyDescent="0.25">
      <c r="A249">
        <v>0.87927628599441376</v>
      </c>
      <c r="B249">
        <v>1.1763598720120461E-5</v>
      </c>
      <c r="C249">
        <v>7.3522492000752879E-7</v>
      </c>
      <c r="D249">
        <v>4</v>
      </c>
      <c r="E249">
        <v>327.82138110760093</v>
      </c>
      <c r="F249">
        <v>4.658385093167702</v>
      </c>
      <c r="G249">
        <v>0.17582102864259694</v>
      </c>
      <c r="H249">
        <v>37.094334089999997</v>
      </c>
    </row>
    <row r="250" spans="1:8" x14ac:dyDescent="0.25">
      <c r="A250">
        <v>0.58618419066294247</v>
      </c>
      <c r="B250">
        <v>1.7645398080180691E-5</v>
      </c>
      <c r="C250">
        <v>1.1028373800112932E-6</v>
      </c>
      <c r="D250">
        <v>4</v>
      </c>
      <c r="E250">
        <v>218.54758740506725</v>
      </c>
      <c r="F250">
        <v>4.658385093167702</v>
      </c>
      <c r="G250">
        <v>0.11879019360671352</v>
      </c>
      <c r="H250">
        <v>37.593140839999997</v>
      </c>
    </row>
    <row r="251" spans="1:8" x14ac:dyDescent="0.25">
      <c r="A251">
        <v>1.4068420575910618</v>
      </c>
      <c r="B251">
        <v>9.1903115000941076E-6</v>
      </c>
      <c r="C251">
        <v>3.676124600037644E-7</v>
      </c>
      <c r="D251">
        <v>5</v>
      </c>
      <c r="E251">
        <v>655.64276221520163</v>
      </c>
      <c r="F251">
        <v>4.658385093167702</v>
      </c>
      <c r="G251">
        <v>0.25771915300790954</v>
      </c>
      <c r="H251">
        <v>33.9831377</v>
      </c>
    </row>
    <row r="252" spans="1:8" x14ac:dyDescent="0.25">
      <c r="A252">
        <v>0.70342102879553092</v>
      </c>
      <c r="B252">
        <v>1.8380623000188215E-5</v>
      </c>
      <c r="C252">
        <v>7.3522492000752879E-7</v>
      </c>
      <c r="D252">
        <v>5</v>
      </c>
      <c r="E252">
        <v>327.82138110760081</v>
      </c>
      <c r="F252">
        <v>4.658385093167702</v>
      </c>
      <c r="G252">
        <v>0.14000057063075624</v>
      </c>
      <c r="H252">
        <v>36.921265759999997</v>
      </c>
    </row>
    <row r="253" spans="1:8" x14ac:dyDescent="0.25">
      <c r="A253">
        <v>0.46894735253035391</v>
      </c>
      <c r="B253">
        <v>2.7570934500282325E-5</v>
      </c>
      <c r="C253">
        <v>1.1028373800112932E-6</v>
      </c>
      <c r="D253">
        <v>5</v>
      </c>
      <c r="E253">
        <v>218.54758740506722</v>
      </c>
      <c r="F253">
        <v>4.658385093167702</v>
      </c>
      <c r="G253">
        <v>9.4081433947642776E-2</v>
      </c>
      <c r="H253">
        <v>37.217051439999999</v>
      </c>
    </row>
    <row r="254" spans="1:8" x14ac:dyDescent="0.25">
      <c r="A254">
        <v>2.3447367626517703</v>
      </c>
      <c r="B254">
        <v>3.3085121400338789E-6</v>
      </c>
      <c r="C254">
        <v>3.676124600037644E-7</v>
      </c>
      <c r="D254">
        <v>3</v>
      </c>
      <c r="E254">
        <v>372.3372128966592</v>
      </c>
      <c r="F254">
        <v>4.658385093167702</v>
      </c>
      <c r="G254">
        <v>-0.13838584090331332</v>
      </c>
      <c r="H254">
        <v>-10.94862768</v>
      </c>
    </row>
    <row r="255" spans="1:8" x14ac:dyDescent="0.25">
      <c r="A255">
        <v>1.1723683813258852</v>
      </c>
      <c r="B255">
        <v>6.6170242800677579E-6</v>
      </c>
      <c r="C255">
        <v>7.3522492000752879E-7</v>
      </c>
      <c r="D255">
        <v>3</v>
      </c>
      <c r="E255">
        <v>186.1686064483296</v>
      </c>
      <c r="F255">
        <v>4.658385093167702</v>
      </c>
      <c r="G255">
        <v>0.2227193363497624</v>
      </c>
      <c r="H255">
        <v>35.241626959999998</v>
      </c>
    </row>
    <row r="256" spans="1:8" x14ac:dyDescent="0.25">
      <c r="A256">
        <v>0.78157892088392333</v>
      </c>
      <c r="B256">
        <v>9.9255364201016368E-6</v>
      </c>
      <c r="C256">
        <v>1.1028373800112932E-6</v>
      </c>
      <c r="D256">
        <v>3</v>
      </c>
      <c r="E256">
        <v>124.11240429888639</v>
      </c>
      <c r="F256">
        <v>4.658385093167702</v>
      </c>
      <c r="G256">
        <v>0.15708445619651804</v>
      </c>
      <c r="H256">
        <v>37.283999880000003</v>
      </c>
    </row>
    <row r="257" spans="1:8" x14ac:dyDescent="0.25">
      <c r="A257">
        <v>1.7585525719888275</v>
      </c>
      <c r="B257">
        <v>5.8817993600602304E-6</v>
      </c>
      <c r="C257">
        <v>3.676124600037644E-7</v>
      </c>
      <c r="D257">
        <v>4</v>
      </c>
      <c r="E257">
        <v>372.3372128966592</v>
      </c>
      <c r="F257">
        <v>4.658385093167702</v>
      </c>
      <c r="G257">
        <v>0.25667580011306235</v>
      </c>
      <c r="H257">
        <v>27.07644801</v>
      </c>
    </row>
    <row r="258" spans="1:8" x14ac:dyDescent="0.25">
      <c r="A258">
        <v>0.87927628599441376</v>
      </c>
      <c r="B258">
        <v>1.1763598720120461E-5</v>
      </c>
      <c r="C258">
        <v>7.3522492000752879E-7</v>
      </c>
      <c r="D258">
        <v>4</v>
      </c>
      <c r="E258">
        <v>186.1686064483296</v>
      </c>
      <c r="F258">
        <v>4.658385093167702</v>
      </c>
      <c r="G258">
        <v>0.17488636381744749</v>
      </c>
      <c r="H258">
        <v>36.897140559999997</v>
      </c>
    </row>
    <row r="259" spans="1:8" x14ac:dyDescent="0.25">
      <c r="A259">
        <v>0.58618419066294247</v>
      </c>
      <c r="B259">
        <v>1.7645398080180691E-5</v>
      </c>
      <c r="C259">
        <v>1.1028373800112932E-6</v>
      </c>
      <c r="D259">
        <v>4</v>
      </c>
      <c r="E259">
        <v>124.11240429888639</v>
      </c>
      <c r="F259">
        <v>4.658385093167702</v>
      </c>
      <c r="G259">
        <v>0.11850589829432441</v>
      </c>
      <c r="H259">
        <v>37.503170840000003</v>
      </c>
    </row>
    <row r="260" spans="1:8" x14ac:dyDescent="0.25">
      <c r="A260">
        <v>1.4068420575910618</v>
      </c>
      <c r="B260">
        <v>9.1903115000941076E-6</v>
      </c>
      <c r="C260">
        <v>3.676124600037644E-7</v>
      </c>
      <c r="D260">
        <v>5</v>
      </c>
      <c r="E260">
        <v>372.33721289665914</v>
      </c>
      <c r="F260">
        <v>4.658385093167702</v>
      </c>
      <c r="G260">
        <v>0.25509004213504027</v>
      </c>
      <c r="H260">
        <v>33.63646018</v>
      </c>
    </row>
    <row r="261" spans="1:8" x14ac:dyDescent="0.25">
      <c r="A261">
        <v>0.70342102879553092</v>
      </c>
      <c r="B261">
        <v>1.8380623000188215E-5</v>
      </c>
      <c r="C261">
        <v>7.3522492000752879E-7</v>
      </c>
      <c r="D261">
        <v>5</v>
      </c>
      <c r="E261">
        <v>186.16860644832957</v>
      </c>
      <c r="F261">
        <v>4.658385093167702</v>
      </c>
      <c r="G261">
        <v>0.1405925133995217</v>
      </c>
      <c r="H261">
        <v>37.077374239999997</v>
      </c>
    </row>
    <row r="262" spans="1:8" x14ac:dyDescent="0.25">
      <c r="A262">
        <v>0.46894735253035391</v>
      </c>
      <c r="B262">
        <v>2.7570934500282325E-5</v>
      </c>
      <c r="C262">
        <v>1.1028373800112932E-6</v>
      </c>
      <c r="D262">
        <v>5</v>
      </c>
      <c r="E262">
        <v>124.11240429888637</v>
      </c>
      <c r="F262">
        <v>4.658385093167702</v>
      </c>
      <c r="G262">
        <v>9.432831264743799E-2</v>
      </c>
      <c r="H262">
        <v>37.314712550000003</v>
      </c>
    </row>
    <row r="263" spans="1:8" x14ac:dyDescent="0.25">
      <c r="A263">
        <v>2.3447367626517703</v>
      </c>
      <c r="B263">
        <v>3.3085121400338789E-6</v>
      </c>
      <c r="C263">
        <v>3.676124600037644E-7</v>
      </c>
      <c r="D263">
        <v>3</v>
      </c>
      <c r="E263">
        <v>240.34211398784015</v>
      </c>
      <c r="F263">
        <v>4.658385093167702</v>
      </c>
      <c r="G263">
        <v>-0.1913557050833907</v>
      </c>
      <c r="H263">
        <v>-15.13942724</v>
      </c>
    </row>
    <row r="264" spans="1:8" x14ac:dyDescent="0.25">
      <c r="A264">
        <v>1.1723683813258852</v>
      </c>
      <c r="B264">
        <v>6.6170242800677579E-6</v>
      </c>
      <c r="C264">
        <v>7.3522492000752879E-7</v>
      </c>
      <c r="D264">
        <v>3</v>
      </c>
      <c r="E264">
        <v>120.17105699392008</v>
      </c>
      <c r="F264">
        <v>4.658385093167702</v>
      </c>
      <c r="G264">
        <v>0.2100222107109492</v>
      </c>
      <c r="H264">
        <v>33.232518220000003</v>
      </c>
    </row>
    <row r="265" spans="1:8" x14ac:dyDescent="0.25">
      <c r="A265">
        <v>0.78157892088392333</v>
      </c>
      <c r="B265">
        <v>9.9255364201016368E-6</v>
      </c>
      <c r="C265">
        <v>1.1028373800112932E-6</v>
      </c>
      <c r="D265">
        <v>3</v>
      </c>
      <c r="E265">
        <v>80.114037995946717</v>
      </c>
      <c r="F265">
        <v>4.658385093167702</v>
      </c>
      <c r="G265">
        <v>0.15147025965205088</v>
      </c>
      <c r="H265">
        <v>35.951470180000001</v>
      </c>
    </row>
    <row r="266" spans="1:8" x14ac:dyDescent="0.25">
      <c r="A266">
        <v>1.7585525719888275</v>
      </c>
      <c r="B266">
        <v>5.8817993600602304E-6</v>
      </c>
      <c r="C266">
        <v>3.676124600037644E-7</v>
      </c>
      <c r="D266">
        <v>4</v>
      </c>
      <c r="E266">
        <v>240.34211398784015</v>
      </c>
      <c r="F266">
        <v>4.658385093167702</v>
      </c>
      <c r="G266">
        <v>0.2348957648384927</v>
      </c>
      <c r="H266">
        <v>24.778896029999999</v>
      </c>
    </row>
    <row r="267" spans="1:8" x14ac:dyDescent="0.25">
      <c r="A267">
        <v>0.87927628599441376</v>
      </c>
      <c r="B267">
        <v>1.1763598720120461E-5</v>
      </c>
      <c r="C267">
        <v>7.3522492000752879E-7</v>
      </c>
      <c r="D267">
        <v>4</v>
      </c>
      <c r="E267">
        <v>120.17105699392008</v>
      </c>
      <c r="F267">
        <v>4.658385093167702</v>
      </c>
      <c r="G267">
        <v>0.17100780567544283</v>
      </c>
      <c r="H267">
        <v>36.078850889999998</v>
      </c>
    </row>
    <row r="268" spans="1:8" x14ac:dyDescent="0.25">
      <c r="A268">
        <v>0.58618419066294247</v>
      </c>
      <c r="B268">
        <v>1.7645398080180691E-5</v>
      </c>
      <c r="C268">
        <v>1.1028373800112932E-6</v>
      </c>
      <c r="D268">
        <v>4</v>
      </c>
      <c r="E268">
        <v>80.114037995946703</v>
      </c>
      <c r="F268">
        <v>4.658385093167702</v>
      </c>
      <c r="G268">
        <v>0.11665441112147545</v>
      </c>
      <c r="H268">
        <v>36.917236799999998</v>
      </c>
    </row>
    <row r="269" spans="1:8" x14ac:dyDescent="0.25">
      <c r="A269">
        <v>1.4068420575910618</v>
      </c>
      <c r="B269">
        <v>9.1903115000941076E-6</v>
      </c>
      <c r="C269">
        <v>3.676124600037644E-7</v>
      </c>
      <c r="D269">
        <v>5</v>
      </c>
      <c r="E269">
        <v>240.34211398784009</v>
      </c>
      <c r="F269">
        <v>4.658385093167702</v>
      </c>
      <c r="G269">
        <v>0.24649714455697494</v>
      </c>
      <c r="H269">
        <v>32.503391030000003</v>
      </c>
    </row>
    <row r="270" spans="1:8" x14ac:dyDescent="0.25">
      <c r="A270">
        <v>0.70342102879553092</v>
      </c>
      <c r="B270">
        <v>1.8380623000188215E-5</v>
      </c>
      <c r="C270">
        <v>7.3522492000752879E-7</v>
      </c>
      <c r="D270">
        <v>5</v>
      </c>
      <c r="E270">
        <v>120.17105699392005</v>
      </c>
      <c r="F270">
        <v>4.658385093167702</v>
      </c>
      <c r="G270">
        <v>0.13934517944276661</v>
      </c>
      <c r="H270">
        <v>36.74842452</v>
      </c>
    </row>
    <row r="271" spans="1:8" x14ac:dyDescent="0.25">
      <c r="A271">
        <v>0.46894735253035391</v>
      </c>
      <c r="B271">
        <v>2.7570934500282325E-5</v>
      </c>
      <c r="C271">
        <v>1.1028373800112932E-6</v>
      </c>
      <c r="D271">
        <v>5</v>
      </c>
      <c r="E271">
        <v>80.114037995946688</v>
      </c>
      <c r="F271">
        <v>4.658385093167702</v>
      </c>
      <c r="G271">
        <v>9.3583405413079732E-2</v>
      </c>
      <c r="H271">
        <v>37.020039629999999</v>
      </c>
    </row>
    <row r="272" spans="1:8" x14ac:dyDescent="0.25">
      <c r="A272">
        <v>2.1102630863865928</v>
      </c>
      <c r="B272">
        <v>2.2975778750235269E-6</v>
      </c>
      <c r="C272">
        <v>3.676124600037644E-7</v>
      </c>
      <c r="D272">
        <v>2.5</v>
      </c>
      <c r="E272">
        <v>650.34988772929159</v>
      </c>
      <c r="F272">
        <v>4.658385093167702</v>
      </c>
      <c r="G272">
        <v>0.17653525107211324</v>
      </c>
      <c r="H272">
        <v>11.63906849</v>
      </c>
    </row>
    <row r="273" spans="1:8" x14ac:dyDescent="0.25">
      <c r="A273">
        <v>1.0551315431932964</v>
      </c>
      <c r="B273">
        <v>4.5951557500470538E-6</v>
      </c>
      <c r="C273">
        <v>7.3522492000752879E-7</v>
      </c>
      <c r="D273">
        <v>2.5</v>
      </c>
      <c r="E273">
        <v>325.1749438646458</v>
      </c>
      <c r="F273">
        <v>4.658385093167702</v>
      </c>
      <c r="G273">
        <v>0.21564193131630632</v>
      </c>
      <c r="H273">
        <v>28.434787870000001</v>
      </c>
    </row>
    <row r="274" spans="1:8" x14ac:dyDescent="0.25">
      <c r="A274">
        <v>0.70342102879553081</v>
      </c>
      <c r="B274">
        <v>6.8927336250705811E-6</v>
      </c>
      <c r="C274">
        <v>1.1028373800112932E-6</v>
      </c>
      <c r="D274">
        <v>2.5</v>
      </c>
      <c r="E274">
        <v>216.78329590976386</v>
      </c>
      <c r="F274">
        <v>4.658385093167702</v>
      </c>
      <c r="G274">
        <v>0.14732110127405759</v>
      </c>
      <c r="H274">
        <v>29.13888944</v>
      </c>
    </row>
    <row r="275" spans="1:8" x14ac:dyDescent="0.25">
      <c r="A275">
        <v>1.5826974730596919</v>
      </c>
      <c r="B275">
        <v>4.0845820720141776E-6</v>
      </c>
      <c r="C275">
        <v>3.676124600037644E-7</v>
      </c>
      <c r="D275">
        <v>3.3333330000000001</v>
      </c>
      <c r="E275">
        <v>650.34988772929171</v>
      </c>
      <c r="F275">
        <v>4.658385093167702</v>
      </c>
      <c r="G275">
        <v>0.28192203497139001</v>
      </c>
      <c r="H275" s="1">
        <v>24.7830355</v>
      </c>
    </row>
    <row r="276" spans="1:8" x14ac:dyDescent="0.25">
      <c r="A276">
        <v>0.79134873652984594</v>
      </c>
      <c r="B276">
        <v>8.1691641440283553E-6</v>
      </c>
      <c r="C276">
        <v>7.3522492000752879E-7</v>
      </c>
      <c r="D276">
        <v>3.3333330000000001</v>
      </c>
      <c r="E276">
        <v>325.17494386464585</v>
      </c>
      <c r="F276">
        <v>4.658385093167702</v>
      </c>
      <c r="G276">
        <v>0.16262147354943476</v>
      </c>
      <c r="H276" s="1">
        <v>28.59126462</v>
      </c>
    </row>
    <row r="277" spans="1:8" x14ac:dyDescent="0.25">
      <c r="A277">
        <v>0.52756582435323063</v>
      </c>
      <c r="B277">
        <v>1.2253746216042535E-5</v>
      </c>
      <c r="C277">
        <v>1.1028373800112932E-6</v>
      </c>
      <c r="D277">
        <v>3.3333330000000001</v>
      </c>
      <c r="E277">
        <v>216.78329590976389</v>
      </c>
      <c r="F277">
        <v>4.658385093167702</v>
      </c>
      <c r="G277">
        <v>0.10923653343091597</v>
      </c>
      <c r="H277">
        <v>28.808101709999999</v>
      </c>
    </row>
    <row r="278" spans="1:8" x14ac:dyDescent="0.25">
      <c r="A278">
        <v>1.2661580544172444</v>
      </c>
      <c r="B278">
        <v>6.382158721662961E-6</v>
      </c>
      <c r="C278">
        <v>3.676124600037644E-7</v>
      </c>
      <c r="D278">
        <v>4.1666660000000002</v>
      </c>
      <c r="E278">
        <v>650.34988772929159</v>
      </c>
      <c r="F278">
        <v>4.658385093167702</v>
      </c>
      <c r="G278">
        <v>0.24721290863792261</v>
      </c>
      <c r="H278">
        <v>27.16480606</v>
      </c>
    </row>
    <row r="279" spans="1:8" x14ac:dyDescent="0.25">
      <c r="A279">
        <v>0.63307902720862219</v>
      </c>
      <c r="B279">
        <v>1.2764317443325922E-5</v>
      </c>
      <c r="C279">
        <v>7.3522492000752879E-7</v>
      </c>
      <c r="D279">
        <v>4.1666660000000002</v>
      </c>
      <c r="E279">
        <v>325.1749438646458</v>
      </c>
      <c r="F279">
        <v>4.658385093167702</v>
      </c>
      <c r="G279">
        <v>0.12913225053232344</v>
      </c>
      <c r="H279">
        <v>28.37920205</v>
      </c>
    </row>
    <row r="280" spans="1:8" x14ac:dyDescent="0.25">
      <c r="A280">
        <v>0.42205268480574815</v>
      </c>
      <c r="B280">
        <v>1.9146476164988884E-5</v>
      </c>
      <c r="C280">
        <v>1.1028373800112932E-6</v>
      </c>
      <c r="D280">
        <v>4.1666660000000002</v>
      </c>
      <c r="E280">
        <v>216.78329590976389</v>
      </c>
      <c r="F280">
        <v>4.658385093167702</v>
      </c>
      <c r="G280">
        <v>8.6411660473548368E-2</v>
      </c>
      <c r="H280">
        <v>28.485842559999998</v>
      </c>
    </row>
    <row r="281" spans="1:8" x14ac:dyDescent="0.25">
      <c r="A281">
        <v>2.1102630863865928</v>
      </c>
      <c r="B281">
        <v>2.2975778750235269E-6</v>
      </c>
      <c r="C281">
        <v>3.676124600037644E-7</v>
      </c>
      <c r="D281">
        <v>2.5</v>
      </c>
      <c r="E281">
        <v>368.79905374605084</v>
      </c>
      <c r="F281">
        <v>4.658385093167702</v>
      </c>
      <c r="G281">
        <v>0.13837173424385399</v>
      </c>
      <c r="H281">
        <v>9.1229263399999994</v>
      </c>
    </row>
    <row r="282" spans="1:8" x14ac:dyDescent="0.25">
      <c r="A282">
        <v>1.0551315431932964</v>
      </c>
      <c r="B282">
        <v>4.5951557500470538E-6</v>
      </c>
      <c r="C282">
        <v>7.3522492000752879E-7</v>
      </c>
      <c r="D282">
        <v>2.5</v>
      </c>
      <c r="E282">
        <v>184.39952687302542</v>
      </c>
      <c r="F282">
        <v>4.658385093167702</v>
      </c>
      <c r="G282">
        <v>0.20941488817564227</v>
      </c>
      <c r="H282">
        <v>27.613682950000001</v>
      </c>
    </row>
    <row r="283" spans="1:8" x14ac:dyDescent="0.25">
      <c r="A283">
        <v>0.70342102879553081</v>
      </c>
      <c r="B283">
        <v>6.8927336250705811E-6</v>
      </c>
      <c r="C283">
        <v>1.1028373800112932E-6</v>
      </c>
      <c r="D283">
        <v>2.5</v>
      </c>
      <c r="E283">
        <v>122.93301791535026</v>
      </c>
      <c r="F283">
        <v>4.658385093167702</v>
      </c>
      <c r="G283">
        <v>0.1449171241782182</v>
      </c>
      <c r="H283">
        <v>28.663402749999999</v>
      </c>
    </row>
    <row r="284" spans="1:8" x14ac:dyDescent="0.25">
      <c r="A284">
        <v>1.5826974730596919</v>
      </c>
      <c r="B284">
        <v>4.0845820720141776E-6</v>
      </c>
      <c r="C284">
        <v>3.676124600037644E-7</v>
      </c>
      <c r="D284">
        <v>3.3333330000000001</v>
      </c>
      <c r="E284">
        <v>368.79905374605079</v>
      </c>
      <c r="F284">
        <v>4.658385093167702</v>
      </c>
      <c r="G284">
        <v>0.27022200721178069</v>
      </c>
      <c r="H284">
        <v>23.754516379999998</v>
      </c>
    </row>
    <row r="285" spans="1:8" x14ac:dyDescent="0.25">
      <c r="A285">
        <v>0.79134873652984594</v>
      </c>
      <c r="B285">
        <v>8.1691641440283553E-6</v>
      </c>
      <c r="C285">
        <v>7.3522492000752879E-7</v>
      </c>
      <c r="D285">
        <v>3.3333330000000001</v>
      </c>
      <c r="E285">
        <v>184.39952687302539</v>
      </c>
      <c r="F285">
        <v>4.658385093167702</v>
      </c>
      <c r="G285">
        <v>0.16142834362146075</v>
      </c>
      <c r="H285">
        <v>28.381494700000001</v>
      </c>
    </row>
    <row r="286" spans="1:8" x14ac:dyDescent="0.25">
      <c r="A286">
        <v>0.52756582435323063</v>
      </c>
      <c r="B286">
        <v>1.2253746216042535E-5</v>
      </c>
      <c r="C286">
        <v>1.1028373800112932E-6</v>
      </c>
      <c r="D286">
        <v>3.3333330000000001</v>
      </c>
      <c r="E286">
        <v>122.93301791535026</v>
      </c>
      <c r="F286">
        <v>4.658385093167702</v>
      </c>
      <c r="G286">
        <v>0.10866592748492675</v>
      </c>
      <c r="H286">
        <v>28.65762024</v>
      </c>
    </row>
    <row r="287" spans="1:8" x14ac:dyDescent="0.25">
      <c r="A287">
        <v>1.2661580544172444</v>
      </c>
      <c r="B287">
        <v>6.382158721662961E-6</v>
      </c>
      <c r="C287">
        <v>3.676124600037644E-7</v>
      </c>
      <c r="D287">
        <v>4.1666660000000002</v>
      </c>
      <c r="E287">
        <v>368.79905374605084</v>
      </c>
      <c r="F287">
        <v>4.658385093167702</v>
      </c>
      <c r="G287">
        <v>0.24409406096563604</v>
      </c>
      <c r="H287">
        <v>26.822093809999998</v>
      </c>
    </row>
    <row r="288" spans="1:8" x14ac:dyDescent="0.25">
      <c r="A288">
        <v>0.63307902720862219</v>
      </c>
      <c r="B288">
        <v>1.2764317443325922E-5</v>
      </c>
      <c r="C288">
        <v>7.3522492000752879E-7</v>
      </c>
      <c r="D288">
        <v>4.1666660000000002</v>
      </c>
      <c r="E288">
        <v>184.39952687302542</v>
      </c>
      <c r="F288">
        <v>4.658385093167702</v>
      </c>
      <c r="G288">
        <v>0.12912150586276105</v>
      </c>
      <c r="H288">
        <v>28.37684071</v>
      </c>
    </row>
    <row r="289" spans="1:8" x14ac:dyDescent="0.25">
      <c r="A289">
        <v>0.42205268480574815</v>
      </c>
      <c r="B289">
        <v>1.9146476164988884E-5</v>
      </c>
      <c r="C289">
        <v>1.1028373800112932E-6</v>
      </c>
      <c r="D289">
        <v>4.1666660000000002</v>
      </c>
      <c r="E289">
        <v>122.93301791535029</v>
      </c>
      <c r="F289">
        <v>4.658385093167702</v>
      </c>
      <c r="G289">
        <v>8.630019421506302E-2</v>
      </c>
      <c r="H289">
        <v>28.449097399999999</v>
      </c>
    </row>
    <row r="290" spans="1:8" x14ac:dyDescent="0.25">
      <c r="A290">
        <v>2.1102630863865928</v>
      </c>
      <c r="B290">
        <v>2.2975778750235269E-6</v>
      </c>
      <c r="C290">
        <v>3.676124600037644E-7</v>
      </c>
      <c r="D290">
        <v>2.5</v>
      </c>
      <c r="E290">
        <v>237.75328510128642</v>
      </c>
      <c r="F290">
        <v>4.658385093167702</v>
      </c>
      <c r="G290">
        <v>9.0243144614034487E-2</v>
      </c>
      <c r="H290">
        <v>5.9497813300000004</v>
      </c>
    </row>
    <row r="291" spans="1:8" x14ac:dyDescent="0.25">
      <c r="A291">
        <v>1.0551315431932964</v>
      </c>
      <c r="B291">
        <v>4.5951557500470538E-6</v>
      </c>
      <c r="C291">
        <v>7.3522492000752879E-7</v>
      </c>
      <c r="D291">
        <v>2.5</v>
      </c>
      <c r="E291">
        <v>118.87664255064321</v>
      </c>
      <c r="F291">
        <v>4.658385093167702</v>
      </c>
      <c r="G291">
        <v>0.1990254417037694</v>
      </c>
      <c r="H291">
        <v>26.24371884</v>
      </c>
    </row>
    <row r="292" spans="1:8" x14ac:dyDescent="0.25">
      <c r="A292">
        <v>0.70342102879553081</v>
      </c>
      <c r="B292">
        <v>6.8927336250705811E-6</v>
      </c>
      <c r="C292">
        <v>1.1028373800112932E-6</v>
      </c>
      <c r="D292">
        <v>2.5</v>
      </c>
      <c r="E292">
        <v>79.251095033762127</v>
      </c>
      <c r="F292">
        <v>4.658385093167702</v>
      </c>
      <c r="G292">
        <v>0.14009636869032041</v>
      </c>
      <c r="H292">
        <v>27.709897380000001</v>
      </c>
    </row>
    <row r="293" spans="1:8" x14ac:dyDescent="0.25">
      <c r="A293">
        <v>1.5826974730596919</v>
      </c>
      <c r="B293">
        <v>4.0845820720141776E-6</v>
      </c>
      <c r="C293">
        <v>3.676124600037644E-7</v>
      </c>
      <c r="D293">
        <v>3.3333330000000001</v>
      </c>
      <c r="E293">
        <v>237.75328510128637</v>
      </c>
      <c r="F293">
        <v>4.658385093167702</v>
      </c>
      <c r="G293">
        <v>0.25266794907357631</v>
      </c>
      <c r="H293">
        <v>22.21138462</v>
      </c>
    </row>
    <row r="294" spans="1:8" x14ac:dyDescent="0.25">
      <c r="A294">
        <v>0.79134873652984594</v>
      </c>
      <c r="B294">
        <v>8.1691641440283553E-6</v>
      </c>
      <c r="C294">
        <v>7.3522492000752879E-7</v>
      </c>
      <c r="D294">
        <v>3.3333330000000001</v>
      </c>
      <c r="E294">
        <v>118.87664255064318</v>
      </c>
      <c r="F294">
        <v>4.658385093167702</v>
      </c>
      <c r="G294">
        <v>0.15812434314097301</v>
      </c>
      <c r="H294">
        <v>27.80060246</v>
      </c>
    </row>
    <row r="295" spans="1:8" x14ac:dyDescent="0.25">
      <c r="A295">
        <v>0.52756582435323063</v>
      </c>
      <c r="B295">
        <v>1.2253746216042535E-5</v>
      </c>
      <c r="C295">
        <v>1.1028373800112932E-6</v>
      </c>
      <c r="D295">
        <v>3.3333330000000001</v>
      </c>
      <c r="E295">
        <v>79.251095033762127</v>
      </c>
      <c r="F295">
        <v>4.658385093167702</v>
      </c>
      <c r="G295">
        <v>0.10694642368118347</v>
      </c>
      <c r="H295">
        <v>28.204148870000001</v>
      </c>
    </row>
    <row r="296" spans="1:8" x14ac:dyDescent="0.25">
      <c r="A296">
        <v>1.2661580544172444</v>
      </c>
      <c r="B296">
        <v>6.382158721662961E-6</v>
      </c>
      <c r="C296">
        <v>3.676124600037644E-7</v>
      </c>
      <c r="D296">
        <v>4.1666660000000002</v>
      </c>
      <c r="E296">
        <v>237.75328510128642</v>
      </c>
      <c r="F296">
        <v>4.658385093167702</v>
      </c>
      <c r="G296">
        <v>0.23707911149371214</v>
      </c>
      <c r="H296">
        <v>26.051261319999998</v>
      </c>
    </row>
    <row r="297" spans="1:8" x14ac:dyDescent="0.25">
      <c r="A297">
        <v>0.63307902720862219</v>
      </c>
      <c r="B297">
        <v>1.2764317443325922E-5</v>
      </c>
      <c r="C297">
        <v>7.3522492000752879E-7</v>
      </c>
      <c r="D297">
        <v>4.1666660000000002</v>
      </c>
      <c r="E297">
        <v>118.87664255064321</v>
      </c>
      <c r="F297">
        <v>4.658385093167702</v>
      </c>
      <c r="G297">
        <v>0.12788131079419382</v>
      </c>
      <c r="H297">
        <v>28.104284889999999</v>
      </c>
    </row>
    <row r="298" spans="1:8" x14ac:dyDescent="0.25">
      <c r="A298">
        <v>0.42205268480574815</v>
      </c>
      <c r="B298">
        <v>1.9146476164988884E-5</v>
      </c>
      <c r="C298">
        <v>1.1028373800112932E-6</v>
      </c>
      <c r="D298">
        <v>4.1666660000000002</v>
      </c>
      <c r="E298">
        <v>79.251095033762141</v>
      </c>
      <c r="F298">
        <v>4.658385093167702</v>
      </c>
      <c r="G298">
        <v>8.5495949990796141E-2</v>
      </c>
      <c r="H298">
        <v>28.18397607</v>
      </c>
    </row>
    <row r="299" spans="1:8" x14ac:dyDescent="0.25">
      <c r="A299">
        <v>1.4953679330150285</v>
      </c>
      <c r="B299">
        <v>3.3085116988989417E-6</v>
      </c>
      <c r="C299">
        <v>7.205204216073782E-7</v>
      </c>
      <c r="D299">
        <v>2.1428569999999998</v>
      </c>
      <c r="E299">
        <v>647.74588947823952</v>
      </c>
      <c r="F299">
        <v>4.658385093167702</v>
      </c>
      <c r="G299">
        <v>0.28651504323852661</v>
      </c>
      <c r="H299">
        <v>44.429507780000002</v>
      </c>
    </row>
    <row r="300" spans="1:8" x14ac:dyDescent="0.25">
      <c r="A300">
        <v>0.74768396650751423</v>
      </c>
      <c r="B300">
        <v>6.6170233977978834E-6</v>
      </c>
      <c r="C300">
        <v>1.4410408432147564E-6</v>
      </c>
      <c r="D300">
        <v>2.1428569999999998</v>
      </c>
      <c r="E300">
        <v>323.87294473911976</v>
      </c>
      <c r="F300">
        <v>4.658385093167702</v>
      </c>
      <c r="G300">
        <v>0.15913581727752291</v>
      </c>
      <c r="H300">
        <v>49.353960280000003</v>
      </c>
    </row>
    <row r="301" spans="1:8" x14ac:dyDescent="0.25">
      <c r="A301">
        <v>0.49845597767167615</v>
      </c>
      <c r="B301">
        <v>9.9255350966968247E-6</v>
      </c>
      <c r="C301">
        <v>2.1615612648221343E-6</v>
      </c>
      <c r="D301">
        <v>2.1428569999999998</v>
      </c>
      <c r="E301">
        <v>215.91529649274648</v>
      </c>
      <c r="F301">
        <v>4.658385093167702</v>
      </c>
      <c r="G301">
        <v>0.10668711268878124</v>
      </c>
      <c r="H301">
        <v>49.631487229999998</v>
      </c>
    </row>
    <row r="302" spans="1:8" x14ac:dyDescent="0.25">
      <c r="A302">
        <v>1.1215258189165838</v>
      </c>
      <c r="B302">
        <v>5.8817999482401808E-6</v>
      </c>
      <c r="C302">
        <v>7.205204216073782E-7</v>
      </c>
      <c r="D302">
        <v>2.8571430000000002</v>
      </c>
      <c r="E302">
        <v>647.74588947823941</v>
      </c>
      <c r="F302">
        <v>4.658385093167702</v>
      </c>
      <c r="G302">
        <v>0.22946164216003773</v>
      </c>
      <c r="H302">
        <v>47.443088920000001</v>
      </c>
    </row>
    <row r="303" spans="1:8" x14ac:dyDescent="0.25">
      <c r="A303">
        <v>0.56076290945829188</v>
      </c>
      <c r="B303">
        <v>1.1763599896480362E-5</v>
      </c>
      <c r="C303">
        <v>1.4410408432147564E-6</v>
      </c>
      <c r="D303">
        <v>2.8571430000000002</v>
      </c>
      <c r="E303">
        <v>323.8729447391197</v>
      </c>
      <c r="F303">
        <v>4.658385093167702</v>
      </c>
      <c r="G303">
        <v>0.11754028763593061</v>
      </c>
      <c r="H303">
        <v>48.604849729999998</v>
      </c>
    </row>
    <row r="304" spans="1:8" x14ac:dyDescent="0.25">
      <c r="A304">
        <v>0.37384193963886125</v>
      </c>
      <c r="B304">
        <v>1.764539984472054E-5</v>
      </c>
      <c r="C304">
        <v>2.1615612648221343E-6</v>
      </c>
      <c r="D304">
        <v>2.8571430000000002</v>
      </c>
      <c r="E304">
        <v>215.91529649274648</v>
      </c>
      <c r="F304">
        <v>4.658385093167702</v>
      </c>
      <c r="G304">
        <v>7.8499584095197139E-2</v>
      </c>
      <c r="H304">
        <v>48.691311280000001</v>
      </c>
    </row>
    <row r="305" spans="1:8" x14ac:dyDescent="0.25">
      <c r="A305">
        <v>0.89722059232782869</v>
      </c>
      <c r="B305">
        <v>9.190313705769E-6</v>
      </c>
      <c r="C305">
        <v>7.205204216073782E-7</v>
      </c>
      <c r="D305">
        <v>3.5714290000000002</v>
      </c>
      <c r="E305">
        <v>647.74588947823941</v>
      </c>
      <c r="F305">
        <v>4.658385093167702</v>
      </c>
      <c r="G305">
        <v>0.18345489593581982</v>
      </c>
      <c r="H305">
        <v>47.413521209999999</v>
      </c>
    </row>
    <row r="306" spans="1:8" x14ac:dyDescent="0.25">
      <c r="A306">
        <v>0.44861029616391435</v>
      </c>
      <c r="B306">
        <v>1.8380627411538E-5</v>
      </c>
      <c r="C306">
        <v>1.4410408432147564E-6</v>
      </c>
      <c r="D306">
        <v>3.5714290000000002</v>
      </c>
      <c r="E306">
        <v>323.8729447391197</v>
      </c>
      <c r="F306">
        <v>4.658385093167702</v>
      </c>
      <c r="G306">
        <v>9.2799106323544406E-2</v>
      </c>
      <c r="H306">
        <v>47.967456779999999</v>
      </c>
    </row>
    <row r="307" spans="1:8" x14ac:dyDescent="0.25">
      <c r="A307">
        <v>0.2990735307759429</v>
      </c>
      <c r="B307">
        <v>2.7570941117306998E-5</v>
      </c>
      <c r="C307">
        <v>2.1615612648221343E-6</v>
      </c>
      <c r="D307">
        <v>3.5714290000000002</v>
      </c>
      <c r="E307">
        <v>215.91529649274648</v>
      </c>
      <c r="F307">
        <v>4.658385093167702</v>
      </c>
      <c r="G307">
        <v>6.1917103913913682E-2</v>
      </c>
      <c r="H307">
        <v>48.007024909999998</v>
      </c>
    </row>
    <row r="308" spans="1:8" x14ac:dyDescent="0.25">
      <c r="A308">
        <v>1.4953679330150285</v>
      </c>
      <c r="B308">
        <v>3.3085116988989417E-6</v>
      </c>
      <c r="C308">
        <v>7.205204216073782E-7</v>
      </c>
      <c r="D308">
        <v>2.1428569999999998</v>
      </c>
      <c r="E308">
        <v>367.05834361497642</v>
      </c>
      <c r="F308">
        <v>4.658385093167702</v>
      </c>
      <c r="G308">
        <v>0.27596555758248886</v>
      </c>
      <c r="H308">
        <v>42.793613030000003</v>
      </c>
    </row>
    <row r="309" spans="1:8" x14ac:dyDescent="0.25">
      <c r="A309">
        <v>0.74768396650751423</v>
      </c>
      <c r="B309">
        <v>6.6170233977978834E-6</v>
      </c>
      <c r="C309">
        <v>1.4410408432147564E-6</v>
      </c>
      <c r="D309">
        <v>2.1428569999999998</v>
      </c>
      <c r="E309">
        <v>183.52917180748821</v>
      </c>
      <c r="F309">
        <v>4.658385093167702</v>
      </c>
      <c r="G309">
        <v>0.15786171384223299</v>
      </c>
      <c r="H309">
        <v>48.958813220000003</v>
      </c>
    </row>
    <row r="310" spans="1:8" x14ac:dyDescent="0.25">
      <c r="A310">
        <v>0.49845597767167615</v>
      </c>
      <c r="B310">
        <v>9.9255350966968247E-6</v>
      </c>
      <c r="C310">
        <v>2.1615612648221343E-6</v>
      </c>
      <c r="D310">
        <v>2.1428569999999998</v>
      </c>
      <c r="E310">
        <v>122.35278120499214</v>
      </c>
      <c r="F310">
        <v>4.658385093167702</v>
      </c>
      <c r="G310">
        <v>0.10601127147966498</v>
      </c>
      <c r="H310">
        <v>49.317081829999999</v>
      </c>
    </row>
    <row r="311" spans="1:8" x14ac:dyDescent="0.25">
      <c r="A311">
        <v>1.1215258189165838</v>
      </c>
      <c r="B311">
        <v>5.8817999482401808E-6</v>
      </c>
      <c r="C311">
        <v>7.205204216073782E-7</v>
      </c>
      <c r="D311">
        <v>2.8571430000000002</v>
      </c>
      <c r="E311">
        <v>367.05834361497648</v>
      </c>
      <c r="F311">
        <v>4.658385093167702</v>
      </c>
      <c r="G311">
        <v>0.22767435377118367</v>
      </c>
      <c r="H311">
        <v>47.073552290000002</v>
      </c>
    </row>
    <row r="312" spans="1:8" x14ac:dyDescent="0.25">
      <c r="A312">
        <v>0.56076290945829188</v>
      </c>
      <c r="B312">
        <v>1.1763599896480362E-5</v>
      </c>
      <c r="C312">
        <v>1.4410408432147564E-6</v>
      </c>
      <c r="D312">
        <v>2.8571430000000002</v>
      </c>
      <c r="E312">
        <v>183.52917180748824</v>
      </c>
      <c r="F312">
        <v>4.658385093167702</v>
      </c>
      <c r="G312">
        <v>0.11747624564667672</v>
      </c>
      <c r="H312">
        <v>48.578367309999997</v>
      </c>
    </row>
    <row r="313" spans="1:8" x14ac:dyDescent="0.25">
      <c r="A313">
        <v>0.37384193963886125</v>
      </c>
      <c r="B313">
        <v>1.764539984472054E-5</v>
      </c>
      <c r="C313">
        <v>2.1615612648221343E-6</v>
      </c>
      <c r="D313">
        <v>2.8571430000000002</v>
      </c>
      <c r="E313">
        <v>122.35278120499216</v>
      </c>
      <c r="F313">
        <v>4.658385093167702</v>
      </c>
      <c r="G313">
        <v>7.8330589618106794E-2</v>
      </c>
      <c r="H313">
        <v>48.586488269999997</v>
      </c>
    </row>
    <row r="314" spans="1:8" x14ac:dyDescent="0.25">
      <c r="A314">
        <v>0.89722059232782869</v>
      </c>
      <c r="B314">
        <v>9.190313705769E-6</v>
      </c>
      <c r="C314">
        <v>7.205204216073782E-7</v>
      </c>
      <c r="D314">
        <v>3.5714290000000002</v>
      </c>
      <c r="E314">
        <v>367.05834361497642</v>
      </c>
      <c r="F314">
        <v>4.658385093167702</v>
      </c>
      <c r="G314">
        <v>0.18388150051060903</v>
      </c>
      <c r="H314">
        <v>47.523776239999997</v>
      </c>
    </row>
    <row r="315" spans="1:8" x14ac:dyDescent="0.25">
      <c r="A315">
        <v>0.44861029616391435</v>
      </c>
      <c r="B315">
        <v>1.8380627411538E-5</v>
      </c>
      <c r="C315">
        <v>1.4410408432147564E-6</v>
      </c>
      <c r="D315">
        <v>3.5714290000000002</v>
      </c>
      <c r="E315">
        <v>183.52917180748821</v>
      </c>
      <c r="F315">
        <v>4.658385093167702</v>
      </c>
      <c r="G315">
        <v>9.2991507159243661E-2</v>
      </c>
      <c r="H315">
        <v>48.06690794</v>
      </c>
    </row>
    <row r="316" spans="1:8" x14ac:dyDescent="0.25">
      <c r="A316">
        <v>0.2990735307759429</v>
      </c>
      <c r="B316">
        <v>2.7570941117306998E-5</v>
      </c>
      <c r="C316">
        <v>2.1615612648221343E-6</v>
      </c>
      <c r="D316">
        <v>3.5714290000000002</v>
      </c>
      <c r="E316">
        <v>122.35278120499216</v>
      </c>
      <c r="F316">
        <v>4.658385093167702</v>
      </c>
      <c r="G316">
        <v>6.1886812708037302E-2</v>
      </c>
      <c r="H316">
        <v>47.98353882</v>
      </c>
    </row>
    <row r="317" spans="1:8" x14ac:dyDescent="0.25">
      <c r="A317">
        <v>1.4953679330150285</v>
      </c>
      <c r="B317">
        <v>3.3085116988989417E-6</v>
      </c>
      <c r="C317">
        <v>7.205204216073782E-7</v>
      </c>
      <c r="D317">
        <v>2.1428569999999998</v>
      </c>
      <c r="E317">
        <v>236.47962824227622</v>
      </c>
      <c r="F317">
        <v>4.658385093167702</v>
      </c>
      <c r="G317">
        <v>0.26039916212182179</v>
      </c>
      <c r="H317">
        <v>40.37975273</v>
      </c>
    </row>
    <row r="318" spans="1:8" x14ac:dyDescent="0.25">
      <c r="A318">
        <v>0.74768396650751423</v>
      </c>
      <c r="B318">
        <v>6.6170233977978834E-6</v>
      </c>
      <c r="C318">
        <v>1.4410408432147564E-6</v>
      </c>
      <c r="D318">
        <v>2.1428569999999998</v>
      </c>
      <c r="E318">
        <v>118.23981412113811</v>
      </c>
      <c r="F318">
        <v>4.658385093167702</v>
      </c>
      <c r="G318">
        <v>0.15476984810147826</v>
      </c>
      <c r="H318">
        <v>47.999910180000001</v>
      </c>
    </row>
    <row r="319" spans="1:8" x14ac:dyDescent="0.25">
      <c r="A319">
        <v>0.49845597767167615</v>
      </c>
      <c r="B319">
        <v>9.9255350966968247E-6</v>
      </c>
      <c r="C319">
        <v>2.1615612648221343E-6</v>
      </c>
      <c r="D319">
        <v>2.1428569999999998</v>
      </c>
      <c r="E319">
        <v>78.826542747425407</v>
      </c>
      <c r="F319">
        <v>4.658385093167702</v>
      </c>
      <c r="G319">
        <v>0.10432637394196963</v>
      </c>
      <c r="H319">
        <v>48.53325735</v>
      </c>
    </row>
    <row r="320" spans="1:8" x14ac:dyDescent="0.25">
      <c r="A320">
        <v>1.1215258189165838</v>
      </c>
      <c r="B320">
        <v>5.8817999482401808E-6</v>
      </c>
      <c r="C320">
        <v>7.205204216073782E-7</v>
      </c>
      <c r="D320">
        <v>2.8571430000000002</v>
      </c>
      <c r="E320">
        <v>236.47962824227622</v>
      </c>
      <c r="F320">
        <v>4.658385093167702</v>
      </c>
      <c r="G320">
        <v>0.22311458030011119</v>
      </c>
      <c r="H320">
        <v>46.130781480000003</v>
      </c>
    </row>
    <row r="321" spans="1:8" x14ac:dyDescent="0.25">
      <c r="A321">
        <v>0.56076290945829188</v>
      </c>
      <c r="B321">
        <v>1.1763599896480362E-5</v>
      </c>
      <c r="C321">
        <v>1.4410408432147564E-6</v>
      </c>
      <c r="D321">
        <v>2.8571430000000002</v>
      </c>
      <c r="E321">
        <v>118.23981412113811</v>
      </c>
      <c r="F321">
        <v>4.658385093167702</v>
      </c>
      <c r="G321">
        <v>0.11653288326829039</v>
      </c>
      <c r="H321">
        <v>48.188271389999997</v>
      </c>
    </row>
    <row r="322" spans="1:8" x14ac:dyDescent="0.25">
      <c r="A322">
        <v>0.37384193963886125</v>
      </c>
      <c r="B322">
        <v>1.764539984472054E-5</v>
      </c>
      <c r="C322">
        <v>2.1615612648221343E-6</v>
      </c>
      <c r="D322">
        <v>2.8571430000000002</v>
      </c>
      <c r="E322">
        <v>78.826542747425407</v>
      </c>
      <c r="F322">
        <v>4.658385093167702</v>
      </c>
      <c r="G322">
        <v>7.7641760840394314E-2</v>
      </c>
      <c r="H322">
        <v>48.159225159999998</v>
      </c>
    </row>
    <row r="323" spans="1:8" x14ac:dyDescent="0.25">
      <c r="A323">
        <v>0.89722059232782869</v>
      </c>
      <c r="B323">
        <v>9.190313705769E-6</v>
      </c>
      <c r="C323">
        <v>7.205204216073782E-7</v>
      </c>
      <c r="D323">
        <v>3.5714290000000002</v>
      </c>
      <c r="E323">
        <v>236.47962824227619</v>
      </c>
      <c r="F323">
        <v>4.658385093167702</v>
      </c>
      <c r="G323">
        <v>0.18262045811758276</v>
      </c>
      <c r="H323">
        <v>47.197862559999997</v>
      </c>
    </row>
    <row r="324" spans="1:8" x14ac:dyDescent="0.25">
      <c r="A324">
        <v>0.44861029616391435</v>
      </c>
      <c r="B324">
        <v>1.8380627411538E-5</v>
      </c>
      <c r="C324">
        <v>1.4410408432147564E-6</v>
      </c>
      <c r="D324">
        <v>3.5714290000000002</v>
      </c>
      <c r="E324">
        <v>118.2398141211381</v>
      </c>
      <c r="F324">
        <v>4.658385093167702</v>
      </c>
      <c r="G324">
        <v>9.2619164326835438E-2</v>
      </c>
      <c r="H324">
        <v>47.874445540000004</v>
      </c>
    </row>
    <row r="325" spans="1:8" x14ac:dyDescent="0.25">
      <c r="A325">
        <v>0.2990735307759429</v>
      </c>
      <c r="B325">
        <v>2.7570941117306998E-5</v>
      </c>
      <c r="C325">
        <v>2.1615612648221343E-6</v>
      </c>
      <c r="D325">
        <v>3.5714290000000002</v>
      </c>
      <c r="E325">
        <v>78.826542747425407</v>
      </c>
      <c r="F325">
        <v>4.658385093167702</v>
      </c>
      <c r="G325">
        <v>6.1501096874093511E-2</v>
      </c>
      <c r="H325">
        <v>47.684476549999999</v>
      </c>
    </row>
    <row r="326" spans="1:8" x14ac:dyDescent="0.25">
      <c r="A326">
        <v>1.6699923705217643</v>
      </c>
      <c r="B326">
        <v>3.3115896807921906E-6</v>
      </c>
      <c r="C326">
        <v>3.6795440897691016E-7</v>
      </c>
      <c r="D326">
        <v>3</v>
      </c>
      <c r="E326">
        <v>617.59845453429148</v>
      </c>
      <c r="F326">
        <v>6.5466448445171848</v>
      </c>
      <c r="G326">
        <v>0.12359383911236071</v>
      </c>
      <c r="H326">
        <v>9.7692464300000008</v>
      </c>
    </row>
    <row r="327" spans="1:8" x14ac:dyDescent="0.25">
      <c r="A327">
        <v>0.83499618526088215</v>
      </c>
      <c r="B327">
        <v>6.6231793615843811E-6</v>
      </c>
      <c r="C327">
        <v>7.3590881795382032E-7</v>
      </c>
      <c r="D327">
        <v>3</v>
      </c>
      <c r="E327">
        <v>308.79922726714574</v>
      </c>
      <c r="F327">
        <v>6.5466448445171848</v>
      </c>
      <c r="G327">
        <v>0.11446402501553968</v>
      </c>
      <c r="H327">
        <v>18.095194320000001</v>
      </c>
    </row>
    <row r="328" spans="1:8" x14ac:dyDescent="0.25">
      <c r="A328">
        <v>0.5566641235072548</v>
      </c>
      <c r="B328">
        <v>9.9347690423765725E-6</v>
      </c>
      <c r="C328">
        <v>1.1038632269307305E-6</v>
      </c>
      <c r="D328">
        <v>3</v>
      </c>
      <c r="E328">
        <v>205.86615151143047</v>
      </c>
      <c r="F328">
        <v>6.5466448445171848</v>
      </c>
      <c r="G328">
        <v>7.9190116340258243E-2</v>
      </c>
      <c r="H328">
        <v>18.778308859999999</v>
      </c>
    </row>
    <row r="329" spans="1:8" x14ac:dyDescent="0.25">
      <c r="A329">
        <v>1.2524942778913233</v>
      </c>
      <c r="B329">
        <v>5.8872705436305626E-6</v>
      </c>
      <c r="C329">
        <v>3.6795440897691016E-7</v>
      </c>
      <c r="D329">
        <v>4</v>
      </c>
      <c r="E329">
        <v>617.59845453429148</v>
      </c>
      <c r="F329">
        <v>6.5466448445171848</v>
      </c>
      <c r="G329">
        <v>0.1502361869094837</v>
      </c>
      <c r="H329">
        <v>15.833522049999999</v>
      </c>
    </row>
    <row r="330" spans="1:8" x14ac:dyDescent="0.25">
      <c r="A330">
        <v>0.62624713894566164</v>
      </c>
      <c r="B330">
        <v>1.1774541087261125E-5</v>
      </c>
      <c r="C330">
        <v>7.3590881795382032E-7</v>
      </c>
      <c r="D330">
        <v>4</v>
      </c>
      <c r="E330">
        <v>308.79922726714574</v>
      </c>
      <c r="F330">
        <v>6.5466448445171848</v>
      </c>
      <c r="G330">
        <v>8.6642577361304679E-2</v>
      </c>
      <c r="H330">
        <v>18.262672760000001</v>
      </c>
    </row>
    <row r="331" spans="1:8" x14ac:dyDescent="0.25">
      <c r="A331">
        <v>0.41749809263044102</v>
      </c>
      <c r="B331">
        <v>1.7661811630891689E-5</v>
      </c>
      <c r="C331">
        <v>1.1038632269307305E-6</v>
      </c>
      <c r="D331">
        <v>4</v>
      </c>
      <c r="E331">
        <v>205.86615151143047</v>
      </c>
      <c r="F331">
        <v>6.5466448445171848</v>
      </c>
      <c r="G331">
        <v>5.8762857959689961E-2</v>
      </c>
      <c r="H331">
        <v>18.57920571</v>
      </c>
    </row>
    <row r="332" spans="1:8" x14ac:dyDescent="0.25">
      <c r="A332">
        <v>1.0019954223130583</v>
      </c>
      <c r="B332">
        <v>9.1988602244227514E-6</v>
      </c>
      <c r="C332">
        <v>3.6795440897691016E-7</v>
      </c>
      <c r="D332">
        <v>5</v>
      </c>
      <c r="E332">
        <v>617.59845453429125</v>
      </c>
      <c r="F332">
        <v>6.5466448445171848</v>
      </c>
      <c r="G332">
        <v>0.1286764818370906</v>
      </c>
      <c r="H332">
        <v>16.951657539999999</v>
      </c>
    </row>
    <row r="333" spans="1:8" x14ac:dyDescent="0.25">
      <c r="A333">
        <v>0.50099771115652914</v>
      </c>
      <c r="B333">
        <v>1.8397720448845503E-5</v>
      </c>
      <c r="C333">
        <v>7.3590881795382032E-7</v>
      </c>
      <c r="D333">
        <v>5</v>
      </c>
      <c r="E333">
        <v>308.79922726714562</v>
      </c>
      <c r="F333">
        <v>6.5466448445171848</v>
      </c>
      <c r="G333">
        <v>6.8848899610570141E-2</v>
      </c>
      <c r="H333">
        <v>18.140113119999999</v>
      </c>
    </row>
    <row r="334" spans="1:8" x14ac:dyDescent="0.25">
      <c r="A334">
        <v>0.33399847410435279</v>
      </c>
      <c r="B334">
        <v>2.7596580673268256E-5</v>
      </c>
      <c r="C334">
        <v>1.1038632269307305E-6</v>
      </c>
      <c r="D334">
        <v>5</v>
      </c>
      <c r="E334">
        <v>205.86615151143044</v>
      </c>
      <c r="F334">
        <v>6.5466448445171848</v>
      </c>
      <c r="G334">
        <v>4.6402504242727738E-2</v>
      </c>
      <c r="H334">
        <v>18.339000639999998</v>
      </c>
    </row>
    <row r="335" spans="1:8" x14ac:dyDescent="0.25">
      <c r="A335">
        <v>1.6699923705217643</v>
      </c>
      <c r="B335">
        <v>3.3115896807921906E-6</v>
      </c>
      <c r="C335">
        <v>3.6795440897691016E-7</v>
      </c>
      <c r="D335">
        <v>3</v>
      </c>
      <c r="E335">
        <v>350.22643952862387</v>
      </c>
      <c r="F335">
        <v>6.5466448445171848</v>
      </c>
      <c r="G335">
        <v>9.7786257604972573E-2</v>
      </c>
      <c r="H335">
        <v>7.7293338800000004</v>
      </c>
    </row>
    <row r="336" spans="1:8" x14ac:dyDescent="0.25">
      <c r="A336">
        <v>0.83499618526088215</v>
      </c>
      <c r="B336">
        <v>6.6231793615843811E-6</v>
      </c>
      <c r="C336">
        <v>7.3590881795382032E-7</v>
      </c>
      <c r="D336">
        <v>3</v>
      </c>
      <c r="E336">
        <v>175.11321976431194</v>
      </c>
      <c r="F336">
        <v>6.5466448445171848</v>
      </c>
      <c r="G336">
        <v>0.11030162374764486</v>
      </c>
      <c r="H336">
        <v>17.437175700000001</v>
      </c>
    </row>
    <row r="337" spans="1:8" x14ac:dyDescent="0.25">
      <c r="A337">
        <v>0.5566641235072548</v>
      </c>
      <c r="B337">
        <v>9.9347690423765725E-6</v>
      </c>
      <c r="C337">
        <v>1.1038632269307305E-6</v>
      </c>
      <c r="D337">
        <v>3</v>
      </c>
      <c r="E337">
        <v>116.74214650954129</v>
      </c>
      <c r="F337">
        <v>6.5466448445171848</v>
      </c>
      <c r="G337">
        <v>7.7291560269048834E-2</v>
      </c>
      <c r="H337">
        <v>18.328105300000001</v>
      </c>
    </row>
    <row r="338" spans="1:8" x14ac:dyDescent="0.25">
      <c r="A338">
        <v>1.2524942778913233</v>
      </c>
      <c r="B338">
        <v>5.8872705436305626E-6</v>
      </c>
      <c r="C338">
        <v>3.6795440897691016E-7</v>
      </c>
      <c r="D338">
        <v>4</v>
      </c>
      <c r="E338">
        <v>350.22643952862393</v>
      </c>
      <c r="F338">
        <v>6.5466448445171848</v>
      </c>
      <c r="G338">
        <v>0.14357677914997932</v>
      </c>
      <c r="H338">
        <v>15.13168129</v>
      </c>
    </row>
    <row r="339" spans="1:8" x14ac:dyDescent="0.25">
      <c r="A339">
        <v>0.62624713894566164</v>
      </c>
      <c r="B339">
        <v>1.1774541087261125E-5</v>
      </c>
      <c r="C339">
        <v>7.3590881795382032E-7</v>
      </c>
      <c r="D339">
        <v>4</v>
      </c>
      <c r="E339">
        <v>175.11321976431196</v>
      </c>
      <c r="F339">
        <v>6.5466448445171848</v>
      </c>
      <c r="G339">
        <v>8.5815800173038234E-2</v>
      </c>
      <c r="H339">
        <v>18.088403230000001</v>
      </c>
    </row>
    <row r="340" spans="1:8" x14ac:dyDescent="0.25">
      <c r="A340">
        <v>0.41749809263044102</v>
      </c>
      <c r="B340">
        <v>1.7661811630891689E-5</v>
      </c>
      <c r="C340">
        <v>1.1038632269307305E-6</v>
      </c>
      <c r="D340">
        <v>4</v>
      </c>
      <c r="E340">
        <v>116.7421465095413</v>
      </c>
      <c r="F340">
        <v>6.5466448445171848</v>
      </c>
      <c r="G340">
        <v>5.8338553263159822E-2</v>
      </c>
      <c r="H340">
        <v>18.445052189999998</v>
      </c>
    </row>
    <row r="341" spans="1:8" x14ac:dyDescent="0.25">
      <c r="A341">
        <v>1.0019954223130583</v>
      </c>
      <c r="B341">
        <v>9.1988602244227514E-6</v>
      </c>
      <c r="C341">
        <v>3.6795440897691016E-7</v>
      </c>
      <c r="D341">
        <v>5</v>
      </c>
      <c r="E341">
        <v>350.22643952862381</v>
      </c>
      <c r="F341">
        <v>6.5466448445171848</v>
      </c>
      <c r="G341">
        <v>0.12762167795545104</v>
      </c>
      <c r="H341">
        <v>16.812699169999998</v>
      </c>
    </row>
    <row r="342" spans="1:8" x14ac:dyDescent="0.25">
      <c r="A342">
        <v>0.50099771115652914</v>
      </c>
      <c r="B342">
        <v>1.8397720448845503E-5</v>
      </c>
      <c r="C342">
        <v>7.3590881795382032E-7</v>
      </c>
      <c r="D342">
        <v>5</v>
      </c>
      <c r="E342">
        <v>175.11321976431191</v>
      </c>
      <c r="F342">
        <v>6.5466448445171848</v>
      </c>
      <c r="G342">
        <v>6.8975543525095398E-2</v>
      </c>
      <c r="H342">
        <v>18.173480900000001</v>
      </c>
    </row>
    <row r="343" spans="1:8" x14ac:dyDescent="0.25">
      <c r="A343">
        <v>0.33399847410435279</v>
      </c>
      <c r="B343">
        <v>2.7596580673268256E-5</v>
      </c>
      <c r="C343">
        <v>1.1038632269307305E-6</v>
      </c>
      <c r="D343">
        <v>5</v>
      </c>
      <c r="E343">
        <v>116.74214650954127</v>
      </c>
      <c r="F343">
        <v>6.5466448445171848</v>
      </c>
      <c r="G343">
        <v>4.6433841910612624E-2</v>
      </c>
      <c r="H343">
        <v>18.351385780000001</v>
      </c>
    </row>
    <row r="344" spans="1:8" x14ac:dyDescent="0.25">
      <c r="A344">
        <v>1.6699923705217643</v>
      </c>
      <c r="B344">
        <v>3.3115896807921906E-6</v>
      </c>
      <c r="C344">
        <v>3.6795440897691016E-7</v>
      </c>
      <c r="D344">
        <v>3</v>
      </c>
      <c r="E344">
        <v>225.78009808179721</v>
      </c>
      <c r="F344">
        <v>6.5466448445171848</v>
      </c>
      <c r="G344">
        <v>6.3277532920017074E-2</v>
      </c>
      <c r="H344">
        <v>5.0016555599999997</v>
      </c>
    </row>
    <row r="345" spans="1:8" x14ac:dyDescent="0.25">
      <c r="A345">
        <v>0.83499618526088215</v>
      </c>
      <c r="B345">
        <v>6.6231793615843811E-6</v>
      </c>
      <c r="C345">
        <v>7.3590881795382032E-7</v>
      </c>
      <c r="D345">
        <v>3</v>
      </c>
      <c r="E345">
        <v>112.8900490408986</v>
      </c>
      <c r="F345">
        <v>6.5466448445171848</v>
      </c>
      <c r="G345">
        <v>0.10286438078566122</v>
      </c>
      <c r="H345">
        <v>16.261449469999999</v>
      </c>
    </row>
    <row r="346" spans="1:8" x14ac:dyDescent="0.25">
      <c r="A346">
        <v>0.5566641235072548</v>
      </c>
      <c r="B346">
        <v>9.9347690423765725E-6</v>
      </c>
      <c r="C346">
        <v>1.1038632269307305E-6</v>
      </c>
      <c r="D346">
        <v>3</v>
      </c>
      <c r="E346">
        <v>75.260032693932402</v>
      </c>
      <c r="F346">
        <v>6.5466448445171848</v>
      </c>
      <c r="G346">
        <v>7.3518000325491398E-2</v>
      </c>
      <c r="H346">
        <v>17.433283100000001</v>
      </c>
    </row>
    <row r="347" spans="1:8" x14ac:dyDescent="0.25">
      <c r="A347">
        <v>1.2524942778913233</v>
      </c>
      <c r="B347">
        <v>5.8872705436305626E-6</v>
      </c>
      <c r="C347">
        <v>3.6795440897691016E-7</v>
      </c>
      <c r="D347">
        <v>4</v>
      </c>
      <c r="E347">
        <v>225.78009808179718</v>
      </c>
      <c r="F347">
        <v>6.5466448445171848</v>
      </c>
      <c r="G347">
        <v>0.131880896378891</v>
      </c>
      <c r="H347">
        <v>13.899042059999999</v>
      </c>
    </row>
    <row r="348" spans="1:8" x14ac:dyDescent="0.25">
      <c r="A348">
        <v>0.62624713894566164</v>
      </c>
      <c r="B348">
        <v>1.1774541087261125E-5</v>
      </c>
      <c r="C348">
        <v>7.3590881795382032E-7</v>
      </c>
      <c r="D348">
        <v>4</v>
      </c>
      <c r="E348">
        <v>112.89004904089859</v>
      </c>
      <c r="F348">
        <v>6.5466448445171848</v>
      </c>
      <c r="G348">
        <v>8.3218841709668243E-2</v>
      </c>
      <c r="H348">
        <v>17.541011820000001</v>
      </c>
    </row>
    <row r="349" spans="1:8" x14ac:dyDescent="0.25">
      <c r="A349">
        <v>0.41749809263044102</v>
      </c>
      <c r="B349">
        <v>1.7661811630891689E-5</v>
      </c>
      <c r="C349">
        <v>1.1038632269307305E-6</v>
      </c>
      <c r="D349">
        <v>4</v>
      </c>
      <c r="E349">
        <v>75.260032693932388</v>
      </c>
      <c r="F349">
        <v>6.5466448445171848</v>
      </c>
      <c r="G349">
        <v>5.688682924627575E-2</v>
      </c>
      <c r="H349">
        <v>17.986056829999999</v>
      </c>
    </row>
    <row r="350" spans="1:8" x14ac:dyDescent="0.25">
      <c r="A350">
        <v>1.0019954223130583</v>
      </c>
      <c r="B350">
        <v>9.1988602244227514E-6</v>
      </c>
      <c r="C350">
        <v>3.6795440897691016E-7</v>
      </c>
      <c r="D350">
        <v>5</v>
      </c>
      <c r="E350">
        <v>225.78009808179715</v>
      </c>
      <c r="F350">
        <v>6.5466448445171848</v>
      </c>
      <c r="G350">
        <v>0.12323397223195511</v>
      </c>
      <c r="H350">
        <v>16.234669029999999</v>
      </c>
    </row>
    <row r="351" spans="1:8" x14ac:dyDescent="0.25">
      <c r="A351">
        <v>0.50099771115652914</v>
      </c>
      <c r="B351">
        <v>1.8397720448845503E-5</v>
      </c>
      <c r="C351">
        <v>7.3590881795382032E-7</v>
      </c>
      <c r="D351">
        <v>5</v>
      </c>
      <c r="E351">
        <v>112.89004904089857</v>
      </c>
      <c r="F351">
        <v>6.5466448445171848</v>
      </c>
      <c r="G351">
        <v>6.7920845269306307E-2</v>
      </c>
      <c r="H351">
        <v>17.89559199</v>
      </c>
    </row>
    <row r="352" spans="1:8" x14ac:dyDescent="0.25">
      <c r="A352">
        <v>0.33399847410435279</v>
      </c>
      <c r="B352">
        <v>2.7596580673268256E-5</v>
      </c>
      <c r="C352">
        <v>1.1038632269307305E-6</v>
      </c>
      <c r="D352">
        <v>5</v>
      </c>
      <c r="E352">
        <v>75.260032693932388</v>
      </c>
      <c r="F352">
        <v>6.5466448445171848</v>
      </c>
      <c r="G352">
        <v>4.5765777320025909E-2</v>
      </c>
      <c r="H352">
        <v>18.08735613</v>
      </c>
    </row>
    <row r="353" spans="1:8" x14ac:dyDescent="0.25">
      <c r="A353">
        <v>2.2266564940290192</v>
      </c>
      <c r="B353">
        <v>3.3115896807921906E-6</v>
      </c>
      <c r="C353">
        <v>3.6795440897691016E-7</v>
      </c>
      <c r="D353">
        <v>3</v>
      </c>
      <c r="E353">
        <v>622.62478138422046</v>
      </c>
      <c r="F353">
        <v>6.5466448445171848</v>
      </c>
      <c r="G353">
        <v>-0.36107700043940782</v>
      </c>
      <c r="H353">
        <v>-28.5406637</v>
      </c>
    </row>
    <row r="354" spans="1:8" x14ac:dyDescent="0.25">
      <c r="A354">
        <v>1.1133282470145096</v>
      </c>
      <c r="B354">
        <v>6.6231793615843811E-6</v>
      </c>
      <c r="C354">
        <v>7.3590881795382032E-7</v>
      </c>
      <c r="D354">
        <v>3</v>
      </c>
      <c r="E354">
        <v>311.31239069211023</v>
      </c>
      <c r="F354">
        <v>6.5466448445171848</v>
      </c>
      <c r="G354">
        <v>0.13650699057593291</v>
      </c>
      <c r="H354">
        <v>21.57988521</v>
      </c>
    </row>
    <row r="355" spans="1:8" x14ac:dyDescent="0.25">
      <c r="A355">
        <v>0.74221883134300648</v>
      </c>
      <c r="B355">
        <v>9.9347690423765725E-6</v>
      </c>
      <c r="C355">
        <v>1.1038632269307305E-6</v>
      </c>
      <c r="D355">
        <v>3</v>
      </c>
      <c r="E355">
        <v>207.54159379474012</v>
      </c>
      <c r="F355">
        <v>6.5466448445171848</v>
      </c>
      <c r="G355">
        <v>0.10052874254561894</v>
      </c>
      <c r="H355">
        <v>23.83832559</v>
      </c>
    </row>
    <row r="356" spans="1:8" x14ac:dyDescent="0.25">
      <c r="A356">
        <v>1.6699923705217643</v>
      </c>
      <c r="B356">
        <v>5.8872705436305626E-6</v>
      </c>
      <c r="C356">
        <v>3.6795440897691016E-7</v>
      </c>
      <c r="D356">
        <v>4</v>
      </c>
      <c r="E356">
        <v>622.62478138422046</v>
      </c>
      <c r="F356">
        <v>6.5466448445171848</v>
      </c>
      <c r="G356">
        <v>0.1146428257073715</v>
      </c>
      <c r="H356">
        <v>12.082306839999999</v>
      </c>
    </row>
    <row r="357" spans="1:8" x14ac:dyDescent="0.25">
      <c r="A357">
        <v>0.83499618526088215</v>
      </c>
      <c r="B357">
        <v>1.1774541087261125E-5</v>
      </c>
      <c r="C357">
        <v>7.3590881795382032E-7</v>
      </c>
      <c r="D357">
        <v>4</v>
      </c>
      <c r="E357">
        <v>311.31239069211023</v>
      </c>
      <c r="F357">
        <v>6.5466448445171848</v>
      </c>
      <c r="G357">
        <v>0.10922273647943548</v>
      </c>
      <c r="H357">
        <v>23.022157870000001</v>
      </c>
    </row>
    <row r="358" spans="1:8" x14ac:dyDescent="0.25">
      <c r="A358">
        <v>0.55666412350725469</v>
      </c>
      <c r="B358">
        <v>1.7661811630891689E-5</v>
      </c>
      <c r="C358">
        <v>1.1038632269307305E-6</v>
      </c>
      <c r="D358">
        <v>4</v>
      </c>
      <c r="E358">
        <v>207.54159379474012</v>
      </c>
      <c r="F358">
        <v>6.5466448445171848</v>
      </c>
      <c r="G358">
        <v>7.581631529151503E-2</v>
      </c>
      <c r="H358">
        <v>23.97104169</v>
      </c>
    </row>
    <row r="359" spans="1:8" x14ac:dyDescent="0.25">
      <c r="A359">
        <v>1.3359938964174112</v>
      </c>
      <c r="B359">
        <v>9.1988602244227514E-6</v>
      </c>
      <c r="C359">
        <v>3.6795440897691016E-7</v>
      </c>
      <c r="D359">
        <v>5</v>
      </c>
      <c r="E359">
        <v>622.62478138422023</v>
      </c>
      <c r="F359">
        <v>6.5466448445171848</v>
      </c>
      <c r="G359">
        <v>0.14380205405842819</v>
      </c>
      <c r="H359">
        <v>18.944279009999999</v>
      </c>
    </row>
    <row r="360" spans="1:8" x14ac:dyDescent="0.25">
      <c r="A360">
        <v>0.66799694820870559</v>
      </c>
      <c r="B360">
        <v>1.8397720448845503E-5</v>
      </c>
      <c r="C360">
        <v>7.3590881795382032E-7</v>
      </c>
      <c r="D360">
        <v>5</v>
      </c>
      <c r="E360">
        <v>311.31239069211011</v>
      </c>
      <c r="F360">
        <v>6.5466448445171848</v>
      </c>
      <c r="G360">
        <v>8.8010299400089864E-2</v>
      </c>
      <c r="H360">
        <v>23.188704479999998</v>
      </c>
    </row>
    <row r="361" spans="1:8" x14ac:dyDescent="0.25">
      <c r="A361">
        <v>0.44533129880580374</v>
      </c>
      <c r="B361">
        <v>2.7596580673268256E-5</v>
      </c>
      <c r="C361">
        <v>1.1038632269307305E-6</v>
      </c>
      <c r="D361">
        <v>5</v>
      </c>
      <c r="E361">
        <v>207.54159379474009</v>
      </c>
      <c r="F361">
        <v>6.5466448445171848</v>
      </c>
      <c r="G361">
        <v>6.0128684774170611E-2</v>
      </c>
      <c r="H361">
        <v>23.763803410000001</v>
      </c>
    </row>
    <row r="362" spans="1:8" x14ac:dyDescent="0.25">
      <c r="A362">
        <v>2.2266564940290192</v>
      </c>
      <c r="B362">
        <v>3.3115896807921906E-6</v>
      </c>
      <c r="C362">
        <v>3.6795440897691016E-7</v>
      </c>
      <c r="D362">
        <v>3</v>
      </c>
      <c r="E362">
        <v>353.58641800258283</v>
      </c>
      <c r="F362">
        <v>6.5466448445171848</v>
      </c>
      <c r="G362">
        <v>-0.42142905065233921</v>
      </c>
      <c r="H362">
        <v>-33.311079890000002</v>
      </c>
    </row>
    <row r="363" spans="1:8" x14ac:dyDescent="0.25">
      <c r="A363">
        <v>1.1133282470145096</v>
      </c>
      <c r="B363">
        <v>6.6231793615843811E-6</v>
      </c>
      <c r="C363">
        <v>7.3590881795382032E-7</v>
      </c>
      <c r="D363">
        <v>3</v>
      </c>
      <c r="E363">
        <v>176.79320900129142</v>
      </c>
      <c r="F363">
        <v>6.5466448445171848</v>
      </c>
      <c r="G363">
        <v>0.12559224946080186</v>
      </c>
      <c r="H363">
        <v>19.854414160000001</v>
      </c>
    </row>
    <row r="364" spans="1:8" x14ac:dyDescent="0.25">
      <c r="A364">
        <v>0.74221883134300648</v>
      </c>
      <c r="B364">
        <v>9.9347690423765725E-6</v>
      </c>
      <c r="C364">
        <v>1.1038632269307305E-6</v>
      </c>
      <c r="D364">
        <v>3</v>
      </c>
      <c r="E364">
        <v>117.86213933419428</v>
      </c>
      <c r="F364">
        <v>6.5466448445171848</v>
      </c>
      <c r="G364">
        <v>9.6177998793488512E-2</v>
      </c>
      <c r="H364">
        <v>22.806636109999999</v>
      </c>
    </row>
    <row r="365" spans="1:8" x14ac:dyDescent="0.25">
      <c r="A365">
        <v>1.6699923705217643</v>
      </c>
      <c r="B365">
        <v>5.8872705436305626E-6</v>
      </c>
      <c r="C365">
        <v>3.6795440897691016E-7</v>
      </c>
      <c r="D365">
        <v>4</v>
      </c>
      <c r="E365">
        <v>353.58641800258283</v>
      </c>
      <c r="F365">
        <v>6.5466448445171848</v>
      </c>
      <c r="G365">
        <v>9.4432580522138196E-2</v>
      </c>
      <c r="H365">
        <v>9.9523315700000001</v>
      </c>
    </row>
    <row r="366" spans="1:8" x14ac:dyDescent="0.25">
      <c r="A366">
        <v>0.83499618526088215</v>
      </c>
      <c r="B366">
        <v>1.1774541087261125E-5</v>
      </c>
      <c r="C366">
        <v>7.3590881795382032E-7</v>
      </c>
      <c r="D366">
        <v>4</v>
      </c>
      <c r="E366">
        <v>176.79320900129142</v>
      </c>
      <c r="F366">
        <v>6.5466448445171848</v>
      </c>
      <c r="G366">
        <v>0.10685964111647557</v>
      </c>
      <c r="H366">
        <v>22.52406053</v>
      </c>
    </row>
    <row r="367" spans="1:8" x14ac:dyDescent="0.25">
      <c r="A367">
        <v>0.55666412350725469</v>
      </c>
      <c r="B367">
        <v>1.7661811630891689E-5</v>
      </c>
      <c r="C367">
        <v>1.1038632269307305E-6</v>
      </c>
      <c r="D367">
        <v>4</v>
      </c>
      <c r="E367">
        <v>117.86213933419428</v>
      </c>
      <c r="F367">
        <v>6.5466448445171848</v>
      </c>
      <c r="G367">
        <v>7.4896312457506428E-2</v>
      </c>
      <c r="H367">
        <v>23.680161999999999</v>
      </c>
    </row>
    <row r="368" spans="1:8" x14ac:dyDescent="0.25">
      <c r="A368">
        <v>1.3359938964174112</v>
      </c>
      <c r="B368">
        <v>9.1988602244227514E-6</v>
      </c>
      <c r="C368">
        <v>3.6795440897691016E-7</v>
      </c>
      <c r="D368">
        <v>5</v>
      </c>
      <c r="E368">
        <v>353.58641800258277</v>
      </c>
      <c r="F368">
        <v>6.5466448445171848</v>
      </c>
      <c r="G368">
        <v>0.13849289718441266</v>
      </c>
      <c r="H368">
        <v>18.244858199999999</v>
      </c>
    </row>
    <row r="369" spans="1:8" x14ac:dyDescent="0.25">
      <c r="A369">
        <v>0.66799694820870559</v>
      </c>
      <c r="B369">
        <v>1.8397720448845503E-5</v>
      </c>
      <c r="C369">
        <v>7.3590881795382032E-7</v>
      </c>
      <c r="D369">
        <v>5</v>
      </c>
      <c r="E369">
        <v>176.79320900129139</v>
      </c>
      <c r="F369">
        <v>6.5466448445171848</v>
      </c>
      <c r="G369">
        <v>8.8066337804051376E-2</v>
      </c>
      <c r="H369">
        <v>23.20346932</v>
      </c>
    </row>
    <row r="370" spans="1:8" x14ac:dyDescent="0.25">
      <c r="A370">
        <v>0.44533129880580374</v>
      </c>
      <c r="B370">
        <v>2.7596580673268256E-5</v>
      </c>
      <c r="C370">
        <v>1.1038632269307305E-6</v>
      </c>
      <c r="D370">
        <v>5</v>
      </c>
      <c r="E370">
        <v>117.86213933419425</v>
      </c>
      <c r="F370">
        <v>6.5466448445171848</v>
      </c>
      <c r="G370">
        <v>6.0236421092150071E-2</v>
      </c>
      <c r="H370">
        <v>23.806382500000002</v>
      </c>
    </row>
    <row r="371" spans="1:8" x14ac:dyDescent="0.25">
      <c r="A371">
        <v>2.2266564940290192</v>
      </c>
      <c r="B371">
        <v>3.3115896807921906E-6</v>
      </c>
      <c r="C371">
        <v>3.6795440897691016E-7</v>
      </c>
      <c r="D371">
        <v>3</v>
      </c>
      <c r="E371">
        <v>228.23855429061081</v>
      </c>
      <c r="F371">
        <v>6.5466448445171848</v>
      </c>
      <c r="G371">
        <v>-0.49679937673084895</v>
      </c>
      <c r="H371">
        <v>-39.268587920000002</v>
      </c>
    </row>
    <row r="372" spans="1:8" x14ac:dyDescent="0.25">
      <c r="A372">
        <v>1.1133282470145096</v>
      </c>
      <c r="B372">
        <v>6.6231793615843811E-6</v>
      </c>
      <c r="C372">
        <v>7.3590881795382032E-7</v>
      </c>
      <c r="D372">
        <v>3</v>
      </c>
      <c r="E372">
        <v>114.1192771453054</v>
      </c>
      <c r="F372">
        <v>6.5466448445171848</v>
      </c>
      <c r="G372">
        <v>0.10845636778283159</v>
      </c>
      <c r="H372">
        <v>17.14546601</v>
      </c>
    </row>
    <row r="373" spans="1:8" x14ac:dyDescent="0.25">
      <c r="A373">
        <v>0.74221883134300648</v>
      </c>
      <c r="B373">
        <v>9.9347690423765725E-6</v>
      </c>
      <c r="C373">
        <v>1.1038632269307305E-6</v>
      </c>
      <c r="D373">
        <v>3</v>
      </c>
      <c r="E373">
        <v>76.079518096870274</v>
      </c>
      <c r="F373">
        <v>6.5466448445171848</v>
      </c>
      <c r="G373">
        <v>8.8219372198366258E-2</v>
      </c>
      <c r="H373">
        <v>20.919411350000001</v>
      </c>
    </row>
    <row r="374" spans="1:8" x14ac:dyDescent="0.25">
      <c r="A374">
        <v>1.6699923705217643</v>
      </c>
      <c r="B374">
        <v>5.8872705436305626E-6</v>
      </c>
      <c r="C374">
        <v>3.6795440897691016E-7</v>
      </c>
      <c r="D374">
        <v>4</v>
      </c>
      <c r="E374">
        <v>228.23855429061078</v>
      </c>
      <c r="F374">
        <v>6.5466448445171848</v>
      </c>
      <c r="G374">
        <v>6.4468206676876472E-2</v>
      </c>
      <c r="H374">
        <v>6.7943602199999997</v>
      </c>
    </row>
    <row r="375" spans="1:8" x14ac:dyDescent="0.25">
      <c r="A375">
        <v>0.83499618526088215</v>
      </c>
      <c r="B375">
        <v>1.1774541087261125E-5</v>
      </c>
      <c r="C375">
        <v>7.3590881795382032E-7</v>
      </c>
      <c r="D375">
        <v>4</v>
      </c>
      <c r="E375">
        <v>114.11927714530539</v>
      </c>
      <c r="F375">
        <v>6.5466448445171848</v>
      </c>
      <c r="G375">
        <v>0.10091757506674781</v>
      </c>
      <c r="H375">
        <v>21.27158154</v>
      </c>
    </row>
    <row r="376" spans="1:8" x14ac:dyDescent="0.25">
      <c r="A376">
        <v>0.55666412350725469</v>
      </c>
      <c r="B376">
        <v>1.7661811630891689E-5</v>
      </c>
      <c r="C376">
        <v>1.1038632269307305E-6</v>
      </c>
      <c r="D376">
        <v>4</v>
      </c>
      <c r="E376">
        <v>76.07951809687026</v>
      </c>
      <c r="F376">
        <v>6.5466448445171848</v>
      </c>
      <c r="G376">
        <v>7.1956830624721316E-2</v>
      </c>
      <c r="H376">
        <v>22.75077838</v>
      </c>
    </row>
    <row r="377" spans="1:8" x14ac:dyDescent="0.25">
      <c r="A377">
        <v>1.3359938964174112</v>
      </c>
      <c r="B377">
        <v>9.1988602244227514E-6</v>
      </c>
      <c r="C377">
        <v>3.6795440897691016E-7</v>
      </c>
      <c r="D377">
        <v>5</v>
      </c>
      <c r="E377">
        <v>228.23855429061072</v>
      </c>
      <c r="F377">
        <v>6.5466448445171848</v>
      </c>
      <c r="G377">
        <v>0.12625270484052156</v>
      </c>
      <c r="H377">
        <v>16.63235259</v>
      </c>
    </row>
    <row r="378" spans="1:8" x14ac:dyDescent="0.25">
      <c r="A378">
        <v>0.66799694820870559</v>
      </c>
      <c r="B378">
        <v>1.8397720448845503E-5</v>
      </c>
      <c r="C378">
        <v>7.3590881795382032E-7</v>
      </c>
      <c r="D378">
        <v>5</v>
      </c>
      <c r="E378">
        <v>114.11927714530536</v>
      </c>
      <c r="F378">
        <v>6.5466448445171848</v>
      </c>
      <c r="G378">
        <v>8.5720324775118942E-2</v>
      </c>
      <c r="H378">
        <v>22.585348450000001</v>
      </c>
    </row>
    <row r="379" spans="1:8" x14ac:dyDescent="0.25">
      <c r="A379">
        <v>0.44533129880580374</v>
      </c>
      <c r="B379">
        <v>2.7596580673268256E-5</v>
      </c>
      <c r="C379">
        <v>1.1038632269307305E-6</v>
      </c>
      <c r="D379">
        <v>5</v>
      </c>
      <c r="E379">
        <v>76.079518096870245</v>
      </c>
      <c r="F379">
        <v>6.5466448445171848</v>
      </c>
      <c r="G379">
        <v>5.8980692198124726E-2</v>
      </c>
      <c r="H379">
        <v>23.310098660000001</v>
      </c>
    </row>
    <row r="380" spans="1:8" x14ac:dyDescent="0.25">
      <c r="A380">
        <v>2.0039908446261165</v>
      </c>
      <c r="B380">
        <v>2.2997150561056879E-6</v>
      </c>
      <c r="C380">
        <v>3.6795440897691016E-7</v>
      </c>
      <c r="D380">
        <v>2.5</v>
      </c>
      <c r="E380">
        <v>617.59845453429125</v>
      </c>
      <c r="F380">
        <v>6.5466448445171848</v>
      </c>
      <c r="G380">
        <v>-4.223579335410426E-2</v>
      </c>
      <c r="H380">
        <v>-2.7820418099999999</v>
      </c>
    </row>
    <row r="381" spans="1:8" x14ac:dyDescent="0.25">
      <c r="A381">
        <v>1.0019954223130583</v>
      </c>
      <c r="B381">
        <v>4.5994301122113757E-6</v>
      </c>
      <c r="C381">
        <v>7.3590881795382032E-7</v>
      </c>
      <c r="D381">
        <v>2.5</v>
      </c>
      <c r="E381">
        <v>308.79922726714562</v>
      </c>
      <c r="F381">
        <v>6.5466448445171848</v>
      </c>
      <c r="G381">
        <v>0.13308783355631645</v>
      </c>
      <c r="H381">
        <v>17.53280277</v>
      </c>
    </row>
    <row r="382" spans="1:8" x14ac:dyDescent="0.25">
      <c r="A382">
        <v>0.66799694820870559</v>
      </c>
      <c r="B382">
        <v>6.899145168317064E-6</v>
      </c>
      <c r="C382">
        <v>1.1038632269307305E-6</v>
      </c>
      <c r="D382">
        <v>2.5</v>
      </c>
      <c r="E382">
        <v>205.86615151143044</v>
      </c>
      <c r="F382">
        <v>6.5466448445171848</v>
      </c>
      <c r="G382">
        <v>9.4885078205473011E-2</v>
      </c>
      <c r="H382">
        <v>18.750038799999999</v>
      </c>
    </row>
    <row r="383" spans="1:8" x14ac:dyDescent="0.25">
      <c r="A383">
        <v>1.5029932837689159</v>
      </c>
      <c r="B383">
        <v>4.0883815042892443E-6</v>
      </c>
      <c r="C383">
        <v>3.6795440897691016E-7</v>
      </c>
      <c r="D383">
        <v>3.3333330000000001</v>
      </c>
      <c r="E383">
        <v>617.59845453429136</v>
      </c>
      <c r="F383">
        <v>6.5466448445171848</v>
      </c>
      <c r="G383">
        <v>0.14879268804050799</v>
      </c>
      <c r="H383">
        <v>13.06782407</v>
      </c>
    </row>
    <row r="384" spans="1:8" x14ac:dyDescent="0.25">
      <c r="A384">
        <v>0.75149664188445797</v>
      </c>
      <c r="B384">
        <v>8.1767630085784886E-6</v>
      </c>
      <c r="C384">
        <v>7.3590881795382032E-7</v>
      </c>
      <c r="D384">
        <v>3.3333330000000001</v>
      </c>
      <c r="E384">
        <v>308.79922726714568</v>
      </c>
      <c r="F384">
        <v>6.5466448445171848</v>
      </c>
      <c r="G384">
        <v>0.10374992768756823</v>
      </c>
      <c r="H384">
        <v>18.22382296</v>
      </c>
    </row>
    <row r="385" spans="1:8" x14ac:dyDescent="0.25">
      <c r="A385">
        <v>0.50099776125630535</v>
      </c>
      <c r="B385">
        <v>1.2265144512867734E-5</v>
      </c>
      <c r="C385">
        <v>1.1038632269307305E-6</v>
      </c>
      <c r="D385">
        <v>3.3333330000000001</v>
      </c>
      <c r="E385">
        <v>205.86615151143047</v>
      </c>
      <c r="F385">
        <v>6.5466448445171848</v>
      </c>
      <c r="G385">
        <v>7.1082711581220287E-2</v>
      </c>
      <c r="H385">
        <v>18.728669700000001</v>
      </c>
    </row>
    <row r="386" spans="1:8" x14ac:dyDescent="0.25">
      <c r="A386">
        <v>1.2023946991588219</v>
      </c>
      <c r="B386">
        <v>6.3880953338803584E-6</v>
      </c>
      <c r="C386">
        <v>3.6795440897691016E-7</v>
      </c>
      <c r="D386">
        <v>4.1666660000000002</v>
      </c>
      <c r="E386">
        <v>617.59845453429136</v>
      </c>
      <c r="F386">
        <v>6.5466448445171848</v>
      </c>
      <c r="G386">
        <v>0.14717951595313467</v>
      </c>
      <c r="H386">
        <v>16.157681629999999</v>
      </c>
    </row>
    <row r="387" spans="1:8" x14ac:dyDescent="0.25">
      <c r="A387">
        <v>0.60119734957941096</v>
      </c>
      <c r="B387">
        <v>1.2776190667760717E-5</v>
      </c>
      <c r="C387">
        <v>7.3590881795382032E-7</v>
      </c>
      <c r="D387">
        <v>4.1666660000000002</v>
      </c>
      <c r="E387">
        <v>308.79922726714568</v>
      </c>
      <c r="F387">
        <v>6.5466448445171848</v>
      </c>
      <c r="G387">
        <v>8.3121399995621917E-2</v>
      </c>
      <c r="H387">
        <v>18.25048967</v>
      </c>
    </row>
    <row r="388" spans="1:8" x14ac:dyDescent="0.25">
      <c r="A388">
        <v>0.40079823305294071</v>
      </c>
      <c r="B388">
        <v>1.9164286001641076E-5</v>
      </c>
      <c r="C388">
        <v>1.1038632269307305E-6</v>
      </c>
      <c r="D388">
        <v>4.1666660000000002</v>
      </c>
      <c r="E388">
        <v>205.86615151143047</v>
      </c>
      <c r="F388">
        <v>6.5466448445171848</v>
      </c>
      <c r="G388">
        <v>5.628899091494096E-2</v>
      </c>
      <c r="H388">
        <v>18.53857696</v>
      </c>
    </row>
    <row r="389" spans="1:8" x14ac:dyDescent="0.25">
      <c r="A389">
        <v>2.0039908446261165</v>
      </c>
      <c r="B389">
        <v>2.2997150561056879E-6</v>
      </c>
      <c r="C389">
        <v>3.6795440897691016E-7</v>
      </c>
      <c r="D389">
        <v>2.5</v>
      </c>
      <c r="E389">
        <v>350.22643952862381</v>
      </c>
      <c r="F389">
        <v>6.5466448445171848</v>
      </c>
      <c r="G389">
        <v>-9.395295716142936E-2</v>
      </c>
      <c r="H389">
        <v>-6.18861478</v>
      </c>
    </row>
    <row r="390" spans="1:8" x14ac:dyDescent="0.25">
      <c r="A390">
        <v>1.0019954223130583</v>
      </c>
      <c r="B390">
        <v>4.5994301122113757E-6</v>
      </c>
      <c r="C390">
        <v>7.3590881795382032E-7</v>
      </c>
      <c r="D390">
        <v>2.5</v>
      </c>
      <c r="E390">
        <v>175.11321976431191</v>
      </c>
      <c r="F390">
        <v>6.5466448445171848</v>
      </c>
      <c r="G390">
        <v>0.12397203724588829</v>
      </c>
      <c r="H390">
        <v>16.33190067</v>
      </c>
    </row>
    <row r="391" spans="1:8" x14ac:dyDescent="0.25">
      <c r="A391">
        <v>0.66799694820870559</v>
      </c>
      <c r="B391">
        <v>6.899145168317064E-6</v>
      </c>
      <c r="C391">
        <v>1.1038632269307305E-6</v>
      </c>
      <c r="D391">
        <v>2.5</v>
      </c>
      <c r="E391">
        <v>116.74214650954127</v>
      </c>
      <c r="F391">
        <v>6.5466448445171848</v>
      </c>
      <c r="G391">
        <v>9.0907154629845513E-2</v>
      </c>
      <c r="H391">
        <v>17.963969769999999</v>
      </c>
    </row>
    <row r="392" spans="1:8" x14ac:dyDescent="0.25">
      <c r="A392">
        <v>1.5029932837689159</v>
      </c>
      <c r="B392">
        <v>4.0883815042892443E-6</v>
      </c>
      <c r="C392">
        <v>3.6795440897691016E-7</v>
      </c>
      <c r="D392">
        <v>3.3333330000000001</v>
      </c>
      <c r="E392">
        <v>350.22643952862376</v>
      </c>
      <c r="F392">
        <v>6.5466448445171848</v>
      </c>
      <c r="G392">
        <v>0.13223434967665698</v>
      </c>
      <c r="H392">
        <v>11.613576180000001</v>
      </c>
    </row>
    <row r="393" spans="1:8" x14ac:dyDescent="0.25">
      <c r="A393">
        <v>0.75149664188445797</v>
      </c>
      <c r="B393">
        <v>8.1767630085784886E-6</v>
      </c>
      <c r="C393">
        <v>7.3590881795382032E-7</v>
      </c>
      <c r="D393">
        <v>3.3333330000000001</v>
      </c>
      <c r="E393">
        <v>175.11321976431188</v>
      </c>
      <c r="F393">
        <v>6.5466448445171848</v>
      </c>
      <c r="G393">
        <v>0.10124020132294144</v>
      </c>
      <c r="H393">
        <v>17.78298594</v>
      </c>
    </row>
    <row r="394" spans="1:8" x14ac:dyDescent="0.25">
      <c r="A394">
        <v>0.50099776125630535</v>
      </c>
      <c r="B394">
        <v>1.2265144512867734E-5</v>
      </c>
      <c r="C394">
        <v>1.1038632269307305E-6</v>
      </c>
      <c r="D394">
        <v>3.3333330000000001</v>
      </c>
      <c r="E394">
        <v>116.74214650954126</v>
      </c>
      <c r="F394">
        <v>6.5466448445171848</v>
      </c>
      <c r="G394">
        <v>6.9901505016120302E-2</v>
      </c>
      <c r="H394">
        <v>18.41744877</v>
      </c>
    </row>
    <row r="395" spans="1:8" x14ac:dyDescent="0.25">
      <c r="A395">
        <v>1.2023946991588219</v>
      </c>
      <c r="B395">
        <v>6.3880953338803584E-6</v>
      </c>
      <c r="C395">
        <v>3.6795440897691016E-7</v>
      </c>
      <c r="D395">
        <v>4.1666660000000002</v>
      </c>
      <c r="E395">
        <v>350.22643952862381</v>
      </c>
      <c r="F395">
        <v>6.5466448445171848</v>
      </c>
      <c r="G395">
        <v>0.14195815598396291</v>
      </c>
      <c r="H395">
        <v>15.58446958</v>
      </c>
    </row>
    <row r="396" spans="1:8" x14ac:dyDescent="0.25">
      <c r="A396">
        <v>0.60119734957941096</v>
      </c>
      <c r="B396">
        <v>1.2776190667760717E-5</v>
      </c>
      <c r="C396">
        <v>7.3590881795382032E-7</v>
      </c>
      <c r="D396">
        <v>4.1666660000000002</v>
      </c>
      <c r="E396">
        <v>175.11321976431191</v>
      </c>
      <c r="F396">
        <v>6.5466448445171848</v>
      </c>
      <c r="G396">
        <v>8.2536091152414781E-2</v>
      </c>
      <c r="H396">
        <v>18.121976759999999</v>
      </c>
    </row>
    <row r="397" spans="1:8" x14ac:dyDescent="0.25">
      <c r="A397">
        <v>0.40079823305294071</v>
      </c>
      <c r="B397">
        <v>1.9164286001641076E-5</v>
      </c>
      <c r="C397">
        <v>1.1038632269307305E-6</v>
      </c>
      <c r="D397">
        <v>4.1666660000000002</v>
      </c>
      <c r="E397">
        <v>116.74214650954129</v>
      </c>
      <c r="F397">
        <v>6.5466448445171848</v>
      </c>
      <c r="G397">
        <v>5.5977154023605848E-2</v>
      </c>
      <c r="H397">
        <v>18.435874599999998</v>
      </c>
    </row>
    <row r="398" spans="1:8" x14ac:dyDescent="0.25">
      <c r="A398">
        <v>2.0039908446261165</v>
      </c>
      <c r="B398">
        <v>2.2997150561056879E-6</v>
      </c>
      <c r="C398">
        <v>3.6795440897691016E-7</v>
      </c>
      <c r="D398">
        <v>2.5</v>
      </c>
      <c r="E398">
        <v>225.78009808179715</v>
      </c>
      <c r="F398">
        <v>6.5466448445171848</v>
      </c>
      <c r="G398">
        <v>-0.15805563907360567</v>
      </c>
      <c r="H398">
        <v>-10.41101306</v>
      </c>
    </row>
    <row r="399" spans="1:8" x14ac:dyDescent="0.25">
      <c r="A399">
        <v>1.0019954223130583</v>
      </c>
      <c r="B399">
        <v>4.5994301122113757E-6</v>
      </c>
      <c r="C399">
        <v>7.3590881795382032E-7</v>
      </c>
      <c r="D399">
        <v>2.5</v>
      </c>
      <c r="E399">
        <v>112.89004904089857</v>
      </c>
      <c r="F399">
        <v>6.5466448445171848</v>
      </c>
      <c r="G399">
        <v>0.10991809829609969</v>
      </c>
      <c r="H399">
        <v>14.48045465</v>
      </c>
    </row>
    <row r="400" spans="1:8" x14ac:dyDescent="0.25">
      <c r="A400">
        <v>0.66799694820870559</v>
      </c>
      <c r="B400">
        <v>6.899145168317064E-6</v>
      </c>
      <c r="C400">
        <v>1.1038632269307305E-6</v>
      </c>
      <c r="D400">
        <v>2.5</v>
      </c>
      <c r="E400">
        <v>75.260032693932388</v>
      </c>
      <c r="F400">
        <v>6.5466448445171848</v>
      </c>
      <c r="G400">
        <v>8.4069730307172921E-2</v>
      </c>
      <c r="H400">
        <v>16.612840869999999</v>
      </c>
    </row>
    <row r="401" spans="1:8" x14ac:dyDescent="0.25">
      <c r="A401">
        <v>1.5029932837689159</v>
      </c>
      <c r="B401">
        <v>4.0883815042892443E-6</v>
      </c>
      <c r="C401">
        <v>3.6795440897691016E-7</v>
      </c>
      <c r="D401">
        <v>3.3333330000000001</v>
      </c>
      <c r="E401">
        <v>225.78009808179712</v>
      </c>
      <c r="F401">
        <v>6.5466448445171848</v>
      </c>
      <c r="G401">
        <v>0.10854111219013209</v>
      </c>
      <c r="H401">
        <v>9.5327006799999996</v>
      </c>
    </row>
    <row r="402" spans="1:8" x14ac:dyDescent="0.25">
      <c r="A402">
        <v>0.75149664188445797</v>
      </c>
      <c r="B402">
        <v>8.1767630085784886E-6</v>
      </c>
      <c r="C402">
        <v>7.3590881795382032E-7</v>
      </c>
      <c r="D402">
        <v>3.3333330000000001</v>
      </c>
      <c r="E402">
        <v>112.89004904089856</v>
      </c>
      <c r="F402">
        <v>6.5466448445171848</v>
      </c>
      <c r="G402">
        <v>9.6139799351449368E-2</v>
      </c>
      <c r="H402">
        <v>16.887093050000001</v>
      </c>
    </row>
    <row r="403" spans="1:8" x14ac:dyDescent="0.25">
      <c r="A403">
        <v>0.50099776125630535</v>
      </c>
      <c r="B403">
        <v>1.2265144512867734E-5</v>
      </c>
      <c r="C403">
        <v>1.1038632269307305E-6</v>
      </c>
      <c r="D403">
        <v>3.3333330000000001</v>
      </c>
      <c r="E403">
        <v>75.260032693932388</v>
      </c>
      <c r="F403">
        <v>6.5466448445171848</v>
      </c>
      <c r="G403">
        <v>6.7233550086890026E-2</v>
      </c>
      <c r="H403">
        <v>17.714503629999999</v>
      </c>
    </row>
    <row r="404" spans="1:8" x14ac:dyDescent="0.25">
      <c r="A404">
        <v>1.2023946991588219</v>
      </c>
      <c r="B404">
        <v>6.3880953338803584E-6</v>
      </c>
      <c r="C404">
        <v>3.6795440897691016E-7</v>
      </c>
      <c r="D404">
        <v>4.1666660000000002</v>
      </c>
      <c r="E404">
        <v>225.78009808179715</v>
      </c>
      <c r="F404">
        <v>6.5466448445171848</v>
      </c>
      <c r="G404">
        <v>0.13207622391392829</v>
      </c>
      <c r="H404">
        <v>14.49960997</v>
      </c>
    </row>
    <row r="405" spans="1:8" x14ac:dyDescent="0.25">
      <c r="A405">
        <v>0.60119734957941096</v>
      </c>
      <c r="B405">
        <v>1.2776190667760717E-5</v>
      </c>
      <c r="C405">
        <v>7.3590881795382032E-7</v>
      </c>
      <c r="D405">
        <v>4.1666660000000002</v>
      </c>
      <c r="E405">
        <v>112.89004904089857</v>
      </c>
      <c r="F405">
        <v>6.5466448445171848</v>
      </c>
      <c r="G405">
        <v>8.0315860029363084E-2</v>
      </c>
      <c r="H405">
        <v>17.634493330000002</v>
      </c>
    </row>
    <row r="406" spans="1:8" x14ac:dyDescent="0.25">
      <c r="A406">
        <v>0.40079823305294071</v>
      </c>
      <c r="B406">
        <v>1.9164286001641076E-5</v>
      </c>
      <c r="C406">
        <v>1.1038632269307305E-6</v>
      </c>
      <c r="D406">
        <v>4.1666660000000002</v>
      </c>
      <c r="E406">
        <v>75.260032693932402</v>
      </c>
      <c r="F406">
        <v>6.5466448445171848</v>
      </c>
      <c r="G406">
        <v>5.4713293814222012E-2</v>
      </c>
      <c r="H406">
        <v>18.019626779999999</v>
      </c>
    </row>
    <row r="407" spans="1:8" x14ac:dyDescent="0.25">
      <c r="A407">
        <v>1.4200616342300991</v>
      </c>
      <c r="B407">
        <v>3.311589239246915E-6</v>
      </c>
      <c r="C407">
        <v>7.2119064159474388E-7</v>
      </c>
      <c r="D407">
        <v>2.1428569999999998</v>
      </c>
      <c r="E407">
        <v>615.12559288581019</v>
      </c>
      <c r="F407">
        <v>6.5466448445171848</v>
      </c>
      <c r="G407">
        <v>0.16310885453206336</v>
      </c>
      <c r="H407">
        <v>25.269568289999999</v>
      </c>
    </row>
    <row r="408" spans="1:8" x14ac:dyDescent="0.25">
      <c r="A408">
        <v>0.71003081711504956</v>
      </c>
      <c r="B408">
        <v>6.62317847849383E-6</v>
      </c>
      <c r="C408">
        <v>1.4423812831894878E-6</v>
      </c>
      <c r="D408">
        <v>2.1428569999999998</v>
      </c>
      <c r="E408">
        <v>307.5627964429051</v>
      </c>
      <c r="F408">
        <v>6.5466448445171848</v>
      </c>
      <c r="G408">
        <v>0.10381974552774907</v>
      </c>
      <c r="H408">
        <v>32.168457770000003</v>
      </c>
    </row>
    <row r="409" spans="1:8" x14ac:dyDescent="0.25">
      <c r="A409">
        <v>0.47335387807669965</v>
      </c>
      <c r="B409">
        <v>9.9347677177407437E-6</v>
      </c>
      <c r="C409">
        <v>2.1635719247842315E-6</v>
      </c>
      <c r="D409">
        <v>2.1428569999999998</v>
      </c>
      <c r="E409">
        <v>205.04186429527005</v>
      </c>
      <c r="F409">
        <v>6.5466448445171848</v>
      </c>
      <c r="G409">
        <v>7.0749596015529978E-2</v>
      </c>
      <c r="H409">
        <v>32.882551100000001</v>
      </c>
    </row>
    <row r="410" spans="1:8" x14ac:dyDescent="0.25">
      <c r="A410">
        <v>1.0650461014171875</v>
      </c>
      <c r="B410">
        <v>5.8872711323576311E-6</v>
      </c>
      <c r="C410">
        <v>7.2119064159474388E-7</v>
      </c>
      <c r="D410">
        <v>2.8571430000000002</v>
      </c>
      <c r="E410">
        <v>615.12559288581008</v>
      </c>
      <c r="F410">
        <v>6.5466448445171848</v>
      </c>
      <c r="G410">
        <v>0.14305070238404849</v>
      </c>
      <c r="H410">
        <v>29.549427179999999</v>
      </c>
    </row>
    <row r="411" spans="1:8" x14ac:dyDescent="0.25">
      <c r="A411">
        <v>0.53252305070859374</v>
      </c>
      <c r="B411">
        <v>1.1774542264715262E-5</v>
      </c>
      <c r="C411">
        <v>1.4423812831894878E-6</v>
      </c>
      <c r="D411">
        <v>2.8571430000000002</v>
      </c>
      <c r="E411">
        <v>307.56279644290504</v>
      </c>
      <c r="F411">
        <v>6.5466448445171848</v>
      </c>
      <c r="G411">
        <v>7.7169245114411048E-2</v>
      </c>
      <c r="H411">
        <v>31.881101610000002</v>
      </c>
    </row>
    <row r="412" spans="1:8" x14ac:dyDescent="0.25">
      <c r="A412">
        <v>0.35501536713906245</v>
      </c>
      <c r="B412">
        <v>1.7661813397072894E-5</v>
      </c>
      <c r="C412">
        <v>2.1635719247842315E-6</v>
      </c>
      <c r="D412">
        <v>2.8571430000000002</v>
      </c>
      <c r="E412">
        <v>205.04186429527002</v>
      </c>
      <c r="F412">
        <v>6.5466448445171848</v>
      </c>
      <c r="G412">
        <v>5.1983597291947403E-2</v>
      </c>
      <c r="H412">
        <v>32.214148489999999</v>
      </c>
    </row>
    <row r="413" spans="1:8" x14ac:dyDescent="0.25">
      <c r="A413">
        <v>0.85203682149117543</v>
      </c>
      <c r="B413">
        <v>9.1988624321493372E-6</v>
      </c>
      <c r="C413">
        <v>7.2119064159474388E-7</v>
      </c>
      <c r="D413">
        <v>3.5714290000000002</v>
      </c>
      <c r="E413">
        <v>615.12559288581008</v>
      </c>
      <c r="F413">
        <v>6.5466448445171848</v>
      </c>
      <c r="G413">
        <v>0.11687282089258029</v>
      </c>
      <c r="H413">
        <v>30.177457140000001</v>
      </c>
    </row>
    <row r="414" spans="1:8" x14ac:dyDescent="0.25">
      <c r="A414">
        <v>0.42601841074558772</v>
      </c>
      <c r="B414">
        <v>1.8397724864298674E-5</v>
      </c>
      <c r="C414">
        <v>1.4423812831894878E-6</v>
      </c>
      <c r="D414">
        <v>3.5714290000000002</v>
      </c>
      <c r="E414">
        <v>307.56279644290504</v>
      </c>
      <c r="F414">
        <v>6.5466448445171848</v>
      </c>
      <c r="G414">
        <v>6.0864124692106482E-2</v>
      </c>
      <c r="H414">
        <v>31.43116595</v>
      </c>
    </row>
    <row r="415" spans="1:8" x14ac:dyDescent="0.25">
      <c r="A415">
        <v>0.28401227383039185</v>
      </c>
      <c r="B415">
        <v>2.759658729644801E-5</v>
      </c>
      <c r="C415">
        <v>2.1635719247842315E-6</v>
      </c>
      <c r="D415">
        <v>3.5714290000000002</v>
      </c>
      <c r="E415">
        <v>205.04186429527002</v>
      </c>
      <c r="F415">
        <v>6.5466448445171848</v>
      </c>
      <c r="G415">
        <v>4.0842101356891057E-2</v>
      </c>
      <c r="H415">
        <v>31.637229779999998</v>
      </c>
    </row>
    <row r="416" spans="1:8" x14ac:dyDescent="0.25">
      <c r="A416">
        <v>1.4200616342300991</v>
      </c>
      <c r="B416">
        <v>3.311589239246915E-6</v>
      </c>
      <c r="C416">
        <v>7.2119064159474388E-7</v>
      </c>
      <c r="D416">
        <v>2.1428569999999998</v>
      </c>
      <c r="E416">
        <v>348.57339105882659</v>
      </c>
      <c r="F416">
        <v>6.5466448445171848</v>
      </c>
      <c r="G416">
        <v>0.14846941646663361</v>
      </c>
      <c r="H416">
        <v>23.001559719999999</v>
      </c>
    </row>
    <row r="417" spans="1:8" x14ac:dyDescent="0.25">
      <c r="A417">
        <v>0.71003081711504956</v>
      </c>
      <c r="B417">
        <v>6.62317847849383E-6</v>
      </c>
      <c r="C417">
        <v>1.4423812831894878E-6</v>
      </c>
      <c r="D417">
        <v>2.1428569999999998</v>
      </c>
      <c r="E417">
        <v>174.28669552941329</v>
      </c>
      <c r="F417">
        <v>6.5466448445171848</v>
      </c>
      <c r="G417">
        <v>0.10133227989760871</v>
      </c>
      <c r="H417">
        <v>31.397718709999999</v>
      </c>
    </row>
    <row r="418" spans="1:8" x14ac:dyDescent="0.25">
      <c r="A418">
        <v>0.47335387807669965</v>
      </c>
      <c r="B418">
        <v>9.9347677177407437E-6</v>
      </c>
      <c r="C418">
        <v>2.1635719247842315E-6</v>
      </c>
      <c r="D418">
        <v>2.1428569999999998</v>
      </c>
      <c r="E418">
        <v>116.19113035294218</v>
      </c>
      <c r="F418">
        <v>6.5466448445171848</v>
      </c>
      <c r="G418">
        <v>6.9502481845146957E-2</v>
      </c>
      <c r="H418">
        <v>32.30292524</v>
      </c>
    </row>
    <row r="419" spans="1:8" x14ac:dyDescent="0.25">
      <c r="A419">
        <v>1.0650461014171875</v>
      </c>
      <c r="B419">
        <v>5.8872711323576311E-6</v>
      </c>
      <c r="C419">
        <v>7.2119064159474388E-7</v>
      </c>
      <c r="D419">
        <v>2.8571430000000002</v>
      </c>
      <c r="E419">
        <v>348.57339105882659</v>
      </c>
      <c r="F419">
        <v>6.5466448445171848</v>
      </c>
      <c r="G419">
        <v>0.13969142607928295</v>
      </c>
      <c r="H419">
        <v>28.855514540000001</v>
      </c>
    </row>
    <row r="420" spans="1:8" x14ac:dyDescent="0.25">
      <c r="A420">
        <v>0.53252305070859374</v>
      </c>
      <c r="B420">
        <v>1.1774542264715262E-5</v>
      </c>
      <c r="C420">
        <v>1.4423812831894878E-6</v>
      </c>
      <c r="D420">
        <v>2.8571430000000002</v>
      </c>
      <c r="E420">
        <v>174.28669552941329</v>
      </c>
      <c r="F420">
        <v>6.5466448445171848</v>
      </c>
      <c r="G420">
        <v>7.668359354837874E-2</v>
      </c>
      <c r="H420">
        <v>31.6804633</v>
      </c>
    </row>
    <row r="421" spans="1:8" x14ac:dyDescent="0.25">
      <c r="A421">
        <v>0.35501536713906245</v>
      </c>
      <c r="B421">
        <v>1.7661813397072894E-5</v>
      </c>
      <c r="C421">
        <v>2.1635719247842315E-6</v>
      </c>
      <c r="D421">
        <v>2.8571430000000002</v>
      </c>
      <c r="E421">
        <v>116.19113035294218</v>
      </c>
      <c r="F421">
        <v>6.5466448445171848</v>
      </c>
      <c r="G421">
        <v>5.1677236599250762E-2</v>
      </c>
      <c r="H421">
        <v>32.024297279999999</v>
      </c>
    </row>
    <row r="422" spans="1:8" x14ac:dyDescent="0.25">
      <c r="A422">
        <v>0.85203682149117543</v>
      </c>
      <c r="B422">
        <v>9.1988624321493372E-6</v>
      </c>
      <c r="C422">
        <v>7.2119064159474388E-7</v>
      </c>
      <c r="D422">
        <v>3.5714290000000002</v>
      </c>
      <c r="E422">
        <v>348.57339105882653</v>
      </c>
      <c r="F422">
        <v>6.5466448445171848</v>
      </c>
      <c r="G422">
        <v>0.11657192873010538</v>
      </c>
      <c r="H422">
        <v>30.099764480000001</v>
      </c>
    </row>
    <row r="423" spans="1:8" x14ac:dyDescent="0.25">
      <c r="A423">
        <v>0.42601841074558772</v>
      </c>
      <c r="B423">
        <v>1.8397724864298674E-5</v>
      </c>
      <c r="C423">
        <v>1.4423812831894878E-6</v>
      </c>
      <c r="D423">
        <v>3.5714290000000002</v>
      </c>
      <c r="E423">
        <v>174.28669552941327</v>
      </c>
      <c r="F423">
        <v>6.5466448445171848</v>
      </c>
      <c r="G423">
        <v>6.0960369243406906E-2</v>
      </c>
      <c r="H423">
        <v>31.480868109999999</v>
      </c>
    </row>
    <row r="424" spans="1:8" x14ac:dyDescent="0.25">
      <c r="A424">
        <v>0.28401227383039185</v>
      </c>
      <c r="B424">
        <v>2.759658729644801E-5</v>
      </c>
      <c r="C424">
        <v>2.1635719247842315E-6</v>
      </c>
      <c r="D424">
        <v>3.5714290000000002</v>
      </c>
      <c r="E424">
        <v>116.19113035294218</v>
      </c>
      <c r="F424">
        <v>6.5466448445171848</v>
      </c>
      <c r="G424">
        <v>4.0834877791066378E-2</v>
      </c>
      <c r="H424">
        <v>31.63163424</v>
      </c>
    </row>
    <row r="425" spans="1:8" x14ac:dyDescent="0.25">
      <c r="A425">
        <v>1.4200616342300991</v>
      </c>
      <c r="B425">
        <v>3.311589239246915E-6</v>
      </c>
      <c r="C425">
        <v>7.2119064159474388E-7</v>
      </c>
      <c r="D425">
        <v>2.1428569999999998</v>
      </c>
      <c r="E425">
        <v>224.57058221568678</v>
      </c>
      <c r="F425">
        <v>6.5466448445171848</v>
      </c>
      <c r="G425">
        <v>0.12765828424965589</v>
      </c>
      <c r="H425">
        <v>19.77740412</v>
      </c>
    </row>
    <row r="426" spans="1:8" x14ac:dyDescent="0.25">
      <c r="A426">
        <v>0.71003081711504956</v>
      </c>
      <c r="B426">
        <v>6.62317847849383E-6</v>
      </c>
      <c r="C426">
        <v>1.4423812831894878E-6</v>
      </c>
      <c r="D426">
        <v>2.1428569999999998</v>
      </c>
      <c r="E426">
        <v>112.28529110784339</v>
      </c>
      <c r="F426">
        <v>6.5466448445171848</v>
      </c>
      <c r="G426">
        <v>9.6611803668857715E-2</v>
      </c>
      <c r="H426">
        <v>29.935083259999999</v>
      </c>
    </row>
    <row r="427" spans="1:8" x14ac:dyDescent="0.25">
      <c r="A427">
        <v>0.47335387807669965</v>
      </c>
      <c r="B427">
        <v>9.9347677177407437E-6</v>
      </c>
      <c r="C427">
        <v>2.1635719247842315E-6</v>
      </c>
      <c r="D427">
        <v>2.1428569999999998</v>
      </c>
      <c r="E427">
        <v>74.856860738562261</v>
      </c>
      <c r="F427">
        <v>6.5466448445171848</v>
      </c>
      <c r="G427">
        <v>6.6959514343182744E-2</v>
      </c>
      <c r="H427">
        <v>31.12102084</v>
      </c>
    </row>
    <row r="428" spans="1:8" x14ac:dyDescent="0.25">
      <c r="A428">
        <v>1.0650461014171875</v>
      </c>
      <c r="B428">
        <v>5.8872711323576311E-6</v>
      </c>
      <c r="C428">
        <v>7.2119064159474388E-7</v>
      </c>
      <c r="D428">
        <v>2.8571430000000002</v>
      </c>
      <c r="E428">
        <v>224.57058221568678</v>
      </c>
      <c r="F428">
        <v>6.5466448445171848</v>
      </c>
      <c r="G428">
        <v>0.13297754074067145</v>
      </c>
      <c r="H428">
        <v>27.468653360000001</v>
      </c>
    </row>
    <row r="429" spans="1:8" x14ac:dyDescent="0.25">
      <c r="A429">
        <v>0.53252305070859374</v>
      </c>
      <c r="B429">
        <v>1.1774542264715262E-5</v>
      </c>
      <c r="C429">
        <v>1.4423812831894878E-6</v>
      </c>
      <c r="D429">
        <v>2.8571430000000002</v>
      </c>
      <c r="E429">
        <v>112.28529110784339</v>
      </c>
      <c r="F429">
        <v>6.5466448445171848</v>
      </c>
      <c r="G429">
        <v>7.5003840880599637E-2</v>
      </c>
      <c r="H429">
        <v>30.98650335</v>
      </c>
    </row>
    <row r="430" spans="1:8" x14ac:dyDescent="0.25">
      <c r="A430">
        <v>0.35501536713906245</v>
      </c>
      <c r="B430">
        <v>1.7661813397072894E-5</v>
      </c>
      <c r="C430">
        <v>2.1635719247842315E-6</v>
      </c>
      <c r="D430">
        <v>2.8571430000000002</v>
      </c>
      <c r="E430">
        <v>74.856860738562261</v>
      </c>
      <c r="F430">
        <v>6.5466448445171848</v>
      </c>
      <c r="G430">
        <v>5.0659162661873036E-2</v>
      </c>
      <c r="H430">
        <v>31.393398560000001</v>
      </c>
    </row>
    <row r="431" spans="1:8" x14ac:dyDescent="0.25">
      <c r="A431">
        <v>0.85203682149117543</v>
      </c>
      <c r="B431">
        <v>9.1988624321493372E-6</v>
      </c>
      <c r="C431">
        <v>7.2119064159474388E-7</v>
      </c>
      <c r="D431">
        <v>3.5714290000000002</v>
      </c>
      <c r="E431">
        <v>224.57058221568676</v>
      </c>
      <c r="F431">
        <v>6.5466448445171848</v>
      </c>
      <c r="G431">
        <v>0.11409265112167204</v>
      </c>
      <c r="H431">
        <v>29.459596019999999</v>
      </c>
    </row>
    <row r="432" spans="1:8" x14ac:dyDescent="0.25">
      <c r="A432">
        <v>0.42601841074558772</v>
      </c>
      <c r="B432">
        <v>1.8397724864298674E-5</v>
      </c>
      <c r="C432">
        <v>1.4423812831894878E-6</v>
      </c>
      <c r="D432">
        <v>3.5714290000000002</v>
      </c>
      <c r="E432">
        <v>112.28529110784338</v>
      </c>
      <c r="F432">
        <v>6.5466448445171848</v>
      </c>
      <c r="G432">
        <v>6.0254630119403518E-2</v>
      </c>
      <c r="H432">
        <v>31.116413619999999</v>
      </c>
    </row>
    <row r="433" spans="1:8" x14ac:dyDescent="0.25">
      <c r="A433">
        <v>0.28401227383039185</v>
      </c>
      <c r="B433">
        <v>2.759658729644801E-5</v>
      </c>
      <c r="C433">
        <v>2.1635719247842315E-6</v>
      </c>
      <c r="D433">
        <v>3.5714290000000002</v>
      </c>
      <c r="E433">
        <v>74.856860738562261</v>
      </c>
      <c r="F433">
        <v>6.5466448445171848</v>
      </c>
      <c r="G433">
        <v>4.0338004853123839E-2</v>
      </c>
      <c r="H433">
        <v>31.246745050000001</v>
      </c>
    </row>
  </sheetData>
  <sortState ref="A2:H443">
    <sortCondition descending="1" ref="A1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OM413"/>
  <sheetViews>
    <sheetView topLeftCell="GH1" workbookViewId="0">
      <selection activeCell="GT23" sqref="GT23"/>
    </sheetView>
  </sheetViews>
  <sheetFormatPr defaultRowHeight="15" x14ac:dyDescent="0.25"/>
  <sheetData>
    <row r="1" spans="1:403" x14ac:dyDescent="0.25">
      <c r="A1">
        <v>0.201025415181247</v>
      </c>
      <c r="B1">
        <v>0.201025415181247</v>
      </c>
      <c r="C1">
        <v>0.201025415181247</v>
      </c>
      <c r="D1">
        <v>0.25110650276849067</v>
      </c>
      <c r="E1">
        <v>0.25110650276849067</v>
      </c>
      <c r="F1">
        <v>0.25110650276849067</v>
      </c>
      <c r="G1">
        <v>0.2687843817016134</v>
      </c>
      <c r="H1">
        <v>0.2687843817016134</v>
      </c>
      <c r="I1">
        <v>0.2687843817016134</v>
      </c>
      <c r="J1">
        <v>0.28401227383039185</v>
      </c>
      <c r="K1">
        <v>0.28401227383039185</v>
      </c>
      <c r="L1">
        <v>0.28401227383039185</v>
      </c>
      <c r="M1">
        <v>0.2990735307759429</v>
      </c>
      <c r="N1">
        <v>0.2990735307759429</v>
      </c>
      <c r="O1">
        <v>0.2990735307759429</v>
      </c>
      <c r="P1">
        <v>0.30153812277187053</v>
      </c>
      <c r="Q1">
        <v>0.30153812277187053</v>
      </c>
      <c r="R1">
        <v>0.30153812277187053</v>
      </c>
      <c r="S1">
        <v>0.33399847410435279</v>
      </c>
      <c r="T1">
        <v>0.33399847410435279</v>
      </c>
      <c r="U1">
        <v>0.33399847410435279</v>
      </c>
      <c r="V1">
        <v>0.33441991347644473</v>
      </c>
      <c r="W1">
        <v>0.33441991347644473</v>
      </c>
      <c r="X1">
        <v>0.33441991347644473</v>
      </c>
      <c r="Y1">
        <v>0.33598047712701673</v>
      </c>
      <c r="Z1">
        <v>0.33598047712701673</v>
      </c>
      <c r="AA1">
        <v>0.33598047712701673</v>
      </c>
      <c r="AB1">
        <v>0.33598050064564888</v>
      </c>
      <c r="AC1">
        <v>0.33598050064564888</v>
      </c>
      <c r="AD1">
        <v>0.33598050064564888</v>
      </c>
      <c r="AE1">
        <v>0.35171051439776541</v>
      </c>
      <c r="AF1">
        <v>0.35171051439776541</v>
      </c>
      <c r="AG1">
        <v>0.35171051439776541</v>
      </c>
      <c r="AH1">
        <v>0.35501536713906245</v>
      </c>
      <c r="AI1">
        <v>0.35501536713906245</v>
      </c>
      <c r="AJ1">
        <v>0.35501536713906245</v>
      </c>
      <c r="AK1">
        <v>0.36584545818217235</v>
      </c>
      <c r="AL1">
        <v>0.36584545818217235</v>
      </c>
      <c r="AM1">
        <v>0.36584545818217235</v>
      </c>
      <c r="AN1">
        <v>0.37384193963886125</v>
      </c>
      <c r="AO1">
        <v>0.37384193963886125</v>
      </c>
      <c r="AP1">
        <v>0.37384193963886125</v>
      </c>
      <c r="AQ1">
        <v>0.37665975415273595</v>
      </c>
      <c r="AR1">
        <v>0.37665975415273595</v>
      </c>
      <c r="AS1">
        <v>0.37665975415273595</v>
      </c>
      <c r="AT1">
        <v>0.39511308851493648</v>
      </c>
      <c r="AU1">
        <v>0.39511308851493648</v>
      </c>
      <c r="AV1">
        <v>0.39511308851493648</v>
      </c>
      <c r="AW1">
        <v>0.40079823305294071</v>
      </c>
      <c r="AX1">
        <v>0.40079823305294071</v>
      </c>
      <c r="AY1">
        <v>0.40079823305294071</v>
      </c>
      <c r="AZ1">
        <v>0.40317657255242001</v>
      </c>
      <c r="BA1">
        <v>0.40317657255242001</v>
      </c>
      <c r="BB1">
        <v>0.40317657255242001</v>
      </c>
      <c r="BC1">
        <v>0.41749809263044102</v>
      </c>
      <c r="BD1">
        <v>0.41749809263044102</v>
      </c>
      <c r="BE1">
        <v>0.41749809263044102</v>
      </c>
      <c r="BF1">
        <v>0.4199756258070611</v>
      </c>
      <c r="BG1">
        <v>0.4199756258070611</v>
      </c>
      <c r="BH1">
        <v>0.4199756258070611</v>
      </c>
      <c r="BI1">
        <v>0.42205268480574815</v>
      </c>
      <c r="BJ1">
        <v>0.42205268480574815</v>
      </c>
      <c r="BK1">
        <v>0.42205268480574815</v>
      </c>
      <c r="BL1">
        <v>0.42601841074558772</v>
      </c>
      <c r="BM1">
        <v>0.42601841074558772</v>
      </c>
      <c r="BN1">
        <v>0.42601841074558772</v>
      </c>
      <c r="BO1">
        <v>0.43963814299720683</v>
      </c>
      <c r="BP1">
        <v>0.43963814299720683</v>
      </c>
      <c r="BQ1">
        <v>0.43963814299720683</v>
      </c>
      <c r="BR1">
        <v>0.44533129880580374</v>
      </c>
      <c r="BS1">
        <v>0.44533129880580374</v>
      </c>
      <c r="BT1">
        <v>0.44533129880580374</v>
      </c>
      <c r="BU1">
        <v>0.44797405312450211</v>
      </c>
      <c r="BV1">
        <v>0.44797405312450211</v>
      </c>
      <c r="BW1">
        <v>0.44797405312450211</v>
      </c>
      <c r="BX1">
        <v>0.44861029616391435</v>
      </c>
      <c r="BY1">
        <v>0.44861029616391435</v>
      </c>
      <c r="BZ1">
        <v>0.44861029616391435</v>
      </c>
      <c r="CA1">
        <v>0.45730681998387446</v>
      </c>
      <c r="CB1">
        <v>0.45730681998387446</v>
      </c>
      <c r="CC1">
        <v>0.45730681998387446</v>
      </c>
      <c r="CD1">
        <v>0.46894735253035391</v>
      </c>
      <c r="CE1">
        <v>0.46894735253035391</v>
      </c>
      <c r="CF1">
        <v>0.46894735253035391</v>
      </c>
      <c r="CG1">
        <v>0.47335387807669965</v>
      </c>
      <c r="CH1">
        <v>0.47335387807669965</v>
      </c>
      <c r="CI1">
        <v>0.47335387807669965</v>
      </c>
      <c r="CJ1">
        <v>0.47413578207964907</v>
      </c>
      <c r="CK1">
        <v>0.47413578207964907</v>
      </c>
      <c r="CL1">
        <v>0.47413578207964907</v>
      </c>
      <c r="CM1">
        <v>0.49389136064367067</v>
      </c>
      <c r="CN1">
        <v>0.49389136064367067</v>
      </c>
      <c r="CO1">
        <v>0.49389136064367067</v>
      </c>
      <c r="CP1">
        <v>0.49845597767167615</v>
      </c>
      <c r="CQ1">
        <v>0.49845597767167615</v>
      </c>
      <c r="CR1">
        <v>0.49845597767167615</v>
      </c>
      <c r="CS1">
        <v>0.50099771115652914</v>
      </c>
      <c r="CT1">
        <v>0.50099771115652914</v>
      </c>
      <c r="CU1">
        <v>0.50099771115652914</v>
      </c>
      <c r="CV1">
        <v>0.50099776125630535</v>
      </c>
      <c r="CW1">
        <v>0.50099776125630535</v>
      </c>
      <c r="CX1">
        <v>0.50099776125630535</v>
      </c>
      <c r="CY1">
        <v>0.5016298702146671</v>
      </c>
      <c r="CZ1">
        <v>0.5016298702146671</v>
      </c>
      <c r="DA1">
        <v>0.5016298702146671</v>
      </c>
      <c r="DB1">
        <v>0.50397071569052498</v>
      </c>
      <c r="DC1">
        <v>0.50397071569052498</v>
      </c>
      <c r="DD1">
        <v>0.50397071569052498</v>
      </c>
      <c r="DE1">
        <v>0.50397075096847332</v>
      </c>
      <c r="DF1">
        <v>0.50397075096847332</v>
      </c>
      <c r="DG1">
        <v>0.50397075096847332</v>
      </c>
      <c r="DH1">
        <v>0.52681745135324864</v>
      </c>
      <c r="DI1">
        <v>0.52681745135324864</v>
      </c>
      <c r="DJ1">
        <v>0.52681745135324864</v>
      </c>
      <c r="DK1">
        <v>0.52756577159664819</v>
      </c>
      <c r="DL1">
        <v>0.52756577159664819</v>
      </c>
      <c r="DM1">
        <v>0.52756577159664819</v>
      </c>
      <c r="DN1">
        <v>0.52756582435323063</v>
      </c>
      <c r="DO1">
        <v>0.52756582435323063</v>
      </c>
      <c r="DP1">
        <v>0.52756582435323063</v>
      </c>
      <c r="DQ1">
        <v>0.53252305070859374</v>
      </c>
      <c r="DR1">
        <v>0.53252305070859374</v>
      </c>
      <c r="DS1">
        <v>0.53252305070859374</v>
      </c>
      <c r="DT1">
        <v>0.54876818727325849</v>
      </c>
      <c r="DU1">
        <v>0.54876818727325849</v>
      </c>
      <c r="DV1">
        <v>0.54876818727325849</v>
      </c>
      <c r="DW1">
        <v>0.55666412350725469</v>
      </c>
      <c r="DX1">
        <v>0.55666412350725469</v>
      </c>
      <c r="DY1">
        <v>0.55666412350725469</v>
      </c>
      <c r="DZ1">
        <v>0.5566641235072548</v>
      </c>
      <c r="EA1">
        <v>0.5566641235072548</v>
      </c>
      <c r="EB1">
        <v>0.5566641235072548</v>
      </c>
      <c r="EC1">
        <v>0.55996756640562761</v>
      </c>
      <c r="ED1">
        <v>0.55996756640562761</v>
      </c>
      <c r="EE1">
        <v>0.55996756640562761</v>
      </c>
      <c r="EF1">
        <v>0.56076290945829188</v>
      </c>
      <c r="EG1">
        <v>0.56076290945829188</v>
      </c>
      <c r="EH1">
        <v>0.56076290945829188</v>
      </c>
      <c r="EI1">
        <v>0.58618419066294247</v>
      </c>
      <c r="EJ1">
        <v>0.58618419066294247</v>
      </c>
      <c r="EK1">
        <v>0.58618419066294247</v>
      </c>
      <c r="EL1">
        <v>0.58618419066294247</v>
      </c>
      <c r="EM1">
        <v>0.58618419066294247</v>
      </c>
      <c r="EN1">
        <v>0.58618419066294247</v>
      </c>
      <c r="EO1">
        <v>0.59266963277240481</v>
      </c>
      <c r="EP1">
        <v>0.59266963277240481</v>
      </c>
      <c r="EQ1">
        <v>0.59266963277240481</v>
      </c>
      <c r="ER1">
        <v>0.59266969203937403</v>
      </c>
      <c r="ES1">
        <v>0.59266969203937403</v>
      </c>
      <c r="ET1">
        <v>0.59266969203937403</v>
      </c>
      <c r="EU1">
        <v>0.60119734957941096</v>
      </c>
      <c r="EV1">
        <v>0.60119734957941096</v>
      </c>
      <c r="EW1">
        <v>0.60119734957941096</v>
      </c>
      <c r="EX1">
        <v>0.60307624554374106</v>
      </c>
      <c r="EY1">
        <v>0.60307624554374106</v>
      </c>
      <c r="EZ1">
        <v>0.60307624554374106</v>
      </c>
      <c r="FA1">
        <v>0.60974242054774175</v>
      </c>
      <c r="FB1">
        <v>0.60974242054774175</v>
      </c>
      <c r="FC1">
        <v>0.60974242054774175</v>
      </c>
      <c r="FD1">
        <v>0.62624713894566164</v>
      </c>
      <c r="FE1">
        <v>0.62624713894566164</v>
      </c>
      <c r="FF1">
        <v>0.62624713894566164</v>
      </c>
      <c r="FG1">
        <v>0.62996343871059168</v>
      </c>
      <c r="FH1">
        <v>0.62996343871059168</v>
      </c>
      <c r="FI1">
        <v>0.62996343871059168</v>
      </c>
      <c r="FJ1">
        <v>0.63307902720862219</v>
      </c>
      <c r="FK1">
        <v>0.63307902720862219</v>
      </c>
      <c r="FL1">
        <v>0.63307902720862219</v>
      </c>
      <c r="FM1">
        <v>0.65852181419156086</v>
      </c>
      <c r="FN1">
        <v>0.65852181419156086</v>
      </c>
      <c r="FO1">
        <v>0.65852181419156086</v>
      </c>
      <c r="FP1">
        <v>0.65852181419156097</v>
      </c>
      <c r="FQ1">
        <v>0.65852181419156097</v>
      </c>
      <c r="FR1">
        <v>0.65852181419156097</v>
      </c>
      <c r="FS1">
        <v>0.65852181419156097</v>
      </c>
      <c r="FT1">
        <v>0.65852181419156097</v>
      </c>
      <c r="FU1">
        <v>0.65852181419156097</v>
      </c>
      <c r="FV1">
        <v>0.6594572144958103</v>
      </c>
      <c r="FW1">
        <v>0.6594572144958103</v>
      </c>
      <c r="FX1">
        <v>0.6594572144958103</v>
      </c>
      <c r="FY1">
        <v>0.66799694820870559</v>
      </c>
      <c r="FZ1">
        <v>0.66799694820870559</v>
      </c>
      <c r="GA1">
        <v>0.66799694820870559</v>
      </c>
      <c r="GB1">
        <v>0.66799694820870559</v>
      </c>
      <c r="GC1">
        <v>0.66799694820870559</v>
      </c>
      <c r="GD1">
        <v>0.66799694820870559</v>
      </c>
      <c r="GE1">
        <v>0.67196107968675323</v>
      </c>
      <c r="GF1">
        <v>0.67196107968675323</v>
      </c>
      <c r="GG1">
        <v>0.67196107968675323</v>
      </c>
      <c r="GH1">
        <v>0.68596022997581163</v>
      </c>
      <c r="GI1">
        <v>0.68596022997581163</v>
      </c>
      <c r="GJ1">
        <v>0.68596022997581163</v>
      </c>
      <c r="GK1">
        <v>0.70342102879553081</v>
      </c>
      <c r="GL1">
        <v>0.70342102879553081</v>
      </c>
      <c r="GM1">
        <v>0.70342102879553081</v>
      </c>
      <c r="GN1">
        <v>0.70342102879553092</v>
      </c>
      <c r="GO1">
        <v>0.70342102879553092</v>
      </c>
      <c r="GP1">
        <v>0.70342102879553092</v>
      </c>
      <c r="GQ1">
        <v>0.71003081711504956</v>
      </c>
      <c r="GR1">
        <v>0.71003081711504956</v>
      </c>
      <c r="GS1">
        <v>0.71003081711504956</v>
      </c>
      <c r="GT1">
        <v>0.71120367311947352</v>
      </c>
      <c r="GU1">
        <v>0.71120367311947352</v>
      </c>
      <c r="GV1">
        <v>0.71120367311947352</v>
      </c>
      <c r="GW1">
        <v>0.74083704096550607</v>
      </c>
      <c r="GX1">
        <v>0.74083704096550607</v>
      </c>
      <c r="GY1">
        <v>0.74083704096550607</v>
      </c>
      <c r="GZ1">
        <v>0.74221883134300648</v>
      </c>
      <c r="HA1">
        <v>0.74221883134300648</v>
      </c>
      <c r="HB1">
        <v>0.74221883134300648</v>
      </c>
      <c r="HC1">
        <v>0.74768396650751423</v>
      </c>
      <c r="HD1">
        <v>0.74768396650751423</v>
      </c>
      <c r="HE1">
        <v>0.74768396650751423</v>
      </c>
      <c r="HF1">
        <v>0.75149664188445797</v>
      </c>
      <c r="HG1">
        <v>0.75149664188445797</v>
      </c>
      <c r="HH1">
        <v>0.75149664188445797</v>
      </c>
      <c r="HI1">
        <v>0.7533195083054719</v>
      </c>
      <c r="HJ1">
        <v>0.7533195083054719</v>
      </c>
      <c r="HK1">
        <v>0.7533195083054719</v>
      </c>
      <c r="HL1">
        <v>0.78157892088392333</v>
      </c>
      <c r="HM1">
        <v>0.78157892088392333</v>
      </c>
      <c r="HN1">
        <v>0.78157892088392333</v>
      </c>
      <c r="HO1">
        <v>0.79022617702987297</v>
      </c>
      <c r="HP1">
        <v>0.79022617702987297</v>
      </c>
      <c r="HQ1">
        <v>0.79022617702987297</v>
      </c>
      <c r="HR1">
        <v>0.79022617702987308</v>
      </c>
      <c r="HS1">
        <v>0.79022617702987308</v>
      </c>
      <c r="HT1">
        <v>0.79022617702987308</v>
      </c>
      <c r="HU1">
        <v>0.79134873652984594</v>
      </c>
      <c r="HV1">
        <v>0.79134873652984594</v>
      </c>
      <c r="HW1">
        <v>0.79134873652984594</v>
      </c>
      <c r="HX1">
        <v>0.80635314510484002</v>
      </c>
      <c r="HY1">
        <v>0.80635314510484002</v>
      </c>
      <c r="HZ1">
        <v>0.80635314510484002</v>
      </c>
      <c r="IA1">
        <v>0.82315226773945127</v>
      </c>
      <c r="IB1">
        <v>0.82315226773945127</v>
      </c>
      <c r="IC1">
        <v>0.82315226773945127</v>
      </c>
      <c r="ID1">
        <v>0.83499618526088215</v>
      </c>
      <c r="IE1">
        <v>0.83499618526088215</v>
      </c>
      <c r="IF1">
        <v>0.83499618526088215</v>
      </c>
      <c r="IG1">
        <v>0.83499618526088215</v>
      </c>
      <c r="IH1">
        <v>0.83499618526088215</v>
      </c>
      <c r="II1">
        <v>0.83499618526088215</v>
      </c>
      <c r="IJ1">
        <v>0.83995134960844164</v>
      </c>
      <c r="IK1">
        <v>0.83995134960844164</v>
      </c>
      <c r="IL1">
        <v>0.83995134960844164</v>
      </c>
      <c r="IM1">
        <v>0.85203682149117543</v>
      </c>
      <c r="IN1">
        <v>0.85203682149117543</v>
      </c>
      <c r="IO1">
        <v>0.85203682149117543</v>
      </c>
      <c r="IP1">
        <v>0.87802908558874804</v>
      </c>
      <c r="IQ1">
        <v>0.87802908558874804</v>
      </c>
      <c r="IR1">
        <v>0.87802908558874804</v>
      </c>
      <c r="IS1">
        <v>0.87927628599441376</v>
      </c>
      <c r="IT1">
        <v>0.87927628599441376</v>
      </c>
      <c r="IU1">
        <v>0.87927628599441376</v>
      </c>
      <c r="IV1">
        <v>0.87927628599441376</v>
      </c>
      <c r="IW1">
        <v>0.87927628599441376</v>
      </c>
      <c r="IX1">
        <v>0.87927628599441376</v>
      </c>
      <c r="IY1">
        <v>0.88900453805906099</v>
      </c>
      <c r="IZ1">
        <v>0.88900453805906099</v>
      </c>
      <c r="JA1">
        <v>0.88900453805906099</v>
      </c>
      <c r="JB1">
        <v>0.89722059232782869</v>
      </c>
      <c r="JC1">
        <v>0.89722059232782869</v>
      </c>
      <c r="JD1">
        <v>0.89722059232782869</v>
      </c>
      <c r="JE1">
        <v>0.91461363082161251</v>
      </c>
      <c r="JF1">
        <v>0.91461363082161251</v>
      </c>
      <c r="JG1">
        <v>0.91461363082161251</v>
      </c>
      <c r="JH1">
        <v>0.98778272128734135</v>
      </c>
      <c r="JI1">
        <v>0.98778272128734135</v>
      </c>
      <c r="JJ1">
        <v>0.98778272128734135</v>
      </c>
      <c r="JK1">
        <v>0.98778272128734146</v>
      </c>
      <c r="JL1">
        <v>0.98778272128734146</v>
      </c>
      <c r="JM1">
        <v>0.98778272128734146</v>
      </c>
      <c r="JN1">
        <v>0.98778272128734157</v>
      </c>
      <c r="JO1">
        <v>0.98778272128734157</v>
      </c>
      <c r="JP1">
        <v>0.98778272128734157</v>
      </c>
      <c r="JQ1">
        <v>1.0019954223130583</v>
      </c>
      <c r="JR1">
        <v>1.0019954223130583</v>
      </c>
      <c r="JS1">
        <v>1.0019954223130583</v>
      </c>
      <c r="JT1">
        <v>1.0019954223130583</v>
      </c>
      <c r="JU1">
        <v>1.0019954223130583</v>
      </c>
      <c r="JV1">
        <v>1.0019954223130583</v>
      </c>
      <c r="JW1">
        <v>1.0032597404293342</v>
      </c>
      <c r="JX1">
        <v>1.0032597404293342</v>
      </c>
      <c r="JY1">
        <v>1.0032597404293342</v>
      </c>
      <c r="JZ1">
        <v>1.00794143138105</v>
      </c>
      <c r="KA1">
        <v>1.00794143138105</v>
      </c>
      <c r="KB1">
        <v>1.00794143138105</v>
      </c>
      <c r="KC1">
        <v>1.0079415019369466</v>
      </c>
      <c r="KD1">
        <v>1.0079415019369466</v>
      </c>
      <c r="KE1">
        <v>1.0079415019369466</v>
      </c>
      <c r="KF1">
        <v>1.0551315431932964</v>
      </c>
      <c r="KG1">
        <v>1.0551315431932964</v>
      </c>
      <c r="KH1">
        <v>1.0551315431932964</v>
      </c>
      <c r="KI1">
        <v>1.0551315431932964</v>
      </c>
      <c r="KJ1">
        <v>1.0551315431932964</v>
      </c>
      <c r="KK1">
        <v>1.0551315431932964</v>
      </c>
      <c r="KL1">
        <v>1.0650461014171875</v>
      </c>
      <c r="KM1">
        <v>1.0650461014171875</v>
      </c>
      <c r="KN1">
        <v>1.0650461014171875</v>
      </c>
      <c r="KO1">
        <v>1.0975363569859351</v>
      </c>
      <c r="KP1">
        <v>1.0975363569859351</v>
      </c>
      <c r="KQ1">
        <v>1.0975363569859351</v>
      </c>
      <c r="KR1">
        <v>1.097536374546517</v>
      </c>
      <c r="KS1">
        <v>1.097536374546517</v>
      </c>
      <c r="KT1">
        <v>1.097536374546517</v>
      </c>
      <c r="KU1">
        <v>1.1133282470145096</v>
      </c>
      <c r="KV1">
        <v>1.1133282470145096</v>
      </c>
      <c r="KW1">
        <v>1.1133282470145096</v>
      </c>
      <c r="KX1">
        <v>1.1215258189165838</v>
      </c>
      <c r="KY1">
        <v>1.1215258189165838</v>
      </c>
      <c r="KZ1">
        <v>1.1215258189165838</v>
      </c>
      <c r="LA1">
        <v>1.1723683813258852</v>
      </c>
      <c r="LB1">
        <v>1.1723683813258852</v>
      </c>
      <c r="LC1">
        <v>1.1723683813258852</v>
      </c>
      <c r="LD1">
        <v>1.1853392655448096</v>
      </c>
      <c r="LE1">
        <v>1.1853392655448096</v>
      </c>
      <c r="LF1">
        <v>1.1853392655448096</v>
      </c>
      <c r="LG1">
        <v>1.1853392655448096</v>
      </c>
      <c r="LH1">
        <v>1.1853392655448096</v>
      </c>
      <c r="LI1">
        <v>1.1853392655448096</v>
      </c>
      <c r="LJ1">
        <v>1.2023946991588219</v>
      </c>
      <c r="LK1">
        <v>1.2023946991588219</v>
      </c>
      <c r="LL1">
        <v>1.2023946991588219</v>
      </c>
      <c r="LM1">
        <v>1.2347284016091769</v>
      </c>
      <c r="LN1">
        <v>1.2347284016091769</v>
      </c>
      <c r="LO1">
        <v>1.2347284016091769</v>
      </c>
      <c r="LP1">
        <v>1.2524942778913233</v>
      </c>
      <c r="LQ1">
        <v>1.2524942778913233</v>
      </c>
      <c r="LR1">
        <v>1.2524942778913233</v>
      </c>
      <c r="LS1">
        <v>1.2599268774211834</v>
      </c>
      <c r="LT1">
        <v>1.2599268774211834</v>
      </c>
      <c r="LU1">
        <v>1.2599268774211834</v>
      </c>
      <c r="LV1">
        <v>1.2661580544172444</v>
      </c>
      <c r="LW1">
        <v>1.2661580544172444</v>
      </c>
      <c r="LX1">
        <v>1.2661580544172444</v>
      </c>
      <c r="LY1">
        <v>1.3170436283831222</v>
      </c>
      <c r="LZ1">
        <v>1.3170436283831222</v>
      </c>
      <c r="MA1">
        <v>1.3170436283831222</v>
      </c>
      <c r="MB1">
        <v>1.3189144289916206</v>
      </c>
      <c r="MC1">
        <v>1.3189144289916206</v>
      </c>
      <c r="MD1">
        <v>1.3189144289916206</v>
      </c>
      <c r="ME1">
        <v>1.3359938964174112</v>
      </c>
      <c r="MF1">
        <v>1.3359938964174112</v>
      </c>
      <c r="MG1">
        <v>1.3359938964174112</v>
      </c>
      <c r="MH1">
        <v>1.3439221593735065</v>
      </c>
      <c r="MI1">
        <v>1.3439221593735065</v>
      </c>
      <c r="MJ1">
        <v>1.3439221593735065</v>
      </c>
      <c r="MK1">
        <v>1.3719204599516233</v>
      </c>
      <c r="ML1">
        <v>1.3719204599516233</v>
      </c>
      <c r="MM1">
        <v>1.3719204599516233</v>
      </c>
      <c r="MN1">
        <v>1.4068420575910618</v>
      </c>
      <c r="MO1">
        <v>1.4068420575910618</v>
      </c>
      <c r="MP1">
        <v>1.4068420575910618</v>
      </c>
      <c r="MQ1">
        <v>1.4200616342300991</v>
      </c>
      <c r="MR1">
        <v>1.4200616342300991</v>
      </c>
      <c r="MS1">
        <v>1.4200616342300991</v>
      </c>
      <c r="MT1">
        <v>1.422407346238947</v>
      </c>
      <c r="MU1">
        <v>1.422407346238947</v>
      </c>
      <c r="MV1">
        <v>1.422407346238947</v>
      </c>
      <c r="MW1">
        <v>1.4816740819310121</v>
      </c>
      <c r="MX1">
        <v>1.4816740819310121</v>
      </c>
      <c r="MY1">
        <v>1.4816740819310121</v>
      </c>
      <c r="MZ1">
        <v>1.4953679330150285</v>
      </c>
      <c r="NA1">
        <v>1.4953679330150285</v>
      </c>
      <c r="NB1">
        <v>1.4953679330150285</v>
      </c>
    </row>
    <row r="2" spans="1:403" x14ac:dyDescent="0.25">
      <c r="A2">
        <v>3.134167472174247E-5</v>
      </c>
      <c r="B2">
        <v>3.134167472174247E-5</v>
      </c>
      <c r="C2">
        <v>3.134167472174247E-5</v>
      </c>
      <c r="D2">
        <v>2.0086682520279301E-5</v>
      </c>
      <c r="E2">
        <v>2.0086682520279301E-5</v>
      </c>
      <c r="F2">
        <v>2.0086682520279301E-5</v>
      </c>
      <c r="G2">
        <v>3.1166895777925976E-5</v>
      </c>
      <c r="H2">
        <v>3.1166895777925976E-5</v>
      </c>
      <c r="I2">
        <v>3.1166895777925976E-5</v>
      </c>
      <c r="J2">
        <v>2.759658729644801E-5</v>
      </c>
      <c r="K2">
        <v>2.759658729644801E-5</v>
      </c>
      <c r="L2">
        <v>2.759658729644801E-5</v>
      </c>
      <c r="M2">
        <v>2.7570941117306998E-5</v>
      </c>
      <c r="N2">
        <v>2.7570941117306998E-5</v>
      </c>
      <c r="O2">
        <v>2.7570941117306998E-5</v>
      </c>
      <c r="P2">
        <v>2.0894449814494981E-5</v>
      </c>
      <c r="Q2">
        <v>2.0894449814494981E-5</v>
      </c>
      <c r="R2">
        <v>2.0894449814494981E-5</v>
      </c>
      <c r="S2">
        <v>2.7596580673268256E-5</v>
      </c>
      <c r="T2">
        <v>2.7596580673268256E-5</v>
      </c>
      <c r="U2">
        <v>2.7596580673268256E-5</v>
      </c>
      <c r="V2">
        <v>1.1325043377327179E-5</v>
      </c>
      <c r="W2">
        <v>1.1325043377327179E-5</v>
      </c>
      <c r="X2">
        <v>1.1325043377327179E-5</v>
      </c>
      <c r="Y2">
        <v>3.1166895777925976E-5</v>
      </c>
      <c r="Z2">
        <v>3.1166895777925976E-5</v>
      </c>
      <c r="AA2">
        <v>3.1166895777925976E-5</v>
      </c>
      <c r="AB2">
        <v>1.99468105053192E-5</v>
      </c>
      <c r="AC2">
        <v>1.99468105053192E-5</v>
      </c>
      <c r="AD2">
        <v>1.99468105053192E-5</v>
      </c>
      <c r="AE2">
        <v>2.7570934500282325E-5</v>
      </c>
      <c r="AF2">
        <v>2.7570934500282325E-5</v>
      </c>
      <c r="AG2">
        <v>2.7570934500282325E-5</v>
      </c>
      <c r="AH2">
        <v>1.7661813397072894E-5</v>
      </c>
      <c r="AI2">
        <v>1.7661813397072894E-5</v>
      </c>
      <c r="AJ2">
        <v>1.7661813397072894E-5</v>
      </c>
      <c r="AK2">
        <v>3.1166887300531924E-5</v>
      </c>
      <c r="AL2">
        <v>3.1166887300531924E-5</v>
      </c>
      <c r="AM2">
        <v>3.1166887300531924E-5</v>
      </c>
      <c r="AN2">
        <v>1.764539984472054E-5</v>
      </c>
      <c r="AO2">
        <v>1.764539984472054E-5</v>
      </c>
      <c r="AP2">
        <v>1.764539984472054E-5</v>
      </c>
      <c r="AQ2">
        <v>1.3391121680186202E-5</v>
      </c>
      <c r="AR2">
        <v>1.3391121680186202E-5</v>
      </c>
      <c r="AS2">
        <v>1.3391121680186202E-5</v>
      </c>
      <c r="AT2">
        <v>3.1166888297872338E-5</v>
      </c>
      <c r="AU2">
        <v>3.1166888297872338E-5</v>
      </c>
      <c r="AV2">
        <v>3.1166888297872338E-5</v>
      </c>
      <c r="AW2">
        <v>1.9164286001641076E-5</v>
      </c>
      <c r="AX2">
        <v>1.9164286001641076E-5</v>
      </c>
      <c r="AY2">
        <v>1.9164286001641076E-5</v>
      </c>
      <c r="AZ2">
        <v>2.077793051861732E-5</v>
      </c>
      <c r="BA2">
        <v>2.077793051861732E-5</v>
      </c>
      <c r="BB2">
        <v>2.077793051861732E-5</v>
      </c>
      <c r="BC2">
        <v>1.7661811630891689E-5</v>
      </c>
      <c r="BD2">
        <v>1.7661811630891689E-5</v>
      </c>
      <c r="BE2">
        <v>1.7661811630891689E-5</v>
      </c>
      <c r="BF2">
        <v>1.99468105053192E-5</v>
      </c>
      <c r="BG2">
        <v>1.99468105053192E-5</v>
      </c>
      <c r="BH2">
        <v>1.99468105053192E-5</v>
      </c>
      <c r="BI2">
        <v>1.9146476164988884E-5</v>
      </c>
      <c r="BJ2">
        <v>1.9146476164988884E-5</v>
      </c>
      <c r="BK2">
        <v>1.9146476164988884E-5</v>
      </c>
      <c r="BL2">
        <v>1.8397724864298674E-5</v>
      </c>
      <c r="BM2">
        <v>1.8397724864298674E-5</v>
      </c>
      <c r="BN2">
        <v>1.8397724864298674E-5</v>
      </c>
      <c r="BO2">
        <v>1.7645398080180691E-5</v>
      </c>
      <c r="BP2">
        <v>1.7645398080180691E-5</v>
      </c>
      <c r="BQ2">
        <v>1.7645398080180691E-5</v>
      </c>
      <c r="BR2">
        <v>2.7596580673268256E-5</v>
      </c>
      <c r="BS2">
        <v>2.7596580673268256E-5</v>
      </c>
      <c r="BT2">
        <v>2.7596580673268256E-5</v>
      </c>
      <c r="BU2">
        <v>1.1220078291223454E-5</v>
      </c>
      <c r="BV2">
        <v>1.1220078291223454E-5</v>
      </c>
      <c r="BW2">
        <v>1.1220078291223454E-5</v>
      </c>
      <c r="BX2">
        <v>1.8380627411538E-5</v>
      </c>
      <c r="BY2">
        <v>1.8380627411538E-5</v>
      </c>
      <c r="BZ2">
        <v>1.8380627411538E-5</v>
      </c>
      <c r="CA2">
        <v>1.9946808111702133E-5</v>
      </c>
      <c r="CB2">
        <v>1.9946808111702133E-5</v>
      </c>
      <c r="CC2">
        <v>1.9946808111702133E-5</v>
      </c>
      <c r="CD2">
        <v>2.7570934500282325E-5</v>
      </c>
      <c r="CE2">
        <v>2.7570934500282325E-5</v>
      </c>
      <c r="CF2">
        <v>2.7570934500282325E-5</v>
      </c>
      <c r="CG2">
        <v>9.9347677177407437E-6</v>
      </c>
      <c r="CH2">
        <v>9.9347677177407437E-6</v>
      </c>
      <c r="CI2">
        <v>9.9347677177407437E-6</v>
      </c>
      <c r="CJ2">
        <v>2.164366550310339E-5</v>
      </c>
      <c r="CK2">
        <v>2.164366550310339E-5</v>
      </c>
      <c r="CL2">
        <v>2.164366550310339E-5</v>
      </c>
      <c r="CM2">
        <v>1.99468085106383E-5</v>
      </c>
      <c r="CN2">
        <v>1.99468085106383E-5</v>
      </c>
      <c r="CO2">
        <v>1.99468085106383E-5</v>
      </c>
      <c r="CP2">
        <v>9.9255350966968247E-6</v>
      </c>
      <c r="CQ2">
        <v>9.9255350966968247E-6</v>
      </c>
      <c r="CR2">
        <v>9.9255350966968247E-6</v>
      </c>
      <c r="CS2">
        <v>1.8397720448845503E-5</v>
      </c>
      <c r="CT2">
        <v>1.8397720448845503E-5</v>
      </c>
      <c r="CU2">
        <v>1.8397720448845503E-5</v>
      </c>
      <c r="CV2">
        <v>1.2265144512867734E-5</v>
      </c>
      <c r="CW2">
        <v>1.2265144512867734E-5</v>
      </c>
      <c r="CX2">
        <v>1.2265144512867734E-5</v>
      </c>
      <c r="CY2">
        <v>7.5500289182181192E-6</v>
      </c>
      <c r="CZ2">
        <v>7.5500289182181192E-6</v>
      </c>
      <c r="DA2">
        <v>7.5500289182181192E-6</v>
      </c>
      <c r="DB2">
        <v>2.077793051861732E-5</v>
      </c>
      <c r="DC2">
        <v>2.077793051861732E-5</v>
      </c>
      <c r="DD2">
        <v>2.077793051861732E-5</v>
      </c>
      <c r="DE2">
        <v>1.32978736702128E-5</v>
      </c>
      <c r="DF2">
        <v>1.32978736702128E-5</v>
      </c>
      <c r="DG2">
        <v>1.32978736702128E-5</v>
      </c>
      <c r="DH2">
        <v>3.1166888297872338E-5</v>
      </c>
      <c r="DI2">
        <v>3.1166888297872338E-5</v>
      </c>
      <c r="DJ2">
        <v>3.1166888297872338E-5</v>
      </c>
      <c r="DK2">
        <v>1.8380623000188215E-5</v>
      </c>
      <c r="DL2">
        <v>1.8380623000188215E-5</v>
      </c>
      <c r="DM2">
        <v>1.8380623000188215E-5</v>
      </c>
      <c r="DN2">
        <v>1.2253746216042535E-5</v>
      </c>
      <c r="DO2">
        <v>1.2253746216042535E-5</v>
      </c>
      <c r="DP2">
        <v>1.2253746216042535E-5</v>
      </c>
      <c r="DQ2">
        <v>1.1774542264715262E-5</v>
      </c>
      <c r="DR2">
        <v>1.1774542264715262E-5</v>
      </c>
      <c r="DS2">
        <v>1.1774542264715262E-5</v>
      </c>
      <c r="DT2">
        <v>2.077792486702128E-5</v>
      </c>
      <c r="DU2">
        <v>2.077792486702128E-5</v>
      </c>
      <c r="DV2">
        <v>2.077792486702128E-5</v>
      </c>
      <c r="DW2">
        <v>1.7661811630891689E-5</v>
      </c>
      <c r="DX2">
        <v>1.7661811630891689E-5</v>
      </c>
      <c r="DY2">
        <v>1.7661811630891689E-5</v>
      </c>
      <c r="DZ2">
        <v>9.9347690423765725E-6</v>
      </c>
      <c r="EA2">
        <v>9.9347690423765725E-6</v>
      </c>
      <c r="EB2">
        <v>9.9347690423765725E-6</v>
      </c>
      <c r="EC2">
        <v>1.1220078291223454E-5</v>
      </c>
      <c r="ED2">
        <v>1.1220078291223454E-5</v>
      </c>
      <c r="EE2">
        <v>1.1220078291223454E-5</v>
      </c>
      <c r="EF2">
        <v>1.1763599896480362E-5</v>
      </c>
      <c r="EG2">
        <v>1.1763599896480362E-5</v>
      </c>
      <c r="EH2">
        <v>1.1763599896480362E-5</v>
      </c>
      <c r="EI2">
        <v>1.7645398080180691E-5</v>
      </c>
      <c r="EJ2">
        <v>9.9255364201016368E-6</v>
      </c>
      <c r="EK2">
        <v>1.7645398080180691E-5</v>
      </c>
      <c r="EL2">
        <v>1.7645398080180691E-5</v>
      </c>
      <c r="EM2">
        <v>9.9255364201016368E-6</v>
      </c>
      <c r="EN2">
        <v>9.9255364201016368E-6</v>
      </c>
      <c r="EO2">
        <v>2.0777925531914893E-5</v>
      </c>
      <c r="EP2">
        <v>2.0777925531914893E-5</v>
      </c>
      <c r="EQ2">
        <v>2.0777925531914893E-5</v>
      </c>
      <c r="ER2">
        <v>1.3851947584219997E-5</v>
      </c>
      <c r="ES2">
        <v>1.3851947584219997E-5</v>
      </c>
      <c r="ET2">
        <v>1.3851947584219997E-5</v>
      </c>
      <c r="EU2">
        <v>1.2776190667760717E-5</v>
      </c>
      <c r="EV2">
        <v>1.2776190667760717E-5</v>
      </c>
      <c r="EW2">
        <v>1.2776190667760717E-5</v>
      </c>
      <c r="EX2">
        <v>1.0447224907247491E-5</v>
      </c>
      <c r="EY2">
        <v>1.0447224907247491E-5</v>
      </c>
      <c r="EZ2">
        <v>1.0447224907247491E-5</v>
      </c>
      <c r="FA2">
        <v>1.1220079787234043E-5</v>
      </c>
      <c r="FB2">
        <v>1.1220079787234043E-5</v>
      </c>
      <c r="FC2">
        <v>1.1220079787234043E-5</v>
      </c>
      <c r="FD2">
        <v>1.1774541087261125E-5</v>
      </c>
      <c r="FE2">
        <v>1.1774541087261125E-5</v>
      </c>
      <c r="FF2">
        <v>1.1774541087261125E-5</v>
      </c>
      <c r="FG2">
        <v>1.32978736702128E-5</v>
      </c>
      <c r="FH2">
        <v>1.32978736702128E-5</v>
      </c>
      <c r="FI2">
        <v>1.32978736702128E-5</v>
      </c>
      <c r="FJ2">
        <v>1.2764317443325922E-5</v>
      </c>
      <c r="FK2">
        <v>1.2764317443325922E-5</v>
      </c>
      <c r="FL2">
        <v>1.2764317443325922E-5</v>
      </c>
      <c r="FM2">
        <v>3.1166888297872338E-5</v>
      </c>
      <c r="FN2">
        <v>3.1166888297872338E-5</v>
      </c>
      <c r="FO2">
        <v>3.1166888297872338E-5</v>
      </c>
      <c r="FP2">
        <v>1.99468085106383E-5</v>
      </c>
      <c r="FQ2">
        <v>1.99468085106383E-5</v>
      </c>
      <c r="FR2">
        <v>1.99468085106383E-5</v>
      </c>
      <c r="FS2">
        <v>1.1220079787234043E-5</v>
      </c>
      <c r="FT2">
        <v>1.1220079787234043E-5</v>
      </c>
      <c r="FU2">
        <v>1.1220079787234043E-5</v>
      </c>
      <c r="FV2">
        <v>1.1763598720120461E-5</v>
      </c>
      <c r="FW2">
        <v>1.1763598720120461E-5</v>
      </c>
      <c r="FX2">
        <v>1.1763598720120461E-5</v>
      </c>
      <c r="FY2">
        <v>6.899145168317064E-6</v>
      </c>
      <c r="FZ2">
        <v>1.8397720448845503E-5</v>
      </c>
      <c r="GA2">
        <v>1.8397720448845503E-5</v>
      </c>
      <c r="GB2">
        <v>1.8397720448845503E-5</v>
      </c>
      <c r="GC2">
        <v>6.899145168317064E-6</v>
      </c>
      <c r="GD2">
        <v>6.899145168317064E-6</v>
      </c>
      <c r="GE2">
        <v>7.48005219414897E-6</v>
      </c>
      <c r="GF2">
        <v>7.48005219414897E-6</v>
      </c>
      <c r="GG2">
        <v>7.48005219414897E-6</v>
      </c>
      <c r="GH2">
        <v>1.3297872074468089E-5</v>
      </c>
      <c r="GI2">
        <v>1.3297872074468089E-5</v>
      </c>
      <c r="GJ2">
        <v>1.3297872074468089E-5</v>
      </c>
      <c r="GK2">
        <v>6.8927336250705811E-6</v>
      </c>
      <c r="GL2">
        <v>6.8927336250705811E-6</v>
      </c>
      <c r="GM2">
        <v>6.8927336250705811E-6</v>
      </c>
      <c r="GN2">
        <v>1.8380623000188215E-5</v>
      </c>
      <c r="GO2">
        <v>1.8380623000188215E-5</v>
      </c>
      <c r="GP2">
        <v>1.8380623000188215E-5</v>
      </c>
      <c r="GQ2">
        <v>6.62317847849383E-6</v>
      </c>
      <c r="GR2">
        <v>6.62317847849383E-6</v>
      </c>
      <c r="GS2">
        <v>6.62317847849383E-6</v>
      </c>
      <c r="GT2">
        <v>1.4429110335402261E-5</v>
      </c>
      <c r="GU2">
        <v>1.4429110335402261E-5</v>
      </c>
      <c r="GV2">
        <v>1.4429110335402261E-5</v>
      </c>
      <c r="GW2">
        <v>1.3297872340425535E-5</v>
      </c>
      <c r="GX2">
        <v>1.3297872340425535E-5</v>
      </c>
      <c r="GY2">
        <v>1.3297872340425535E-5</v>
      </c>
      <c r="GZ2">
        <v>9.9347690423765725E-6</v>
      </c>
      <c r="HA2">
        <v>9.9347690423765725E-6</v>
      </c>
      <c r="HB2">
        <v>9.9347690423765725E-6</v>
      </c>
      <c r="HC2">
        <v>6.6170233977978834E-6</v>
      </c>
      <c r="HD2">
        <v>6.6170233977978834E-6</v>
      </c>
      <c r="HE2">
        <v>6.6170233977978834E-6</v>
      </c>
      <c r="HF2">
        <v>8.1767630085784886E-6</v>
      </c>
      <c r="HG2">
        <v>8.1767630085784886E-6</v>
      </c>
      <c r="HH2">
        <v>8.1767630085784886E-6</v>
      </c>
      <c r="HI2">
        <v>6.6955608400931009E-6</v>
      </c>
      <c r="HJ2">
        <v>6.6955608400931009E-6</v>
      </c>
      <c r="HK2">
        <v>6.6955608400931009E-6</v>
      </c>
      <c r="HL2">
        <v>9.9255364201016368E-6</v>
      </c>
      <c r="HM2">
        <v>9.9255364201016368E-6</v>
      </c>
      <c r="HN2">
        <v>9.9255364201016368E-6</v>
      </c>
      <c r="HO2">
        <v>7.7917220744680845E-6</v>
      </c>
      <c r="HP2">
        <v>7.7917220744680845E-6</v>
      </c>
      <c r="HQ2">
        <v>7.7917220744680845E-6</v>
      </c>
      <c r="HR2">
        <v>2.0777925531914893E-5</v>
      </c>
      <c r="HS2">
        <v>2.0777925531914893E-5</v>
      </c>
      <c r="HT2">
        <v>2.0777925531914893E-5</v>
      </c>
      <c r="HU2">
        <v>8.1691641440283553E-6</v>
      </c>
      <c r="HV2">
        <v>8.1691641440283553E-6</v>
      </c>
      <c r="HW2">
        <v>8.1691641440283553E-6</v>
      </c>
      <c r="HX2">
        <v>1.038896525930866E-5</v>
      </c>
      <c r="HY2">
        <v>1.038896525930866E-5</v>
      </c>
      <c r="HZ2">
        <v>1.038896525930866E-5</v>
      </c>
      <c r="IA2">
        <v>1.99468085106383E-5</v>
      </c>
      <c r="IB2">
        <v>1.99468085106383E-5</v>
      </c>
      <c r="IC2">
        <v>1.99468085106383E-5</v>
      </c>
      <c r="ID2">
        <v>1.1774541087261125E-5</v>
      </c>
      <c r="IE2">
        <v>6.6231793615843811E-6</v>
      </c>
      <c r="IF2">
        <v>1.1774541087261125E-5</v>
      </c>
      <c r="IG2">
        <v>1.1774541087261125E-5</v>
      </c>
      <c r="IH2">
        <v>6.6231793615843811E-6</v>
      </c>
      <c r="II2">
        <v>6.6231793615843811E-6</v>
      </c>
      <c r="IJ2">
        <v>7.48005219414897E-6</v>
      </c>
      <c r="IK2">
        <v>7.48005219414897E-6</v>
      </c>
      <c r="IL2">
        <v>7.48005219414897E-6</v>
      </c>
      <c r="IM2">
        <v>9.1988624321493372E-6</v>
      </c>
      <c r="IN2">
        <v>9.1988624321493372E-6</v>
      </c>
      <c r="IO2">
        <v>9.1988624321493372E-6</v>
      </c>
      <c r="IP2">
        <v>1.1220079787234043E-5</v>
      </c>
      <c r="IQ2">
        <v>1.1220079787234043E-5</v>
      </c>
      <c r="IR2">
        <v>1.1220079787234043E-5</v>
      </c>
      <c r="IS2">
        <v>1.1763598720120461E-5</v>
      </c>
      <c r="IT2">
        <v>6.6170242800677579E-6</v>
      </c>
      <c r="IU2">
        <v>1.1763598720120461E-5</v>
      </c>
      <c r="IV2">
        <v>1.1763598720120461E-5</v>
      </c>
      <c r="IW2">
        <v>6.6170242800677579E-6</v>
      </c>
      <c r="IX2">
        <v>6.6170242800677579E-6</v>
      </c>
      <c r="IY2">
        <v>9.2346317228133305E-6</v>
      </c>
      <c r="IZ2">
        <v>9.2346317228133305E-6</v>
      </c>
      <c r="JA2">
        <v>9.2346317228133305E-6</v>
      </c>
      <c r="JB2">
        <v>9.190313705769E-6</v>
      </c>
      <c r="JC2">
        <v>9.190313705769E-6</v>
      </c>
      <c r="JD2">
        <v>9.190313705769E-6</v>
      </c>
      <c r="JE2">
        <v>7.4800531914893613E-6</v>
      </c>
      <c r="JF2">
        <v>7.4800531914893613E-6</v>
      </c>
      <c r="JG2">
        <v>7.4800531914893613E-6</v>
      </c>
      <c r="JH2">
        <v>2.0777925531914893E-5</v>
      </c>
      <c r="JI2">
        <v>2.0777925531914893E-5</v>
      </c>
      <c r="JJ2">
        <v>2.0777925531914893E-5</v>
      </c>
      <c r="JK2">
        <v>1.3297872340425535E-5</v>
      </c>
      <c r="JL2">
        <v>1.3297872340425535E-5</v>
      </c>
      <c r="JM2">
        <v>1.3297872340425535E-5</v>
      </c>
      <c r="JN2">
        <v>7.4800531914893613E-6</v>
      </c>
      <c r="JO2">
        <v>7.4800531914893613E-6</v>
      </c>
      <c r="JP2">
        <v>7.4800531914893613E-6</v>
      </c>
      <c r="JQ2">
        <v>4.5994301122113757E-6</v>
      </c>
      <c r="JR2">
        <v>9.1988602244227514E-6</v>
      </c>
      <c r="JS2">
        <v>4.5994301122113757E-6</v>
      </c>
      <c r="JT2">
        <v>9.1988602244227514E-6</v>
      </c>
      <c r="JU2">
        <v>9.1988602244227514E-6</v>
      </c>
      <c r="JV2">
        <v>4.5994301122113757E-6</v>
      </c>
      <c r="JW2">
        <v>3.7750144591090596E-6</v>
      </c>
      <c r="JX2">
        <v>3.7750144591090596E-6</v>
      </c>
      <c r="JY2">
        <v>3.7750144591090596E-6</v>
      </c>
      <c r="JZ2">
        <v>1.038896525930866E-5</v>
      </c>
      <c r="KA2">
        <v>1.038896525930866E-5</v>
      </c>
      <c r="KB2">
        <v>1.038896525930866E-5</v>
      </c>
      <c r="KC2">
        <v>6.6489368351063999E-6</v>
      </c>
      <c r="KD2">
        <v>6.6489368351063999E-6</v>
      </c>
      <c r="KE2">
        <v>6.6489368351063999E-6</v>
      </c>
      <c r="KF2">
        <v>4.5951557500470538E-6</v>
      </c>
      <c r="KG2">
        <v>9.1903115000941076E-6</v>
      </c>
      <c r="KH2">
        <v>9.1903115000941076E-6</v>
      </c>
      <c r="KI2">
        <v>9.1903115000941076E-6</v>
      </c>
      <c r="KJ2">
        <v>4.5951557500470538E-6</v>
      </c>
      <c r="KK2">
        <v>4.5951557500470538E-6</v>
      </c>
      <c r="KL2">
        <v>5.8872711323576311E-6</v>
      </c>
      <c r="KM2">
        <v>5.8872711323576311E-6</v>
      </c>
      <c r="KN2">
        <v>5.8872711323576311E-6</v>
      </c>
      <c r="KO2">
        <v>1.1220079787234043E-5</v>
      </c>
      <c r="KP2">
        <v>1.1220079787234043E-5</v>
      </c>
      <c r="KQ2">
        <v>1.1220079787234043E-5</v>
      </c>
      <c r="KR2">
        <v>1.038896243351064E-5</v>
      </c>
      <c r="KS2">
        <v>1.038896243351064E-5</v>
      </c>
      <c r="KT2">
        <v>1.038896243351064E-5</v>
      </c>
      <c r="KU2">
        <v>6.6231793615843811E-6</v>
      </c>
      <c r="KV2">
        <v>6.6231793615843811E-6</v>
      </c>
      <c r="KW2">
        <v>6.6231793615843811E-6</v>
      </c>
      <c r="KX2">
        <v>5.8817999482401808E-6</v>
      </c>
      <c r="KY2">
        <v>5.8817999482401808E-6</v>
      </c>
      <c r="KZ2">
        <v>5.8817999482401808E-6</v>
      </c>
      <c r="LA2">
        <v>6.6170242800677579E-6</v>
      </c>
      <c r="LB2">
        <v>6.6170242800677579E-6</v>
      </c>
      <c r="LC2">
        <v>6.6170242800677579E-6</v>
      </c>
      <c r="LD2">
        <v>5.1944813829787233E-6</v>
      </c>
      <c r="LE2">
        <v>1.0388962765957447E-5</v>
      </c>
      <c r="LF2">
        <v>1.0388962765957447E-5</v>
      </c>
      <c r="LG2">
        <v>1.0388962765957447E-5</v>
      </c>
      <c r="LH2">
        <v>5.1944813829787233E-6</v>
      </c>
      <c r="LI2">
        <v>5.1944813829787233E-6</v>
      </c>
      <c r="LJ2">
        <v>6.3880953338803584E-6</v>
      </c>
      <c r="LK2">
        <v>6.3880953338803584E-6</v>
      </c>
      <c r="LL2">
        <v>6.3880953338803584E-6</v>
      </c>
      <c r="LM2">
        <v>1.3297872340425535E-5</v>
      </c>
      <c r="LN2">
        <v>1.3297872340425535E-5</v>
      </c>
      <c r="LO2">
        <v>1.3297872340425535E-5</v>
      </c>
      <c r="LP2">
        <v>5.8872705436305626E-6</v>
      </c>
      <c r="LQ2">
        <v>5.8872705436305626E-6</v>
      </c>
      <c r="LR2">
        <v>5.8872705436305626E-6</v>
      </c>
      <c r="LS2">
        <v>6.6489368351063999E-6</v>
      </c>
      <c r="LT2">
        <v>6.6489368351063999E-6</v>
      </c>
      <c r="LU2">
        <v>6.6489368351063999E-6</v>
      </c>
      <c r="LV2">
        <v>6.382158721662961E-6</v>
      </c>
      <c r="LW2">
        <v>6.382158721662961E-6</v>
      </c>
      <c r="LX2">
        <v>6.382158721662961E-6</v>
      </c>
      <c r="LY2">
        <v>7.4800531914893613E-6</v>
      </c>
      <c r="LZ2">
        <v>7.4800531914893613E-6</v>
      </c>
      <c r="MA2">
        <v>7.4800531914893613E-6</v>
      </c>
      <c r="MB2">
        <v>5.8817993600602304E-6</v>
      </c>
      <c r="MC2">
        <v>5.8817993600602304E-6</v>
      </c>
      <c r="MD2">
        <v>5.8817993600602304E-6</v>
      </c>
      <c r="ME2">
        <v>9.1988602244227514E-6</v>
      </c>
      <c r="MF2">
        <v>9.1988602244227514E-6</v>
      </c>
      <c r="MG2">
        <v>9.1988602244227514E-6</v>
      </c>
      <c r="MH2">
        <v>3.740026097074485E-6</v>
      </c>
      <c r="MI2">
        <v>3.740026097074485E-6</v>
      </c>
      <c r="MJ2">
        <v>3.740026097074485E-6</v>
      </c>
      <c r="MK2">
        <v>6.6489360372340447E-6</v>
      </c>
      <c r="ML2">
        <v>6.6489360372340447E-6</v>
      </c>
      <c r="MM2">
        <v>6.6489360372340447E-6</v>
      </c>
      <c r="MN2">
        <v>9.1903115000941076E-6</v>
      </c>
      <c r="MO2">
        <v>9.1903115000941076E-6</v>
      </c>
      <c r="MP2">
        <v>9.1903115000941076E-6</v>
      </c>
      <c r="MQ2">
        <v>3.311589239246915E-6</v>
      </c>
      <c r="MR2">
        <v>3.311589239246915E-6</v>
      </c>
      <c r="MS2">
        <v>3.311589239246915E-6</v>
      </c>
      <c r="MT2">
        <v>7.2145551677011307E-6</v>
      </c>
      <c r="MU2">
        <v>7.2145551677011307E-6</v>
      </c>
      <c r="MV2">
        <v>7.2145551677011307E-6</v>
      </c>
      <c r="MW2">
        <v>6.6489361702127676E-6</v>
      </c>
      <c r="MX2">
        <v>6.6489361702127676E-6</v>
      </c>
      <c r="MY2">
        <v>6.6489361702127676E-6</v>
      </c>
      <c r="MZ2">
        <v>3.3085116988989417E-6</v>
      </c>
      <c r="NA2">
        <v>3.3085116988989417E-6</v>
      </c>
      <c r="NB2">
        <v>3.3085116988989417E-6</v>
      </c>
    </row>
    <row r="3" spans="1:403" x14ac:dyDescent="0.25">
      <c r="A3">
        <v>2.4434840425531916E-6</v>
      </c>
      <c r="B3">
        <v>2.4434840425531916E-6</v>
      </c>
      <c r="C3">
        <v>2.4434840425531916E-6</v>
      </c>
      <c r="D3">
        <v>2.4434840425531916E-6</v>
      </c>
      <c r="E3">
        <v>2.4434840425531916E-6</v>
      </c>
      <c r="F3">
        <v>2.4434840425531916E-6</v>
      </c>
      <c r="G3">
        <v>2.4434840425531916E-6</v>
      </c>
      <c r="H3">
        <v>2.4434840425531916E-6</v>
      </c>
      <c r="I3">
        <v>2.4434840425531916E-6</v>
      </c>
      <c r="J3">
        <v>2.1635719247842315E-6</v>
      </c>
      <c r="K3">
        <v>2.1635719247842315E-6</v>
      </c>
      <c r="L3">
        <v>2.1635719247842315E-6</v>
      </c>
      <c r="M3">
        <v>2.1615612648221343E-6</v>
      </c>
      <c r="N3">
        <v>2.1615612648221343E-6</v>
      </c>
      <c r="O3">
        <v>2.1615612648221343E-6</v>
      </c>
      <c r="P3">
        <v>1.6289893617021279E-6</v>
      </c>
      <c r="Q3">
        <v>1.6289893617021279E-6</v>
      </c>
      <c r="R3">
        <v>1.6289893617021279E-6</v>
      </c>
      <c r="S3">
        <v>1.1038632269307305E-6</v>
      </c>
      <c r="T3">
        <v>1.1038632269307305E-6</v>
      </c>
      <c r="U3">
        <v>1.1038632269307305E-6</v>
      </c>
      <c r="V3">
        <v>2.4434840425531916E-6</v>
      </c>
      <c r="W3">
        <v>2.4434840425531916E-6</v>
      </c>
      <c r="X3">
        <v>2.4434840425531916E-6</v>
      </c>
      <c r="Y3">
        <v>2.4434840425531916E-6</v>
      </c>
      <c r="Z3">
        <v>2.4434840425531916E-6</v>
      </c>
      <c r="AA3">
        <v>2.4434840425531916E-6</v>
      </c>
      <c r="AB3">
        <v>2.4434840425531916E-6</v>
      </c>
      <c r="AC3">
        <v>2.4434840425531916E-6</v>
      </c>
      <c r="AD3">
        <v>2.4434840425531916E-6</v>
      </c>
      <c r="AE3">
        <v>1.1028373800112932E-6</v>
      </c>
      <c r="AF3">
        <v>1.1028373800112932E-6</v>
      </c>
      <c r="AG3">
        <v>1.1028373800112932E-6</v>
      </c>
      <c r="AH3">
        <v>2.1635719247842315E-6</v>
      </c>
      <c r="AI3">
        <v>2.1635719247842315E-6</v>
      </c>
      <c r="AJ3">
        <v>2.1635719247842315E-6</v>
      </c>
      <c r="AK3">
        <v>1.7952127659574469E-6</v>
      </c>
      <c r="AL3">
        <v>1.7952127659574469E-6</v>
      </c>
      <c r="AM3">
        <v>1.7952127659574469E-6</v>
      </c>
      <c r="AN3">
        <v>2.1615612648221343E-6</v>
      </c>
      <c r="AO3">
        <v>2.1615612648221343E-6</v>
      </c>
      <c r="AP3">
        <v>2.1615612648221343E-6</v>
      </c>
      <c r="AQ3">
        <v>1.6289893617021279E-6</v>
      </c>
      <c r="AR3">
        <v>1.6289893617021279E-6</v>
      </c>
      <c r="AS3">
        <v>1.6289893617021279E-6</v>
      </c>
      <c r="AT3">
        <v>1.2466755319148938E-6</v>
      </c>
      <c r="AU3">
        <v>1.2466755319148938E-6</v>
      </c>
      <c r="AV3">
        <v>1.2466755319148938E-6</v>
      </c>
      <c r="AW3">
        <v>1.1038632269307305E-6</v>
      </c>
      <c r="AX3">
        <v>1.1038632269307305E-6</v>
      </c>
      <c r="AY3">
        <v>1.1038632269307305E-6</v>
      </c>
      <c r="AZ3">
        <v>1.6289893617021279E-6</v>
      </c>
      <c r="BA3">
        <v>1.6289893617021279E-6</v>
      </c>
      <c r="BB3">
        <v>1.6289893617021279E-6</v>
      </c>
      <c r="BC3">
        <v>1.1038632269307305E-6</v>
      </c>
      <c r="BD3">
        <v>1.1038632269307305E-6</v>
      </c>
      <c r="BE3">
        <v>1.1038632269307305E-6</v>
      </c>
      <c r="BF3">
        <v>2.4434840425531916E-6</v>
      </c>
      <c r="BG3">
        <v>2.4434840425531916E-6</v>
      </c>
      <c r="BH3">
        <v>2.4434840425531916E-6</v>
      </c>
      <c r="BI3">
        <v>1.1028373800112932E-6</v>
      </c>
      <c r="BJ3">
        <v>1.1028373800112932E-6</v>
      </c>
      <c r="BK3">
        <v>1.1028373800112932E-6</v>
      </c>
      <c r="BL3">
        <v>1.4423812831894878E-6</v>
      </c>
      <c r="BM3">
        <v>1.4423812831894878E-6</v>
      </c>
      <c r="BN3">
        <v>1.4423812831894878E-6</v>
      </c>
      <c r="BO3">
        <v>1.1028373800112932E-6</v>
      </c>
      <c r="BP3">
        <v>1.1028373800112932E-6</v>
      </c>
      <c r="BQ3">
        <v>1.1028373800112932E-6</v>
      </c>
      <c r="BR3">
        <v>1.1038632269307305E-6</v>
      </c>
      <c r="BS3">
        <v>1.1038632269307305E-6</v>
      </c>
      <c r="BT3">
        <v>1.1038632269307305E-6</v>
      </c>
      <c r="BU3">
        <v>2.4434840425531916E-6</v>
      </c>
      <c r="BV3">
        <v>2.4434840425531916E-6</v>
      </c>
      <c r="BW3">
        <v>2.4434840425531916E-6</v>
      </c>
      <c r="BX3">
        <v>1.4410408432147564E-6</v>
      </c>
      <c r="BY3">
        <v>1.4410408432147564E-6</v>
      </c>
      <c r="BZ3">
        <v>1.4410408432147564E-6</v>
      </c>
      <c r="CA3">
        <v>1.7952127659574469E-6</v>
      </c>
      <c r="CB3">
        <v>1.7952127659574469E-6</v>
      </c>
      <c r="CC3">
        <v>1.7952127659574469E-6</v>
      </c>
      <c r="CD3">
        <v>1.1028373800112932E-6</v>
      </c>
      <c r="CE3">
        <v>1.1028373800112932E-6</v>
      </c>
      <c r="CF3">
        <v>1.1028373800112932E-6</v>
      </c>
      <c r="CG3">
        <v>2.1635719247842315E-6</v>
      </c>
      <c r="CH3">
        <v>2.1635719247842315E-6</v>
      </c>
      <c r="CI3">
        <v>2.1635719247842315E-6</v>
      </c>
      <c r="CJ3">
        <v>1.2466755319148938E-6</v>
      </c>
      <c r="CK3">
        <v>1.2466755319148938E-6</v>
      </c>
      <c r="CL3">
        <v>1.2466755319148938E-6</v>
      </c>
      <c r="CM3">
        <v>1.2466755319148938E-6</v>
      </c>
      <c r="CN3">
        <v>1.2466755319148938E-6</v>
      </c>
      <c r="CO3">
        <v>1.2466755319148938E-6</v>
      </c>
      <c r="CP3">
        <v>2.1615612648221343E-6</v>
      </c>
      <c r="CQ3">
        <v>2.1615612648221343E-6</v>
      </c>
      <c r="CR3">
        <v>2.1615612648221343E-6</v>
      </c>
      <c r="CS3">
        <v>7.3590881795382032E-7</v>
      </c>
      <c r="CT3">
        <v>7.3590881795382032E-7</v>
      </c>
      <c r="CU3">
        <v>7.3590881795382032E-7</v>
      </c>
      <c r="CV3">
        <v>1.1038632269307305E-6</v>
      </c>
      <c r="CW3">
        <v>1.1038632269307305E-6</v>
      </c>
      <c r="CX3">
        <v>1.1038632269307305E-6</v>
      </c>
      <c r="CY3">
        <v>1.6289893617021279E-6</v>
      </c>
      <c r="CZ3">
        <v>1.6289893617021279E-6</v>
      </c>
      <c r="DA3">
        <v>1.6289893617021279E-6</v>
      </c>
      <c r="DB3">
        <v>1.6289893617021279E-6</v>
      </c>
      <c r="DC3">
        <v>1.6289893617021279E-6</v>
      </c>
      <c r="DD3">
        <v>1.6289893617021279E-6</v>
      </c>
      <c r="DE3">
        <v>1.6289893617021279E-6</v>
      </c>
      <c r="DF3">
        <v>1.6289893617021279E-6</v>
      </c>
      <c r="DG3">
        <v>1.6289893617021279E-6</v>
      </c>
      <c r="DH3">
        <v>1.2466755319148938E-6</v>
      </c>
      <c r="DI3">
        <v>1.2466755319148938E-6</v>
      </c>
      <c r="DJ3">
        <v>1.2466755319148938E-6</v>
      </c>
      <c r="DK3">
        <v>7.3522492000752879E-7</v>
      </c>
      <c r="DL3">
        <v>7.3522492000752879E-7</v>
      </c>
      <c r="DM3">
        <v>7.3522492000752879E-7</v>
      </c>
      <c r="DN3">
        <v>1.1028373800112932E-6</v>
      </c>
      <c r="DO3">
        <v>1.1028373800112932E-6</v>
      </c>
      <c r="DP3">
        <v>1.1028373800112932E-6</v>
      </c>
      <c r="DQ3">
        <v>1.4423812831894878E-6</v>
      </c>
      <c r="DR3">
        <v>1.4423812831894878E-6</v>
      </c>
      <c r="DS3">
        <v>1.4423812831894878E-6</v>
      </c>
      <c r="DT3">
        <v>1.1968085106382979E-6</v>
      </c>
      <c r="DU3">
        <v>1.1968085106382979E-6</v>
      </c>
      <c r="DV3">
        <v>1.1968085106382979E-6</v>
      </c>
      <c r="DW3">
        <v>1.1038632269307305E-6</v>
      </c>
      <c r="DX3">
        <v>1.1038632269307305E-6</v>
      </c>
      <c r="DY3">
        <v>1.1038632269307305E-6</v>
      </c>
      <c r="DZ3">
        <v>1.1038632269307305E-6</v>
      </c>
      <c r="EA3">
        <v>1.1038632269307305E-6</v>
      </c>
      <c r="EB3">
        <v>1.1038632269307305E-6</v>
      </c>
      <c r="EC3">
        <v>2.4434840425531916E-6</v>
      </c>
      <c r="ED3">
        <v>2.4434840425531916E-6</v>
      </c>
      <c r="EE3">
        <v>2.4434840425531916E-6</v>
      </c>
      <c r="EF3">
        <v>1.4410408432147564E-6</v>
      </c>
      <c r="EG3">
        <v>1.4410408432147564E-6</v>
      </c>
      <c r="EH3">
        <v>1.4410408432147564E-6</v>
      </c>
      <c r="EI3">
        <v>1.1028373800112932E-6</v>
      </c>
      <c r="EJ3">
        <v>1.1028373800112932E-6</v>
      </c>
      <c r="EK3">
        <v>1.1028373800112932E-6</v>
      </c>
      <c r="EL3">
        <v>1.1028373800112932E-6</v>
      </c>
      <c r="EM3">
        <v>1.1028373800112932E-6</v>
      </c>
      <c r="EN3">
        <v>1.1028373800112932E-6</v>
      </c>
      <c r="EO3">
        <v>8.3111702127659595E-7</v>
      </c>
      <c r="EP3">
        <v>8.3111702127659595E-7</v>
      </c>
      <c r="EQ3">
        <v>8.3111702127659595E-7</v>
      </c>
      <c r="ER3">
        <v>1.2466755319148938E-6</v>
      </c>
      <c r="ES3">
        <v>1.2466755319148938E-6</v>
      </c>
      <c r="ET3">
        <v>1.2466755319148938E-6</v>
      </c>
      <c r="EU3">
        <v>7.3590881795382032E-7</v>
      </c>
      <c r="EV3">
        <v>7.3590881795382032E-7</v>
      </c>
      <c r="EW3">
        <v>7.3590881795382032E-7</v>
      </c>
      <c r="EX3">
        <v>8.1449468085106394E-7</v>
      </c>
      <c r="EY3">
        <v>8.1449468085106394E-7</v>
      </c>
      <c r="EZ3">
        <v>8.1449468085106394E-7</v>
      </c>
      <c r="FA3">
        <v>1.7952127659574469E-6</v>
      </c>
      <c r="FB3">
        <v>1.7952127659574469E-6</v>
      </c>
      <c r="FC3">
        <v>1.7952127659574469E-6</v>
      </c>
      <c r="FD3">
        <v>7.3590881795382032E-7</v>
      </c>
      <c r="FE3">
        <v>7.3590881795382032E-7</v>
      </c>
      <c r="FF3">
        <v>7.3590881795382032E-7</v>
      </c>
      <c r="FG3">
        <v>1.6289893617021279E-6</v>
      </c>
      <c r="FH3">
        <v>1.6289893617021279E-6</v>
      </c>
      <c r="FI3">
        <v>1.6289893617021279E-6</v>
      </c>
      <c r="FJ3">
        <v>7.3522492000752879E-7</v>
      </c>
      <c r="FK3">
        <v>7.3522492000752879E-7</v>
      </c>
      <c r="FL3">
        <v>7.3522492000752879E-7</v>
      </c>
      <c r="FM3">
        <v>1.2466755319148938E-6</v>
      </c>
      <c r="FN3">
        <v>1.2466755319148938E-6</v>
      </c>
      <c r="FO3">
        <v>1.2466755319148938E-6</v>
      </c>
      <c r="FP3">
        <v>1.2466755319148938E-6</v>
      </c>
      <c r="FQ3">
        <v>1.2466755319148938E-6</v>
      </c>
      <c r="FR3">
        <v>1.2466755319148938E-6</v>
      </c>
      <c r="FS3">
        <v>1.2466755319148938E-6</v>
      </c>
      <c r="FT3">
        <v>1.2466755319148938E-6</v>
      </c>
      <c r="FU3">
        <v>1.2466755319148938E-6</v>
      </c>
      <c r="FV3">
        <v>7.3522492000752879E-7</v>
      </c>
      <c r="FW3">
        <v>7.3522492000752879E-7</v>
      </c>
      <c r="FX3">
        <v>7.3522492000752879E-7</v>
      </c>
      <c r="FY3">
        <v>1.1038632269307305E-6</v>
      </c>
      <c r="FZ3">
        <v>7.3590881795382032E-7</v>
      </c>
      <c r="GA3">
        <v>7.3590881795382032E-7</v>
      </c>
      <c r="GB3">
        <v>7.3590881795382032E-7</v>
      </c>
      <c r="GC3">
        <v>1.1038632269307305E-6</v>
      </c>
      <c r="GD3">
        <v>1.1038632269307305E-6</v>
      </c>
      <c r="GE3">
        <v>1.6289893617021279E-6</v>
      </c>
      <c r="GF3">
        <v>1.6289893617021279E-6</v>
      </c>
      <c r="GG3">
        <v>1.6289893617021279E-6</v>
      </c>
      <c r="GH3">
        <v>1.1968085106382979E-6</v>
      </c>
      <c r="GI3">
        <v>1.1968085106382979E-6</v>
      </c>
      <c r="GJ3">
        <v>1.1968085106382979E-6</v>
      </c>
      <c r="GK3">
        <v>1.1028373800112932E-6</v>
      </c>
      <c r="GL3">
        <v>1.1028373800112932E-6</v>
      </c>
      <c r="GM3">
        <v>1.1028373800112932E-6</v>
      </c>
      <c r="GN3">
        <v>7.3522492000752879E-7</v>
      </c>
      <c r="GO3">
        <v>7.3522492000752879E-7</v>
      </c>
      <c r="GP3">
        <v>7.3522492000752879E-7</v>
      </c>
      <c r="GQ3">
        <v>1.4423812831894878E-6</v>
      </c>
      <c r="GR3">
        <v>1.4423812831894878E-6</v>
      </c>
      <c r="GS3">
        <v>1.4423812831894878E-6</v>
      </c>
      <c r="GT3">
        <v>8.3111702127659595E-7</v>
      </c>
      <c r="GU3">
        <v>8.3111702127659595E-7</v>
      </c>
      <c r="GV3">
        <v>8.3111702127659595E-7</v>
      </c>
      <c r="GW3">
        <v>8.3111702127659595E-7</v>
      </c>
      <c r="GX3">
        <v>8.3111702127659595E-7</v>
      </c>
      <c r="GY3">
        <v>8.3111702127659595E-7</v>
      </c>
      <c r="GZ3">
        <v>1.1038632269307305E-6</v>
      </c>
      <c r="HA3">
        <v>1.1038632269307305E-6</v>
      </c>
      <c r="HB3">
        <v>1.1038632269307305E-6</v>
      </c>
      <c r="HC3">
        <v>1.4410408432147564E-6</v>
      </c>
      <c r="HD3">
        <v>1.4410408432147564E-6</v>
      </c>
      <c r="HE3">
        <v>1.4410408432147564E-6</v>
      </c>
      <c r="HF3">
        <v>7.3590881795382032E-7</v>
      </c>
      <c r="HG3">
        <v>7.3590881795382032E-7</v>
      </c>
      <c r="HH3">
        <v>7.3590881795382032E-7</v>
      </c>
      <c r="HI3">
        <v>8.1449468085106394E-7</v>
      </c>
      <c r="HJ3">
        <v>8.1449468085106394E-7</v>
      </c>
      <c r="HK3">
        <v>8.1449468085106394E-7</v>
      </c>
      <c r="HL3">
        <v>1.1028373800112932E-6</v>
      </c>
      <c r="HM3">
        <v>1.1028373800112932E-6</v>
      </c>
      <c r="HN3">
        <v>1.1028373800112932E-6</v>
      </c>
      <c r="HO3">
        <v>1.2466755319148938E-6</v>
      </c>
      <c r="HP3">
        <v>1.2466755319148938E-6</v>
      </c>
      <c r="HQ3">
        <v>1.2466755319148938E-6</v>
      </c>
      <c r="HR3">
        <v>8.3111702127659595E-7</v>
      </c>
      <c r="HS3">
        <v>8.3111702127659595E-7</v>
      </c>
      <c r="HT3">
        <v>8.3111702127659595E-7</v>
      </c>
      <c r="HU3">
        <v>7.3522492000752879E-7</v>
      </c>
      <c r="HV3">
        <v>7.3522492000752879E-7</v>
      </c>
      <c r="HW3">
        <v>7.3522492000752879E-7</v>
      </c>
      <c r="HX3">
        <v>8.1449468085106394E-7</v>
      </c>
      <c r="HY3">
        <v>8.1449468085106394E-7</v>
      </c>
      <c r="HZ3">
        <v>8.1449468085106394E-7</v>
      </c>
      <c r="IA3">
        <v>1.2466755319148938E-6</v>
      </c>
      <c r="IB3">
        <v>1.2466755319148938E-6</v>
      </c>
      <c r="IC3">
        <v>1.2466755319148938E-6</v>
      </c>
      <c r="ID3">
        <v>7.3590881795382032E-7</v>
      </c>
      <c r="IE3">
        <v>7.3590881795382032E-7</v>
      </c>
      <c r="IF3">
        <v>7.3590881795382032E-7</v>
      </c>
      <c r="IG3">
        <v>7.3590881795382032E-7</v>
      </c>
      <c r="IH3">
        <v>7.3590881795382032E-7</v>
      </c>
      <c r="II3">
        <v>7.3590881795382032E-7</v>
      </c>
      <c r="IJ3">
        <v>1.6289893617021279E-6</v>
      </c>
      <c r="IK3">
        <v>1.6289893617021279E-6</v>
      </c>
      <c r="IL3">
        <v>1.6289893617021279E-6</v>
      </c>
      <c r="IM3">
        <v>7.2119064159474388E-7</v>
      </c>
      <c r="IN3">
        <v>7.2119064159474388E-7</v>
      </c>
      <c r="IO3">
        <v>7.2119064159474388E-7</v>
      </c>
      <c r="IP3">
        <v>1.2466755319148938E-6</v>
      </c>
      <c r="IQ3">
        <v>1.2466755319148938E-6</v>
      </c>
      <c r="IR3">
        <v>1.2466755319148938E-6</v>
      </c>
      <c r="IS3">
        <v>7.3522492000752879E-7</v>
      </c>
      <c r="IT3">
        <v>7.3522492000752879E-7</v>
      </c>
      <c r="IU3">
        <v>7.3522492000752879E-7</v>
      </c>
      <c r="IV3">
        <v>7.3522492000752879E-7</v>
      </c>
      <c r="IW3">
        <v>7.3522492000752879E-7</v>
      </c>
      <c r="IX3">
        <v>7.3522492000752879E-7</v>
      </c>
      <c r="IY3">
        <v>8.3111702127659595E-7</v>
      </c>
      <c r="IZ3">
        <v>8.3111702127659595E-7</v>
      </c>
      <c r="JA3">
        <v>8.3111702127659595E-7</v>
      </c>
      <c r="JB3">
        <v>7.205204216073782E-7</v>
      </c>
      <c r="JC3">
        <v>7.205204216073782E-7</v>
      </c>
      <c r="JD3">
        <v>7.205204216073782E-7</v>
      </c>
      <c r="JE3">
        <v>1.1968085106382979E-6</v>
      </c>
      <c r="JF3">
        <v>1.1968085106382979E-6</v>
      </c>
      <c r="JG3">
        <v>1.1968085106382979E-6</v>
      </c>
      <c r="JH3">
        <v>8.3111702127659595E-7</v>
      </c>
      <c r="JI3">
        <v>8.3111702127659595E-7</v>
      </c>
      <c r="JJ3">
        <v>8.3111702127659595E-7</v>
      </c>
      <c r="JK3">
        <v>8.3111702127659595E-7</v>
      </c>
      <c r="JL3">
        <v>8.3111702127659595E-7</v>
      </c>
      <c r="JM3">
        <v>8.3111702127659595E-7</v>
      </c>
      <c r="JN3">
        <v>8.3111702127659595E-7</v>
      </c>
      <c r="JO3">
        <v>8.3111702127659595E-7</v>
      </c>
      <c r="JP3">
        <v>8.3111702127659595E-7</v>
      </c>
      <c r="JQ3">
        <v>7.3590881795382032E-7</v>
      </c>
      <c r="JR3">
        <v>3.6795440897691016E-7</v>
      </c>
      <c r="JS3">
        <v>7.3590881795382032E-7</v>
      </c>
      <c r="JT3">
        <v>3.6795440897691016E-7</v>
      </c>
      <c r="JU3">
        <v>3.6795440897691016E-7</v>
      </c>
      <c r="JV3">
        <v>7.3590881795382032E-7</v>
      </c>
      <c r="JW3">
        <v>8.1449468085106394E-7</v>
      </c>
      <c r="JX3">
        <v>8.1449468085106394E-7</v>
      </c>
      <c r="JY3">
        <v>8.1449468085106394E-7</v>
      </c>
      <c r="JZ3">
        <v>8.1449468085106394E-7</v>
      </c>
      <c r="KA3">
        <v>8.1449468085106394E-7</v>
      </c>
      <c r="KB3">
        <v>8.1449468085106394E-7</v>
      </c>
      <c r="KC3">
        <v>8.1449468085106394E-7</v>
      </c>
      <c r="KD3">
        <v>8.1449468085106394E-7</v>
      </c>
      <c r="KE3">
        <v>8.1449468085106394E-7</v>
      </c>
      <c r="KF3">
        <v>7.3522492000752879E-7</v>
      </c>
      <c r="KG3">
        <v>3.676124600037644E-7</v>
      </c>
      <c r="KH3">
        <v>3.676124600037644E-7</v>
      </c>
      <c r="KI3">
        <v>3.676124600037644E-7</v>
      </c>
      <c r="KJ3">
        <v>7.3522492000752879E-7</v>
      </c>
      <c r="KK3">
        <v>7.3522492000752879E-7</v>
      </c>
      <c r="KL3">
        <v>7.2119064159474388E-7</v>
      </c>
      <c r="KM3">
        <v>7.2119064159474388E-7</v>
      </c>
      <c r="KN3">
        <v>7.2119064159474388E-7</v>
      </c>
      <c r="KO3">
        <v>1.2466755319148938E-6</v>
      </c>
      <c r="KP3">
        <v>1.2466755319148938E-6</v>
      </c>
      <c r="KQ3">
        <v>1.2466755319148938E-6</v>
      </c>
      <c r="KR3">
        <v>5.9840425531914893E-7</v>
      </c>
      <c r="KS3">
        <v>5.9840425531914893E-7</v>
      </c>
      <c r="KT3">
        <v>5.9840425531914893E-7</v>
      </c>
      <c r="KU3">
        <v>7.3590881795382032E-7</v>
      </c>
      <c r="KV3">
        <v>7.3590881795382032E-7</v>
      </c>
      <c r="KW3">
        <v>7.3590881795382032E-7</v>
      </c>
      <c r="KX3">
        <v>7.205204216073782E-7</v>
      </c>
      <c r="KY3">
        <v>7.205204216073782E-7</v>
      </c>
      <c r="KZ3">
        <v>7.205204216073782E-7</v>
      </c>
      <c r="LA3">
        <v>7.3522492000752879E-7</v>
      </c>
      <c r="LB3">
        <v>7.3522492000752879E-7</v>
      </c>
      <c r="LC3">
        <v>7.3522492000752879E-7</v>
      </c>
      <c r="LD3">
        <v>8.3111702127659595E-7</v>
      </c>
      <c r="LE3">
        <v>4.1555851063829797E-7</v>
      </c>
      <c r="LF3">
        <v>4.1555851063829797E-7</v>
      </c>
      <c r="LG3">
        <v>4.1555851063829797E-7</v>
      </c>
      <c r="LH3">
        <v>8.3111702127659595E-7</v>
      </c>
      <c r="LI3">
        <v>8.3111702127659595E-7</v>
      </c>
      <c r="LJ3">
        <v>3.6795440897691016E-7</v>
      </c>
      <c r="LK3">
        <v>3.6795440897691016E-7</v>
      </c>
      <c r="LL3">
        <v>3.6795440897691016E-7</v>
      </c>
      <c r="LM3">
        <v>8.3111702127659595E-7</v>
      </c>
      <c r="LN3">
        <v>8.3111702127659595E-7</v>
      </c>
      <c r="LO3">
        <v>8.3111702127659595E-7</v>
      </c>
      <c r="LP3">
        <v>3.6795440897691016E-7</v>
      </c>
      <c r="LQ3">
        <v>3.6795440897691016E-7</v>
      </c>
      <c r="LR3">
        <v>3.6795440897691016E-7</v>
      </c>
      <c r="LS3">
        <v>8.1449468085106394E-7</v>
      </c>
      <c r="LT3">
        <v>8.1449468085106394E-7</v>
      </c>
      <c r="LU3">
        <v>8.1449468085106394E-7</v>
      </c>
      <c r="LV3">
        <v>3.676124600037644E-7</v>
      </c>
      <c r="LW3">
        <v>3.676124600037644E-7</v>
      </c>
      <c r="LX3">
        <v>3.676124600037644E-7</v>
      </c>
      <c r="LY3">
        <v>8.3111702127659595E-7</v>
      </c>
      <c r="LZ3">
        <v>8.3111702127659595E-7</v>
      </c>
      <c r="MA3">
        <v>8.3111702127659595E-7</v>
      </c>
      <c r="MB3">
        <v>3.676124600037644E-7</v>
      </c>
      <c r="MC3">
        <v>3.676124600037644E-7</v>
      </c>
      <c r="MD3">
        <v>3.676124600037644E-7</v>
      </c>
      <c r="ME3">
        <v>3.6795440897691016E-7</v>
      </c>
      <c r="MF3">
        <v>3.6795440897691016E-7</v>
      </c>
      <c r="MG3">
        <v>3.6795440897691016E-7</v>
      </c>
      <c r="MH3">
        <v>8.1449468085106394E-7</v>
      </c>
      <c r="MI3">
        <v>8.1449468085106394E-7</v>
      </c>
      <c r="MJ3">
        <v>8.1449468085106394E-7</v>
      </c>
      <c r="MK3">
        <v>5.9840425531914893E-7</v>
      </c>
      <c r="ML3">
        <v>5.9840425531914893E-7</v>
      </c>
      <c r="MM3">
        <v>5.9840425531914893E-7</v>
      </c>
      <c r="MN3">
        <v>3.676124600037644E-7</v>
      </c>
      <c r="MO3">
        <v>3.676124600037644E-7</v>
      </c>
      <c r="MP3">
        <v>3.676124600037644E-7</v>
      </c>
      <c r="MQ3">
        <v>7.2119064159474388E-7</v>
      </c>
      <c r="MR3">
        <v>7.2119064159474388E-7</v>
      </c>
      <c r="MS3">
        <v>7.2119064159474388E-7</v>
      </c>
      <c r="MT3">
        <v>4.1555851063829797E-7</v>
      </c>
      <c r="MU3">
        <v>4.1555851063829797E-7</v>
      </c>
      <c r="MV3">
        <v>4.1555851063829797E-7</v>
      </c>
      <c r="MW3">
        <v>4.1555851063829797E-7</v>
      </c>
      <c r="MX3">
        <v>4.1555851063829797E-7</v>
      </c>
      <c r="MY3">
        <v>4.1555851063829797E-7</v>
      </c>
      <c r="MZ3">
        <v>7.205204216073782E-7</v>
      </c>
      <c r="NA3">
        <v>7.205204216073782E-7</v>
      </c>
      <c r="NB3">
        <v>7.205204216073782E-7</v>
      </c>
    </row>
    <row r="4" spans="1:403" x14ac:dyDescent="0.25">
      <c r="A4">
        <v>3.581429</v>
      </c>
      <c r="B4">
        <v>3.581429</v>
      </c>
      <c r="C4">
        <v>3.581429</v>
      </c>
      <c r="D4">
        <v>2.867143</v>
      </c>
      <c r="E4">
        <v>2.867143</v>
      </c>
      <c r="F4">
        <v>2.867143</v>
      </c>
      <c r="G4">
        <v>3.5714290000000002</v>
      </c>
      <c r="H4">
        <v>3.5714290000000002</v>
      </c>
      <c r="I4">
        <v>3.5714290000000002</v>
      </c>
      <c r="J4">
        <v>3.5714290000000002</v>
      </c>
      <c r="K4">
        <v>3.5714290000000002</v>
      </c>
      <c r="L4">
        <v>3.5714290000000002</v>
      </c>
      <c r="M4">
        <v>3.5714290000000002</v>
      </c>
      <c r="N4">
        <v>3.5714290000000002</v>
      </c>
      <c r="O4">
        <v>3.5714290000000002</v>
      </c>
      <c r="P4">
        <v>3.581429</v>
      </c>
      <c r="Q4">
        <v>3.581429</v>
      </c>
      <c r="R4">
        <v>3.581429</v>
      </c>
      <c r="S4">
        <v>5</v>
      </c>
      <c r="T4">
        <v>5</v>
      </c>
      <c r="U4">
        <v>5</v>
      </c>
      <c r="V4">
        <v>2.152857</v>
      </c>
      <c r="W4">
        <v>2.152857</v>
      </c>
      <c r="X4">
        <v>2.152857</v>
      </c>
      <c r="Y4">
        <v>3.5714290000000002</v>
      </c>
      <c r="Z4">
        <v>3.5714290000000002</v>
      </c>
      <c r="AA4">
        <v>3.5714290000000002</v>
      </c>
      <c r="AB4">
        <v>2.8571430000000002</v>
      </c>
      <c r="AC4">
        <v>2.8571430000000002</v>
      </c>
      <c r="AD4">
        <v>2.8571430000000002</v>
      </c>
      <c r="AE4">
        <v>5</v>
      </c>
      <c r="AF4">
        <v>5</v>
      </c>
      <c r="AG4">
        <v>5</v>
      </c>
      <c r="AH4">
        <v>2.8571430000000002</v>
      </c>
      <c r="AI4">
        <v>2.8571430000000002</v>
      </c>
      <c r="AJ4">
        <v>2.8571430000000002</v>
      </c>
      <c r="AK4">
        <v>4.1666666000000001</v>
      </c>
      <c r="AL4">
        <v>4.1666666000000001</v>
      </c>
      <c r="AM4">
        <v>4.1666666000000001</v>
      </c>
      <c r="AN4">
        <v>2.8571430000000002</v>
      </c>
      <c r="AO4">
        <v>2.8571430000000002</v>
      </c>
      <c r="AP4">
        <v>2.8571430000000002</v>
      </c>
      <c r="AQ4">
        <v>2.867143</v>
      </c>
      <c r="AR4">
        <v>2.867143</v>
      </c>
      <c r="AS4">
        <v>2.867143</v>
      </c>
      <c r="AT4">
        <v>5</v>
      </c>
      <c r="AU4">
        <v>5</v>
      </c>
      <c r="AV4">
        <v>5</v>
      </c>
      <c r="AW4">
        <v>4.1666660000000002</v>
      </c>
      <c r="AX4">
        <v>4.1666660000000002</v>
      </c>
      <c r="AY4">
        <v>4.1666660000000002</v>
      </c>
      <c r="AZ4">
        <v>3.5714290000000002</v>
      </c>
      <c r="BA4">
        <v>3.5714290000000002</v>
      </c>
      <c r="BB4">
        <v>3.5714290000000002</v>
      </c>
      <c r="BC4">
        <v>4</v>
      </c>
      <c r="BD4">
        <v>4</v>
      </c>
      <c r="BE4">
        <v>4</v>
      </c>
      <c r="BF4">
        <v>2.8571430000000002</v>
      </c>
      <c r="BG4">
        <v>2.8571430000000002</v>
      </c>
      <c r="BH4">
        <v>2.8571430000000002</v>
      </c>
      <c r="BI4">
        <v>4.1666660000000002</v>
      </c>
      <c r="BJ4">
        <v>4.1666660000000002</v>
      </c>
      <c r="BK4">
        <v>4.1666660000000002</v>
      </c>
      <c r="BL4">
        <v>3.5714290000000002</v>
      </c>
      <c r="BM4">
        <v>3.5714290000000002</v>
      </c>
      <c r="BN4">
        <v>3.5714290000000002</v>
      </c>
      <c r="BO4">
        <v>4</v>
      </c>
      <c r="BP4">
        <v>4</v>
      </c>
      <c r="BQ4">
        <v>4</v>
      </c>
      <c r="BR4">
        <v>5</v>
      </c>
      <c r="BS4">
        <v>5</v>
      </c>
      <c r="BT4">
        <v>5</v>
      </c>
      <c r="BU4">
        <v>2.1428569999999998</v>
      </c>
      <c r="BV4">
        <v>2.1428569999999998</v>
      </c>
      <c r="BW4">
        <v>2.1428569999999998</v>
      </c>
      <c r="BX4">
        <v>3.5714290000000002</v>
      </c>
      <c r="BY4">
        <v>3.5714290000000002</v>
      </c>
      <c r="BZ4">
        <v>3.5714290000000002</v>
      </c>
      <c r="CA4">
        <v>3.3333333000000001</v>
      </c>
      <c r="CB4">
        <v>3.3333333000000001</v>
      </c>
      <c r="CC4">
        <v>3.3333333000000001</v>
      </c>
      <c r="CD4">
        <v>5</v>
      </c>
      <c r="CE4">
        <v>5</v>
      </c>
      <c r="CF4">
        <v>5</v>
      </c>
      <c r="CG4">
        <v>2.1428569999999998</v>
      </c>
      <c r="CH4">
        <v>2.1428569999999998</v>
      </c>
      <c r="CI4">
        <v>2.1428569999999998</v>
      </c>
      <c r="CJ4">
        <v>4.1666660000000002</v>
      </c>
      <c r="CK4">
        <v>4.1666660000000002</v>
      </c>
      <c r="CL4">
        <v>4.1666660000000002</v>
      </c>
      <c r="CM4">
        <v>4</v>
      </c>
      <c r="CN4">
        <v>4</v>
      </c>
      <c r="CO4">
        <v>4</v>
      </c>
      <c r="CP4">
        <v>2.1428569999999998</v>
      </c>
      <c r="CQ4">
        <v>2.1428569999999998</v>
      </c>
      <c r="CR4">
        <v>2.1428569999999998</v>
      </c>
      <c r="CS4">
        <v>5</v>
      </c>
      <c r="CT4">
        <v>5</v>
      </c>
      <c r="CU4">
        <v>5</v>
      </c>
      <c r="CV4">
        <v>3.3333330000000001</v>
      </c>
      <c r="CW4">
        <v>3.3333330000000001</v>
      </c>
      <c r="CX4">
        <v>3.3333330000000001</v>
      </c>
      <c r="CY4">
        <v>2.152857</v>
      </c>
      <c r="CZ4">
        <v>2.152857</v>
      </c>
      <c r="DA4">
        <v>2.152857</v>
      </c>
      <c r="DB4">
        <v>3.5714290000000002</v>
      </c>
      <c r="DC4">
        <v>3.5714290000000002</v>
      </c>
      <c r="DD4">
        <v>3.5714290000000002</v>
      </c>
      <c r="DE4">
        <v>2.8571430000000002</v>
      </c>
      <c r="DF4">
        <v>2.8571430000000002</v>
      </c>
      <c r="DG4">
        <v>2.8571430000000002</v>
      </c>
      <c r="DH4">
        <v>5</v>
      </c>
      <c r="DI4">
        <v>5</v>
      </c>
      <c r="DJ4">
        <v>5</v>
      </c>
      <c r="DK4">
        <v>5</v>
      </c>
      <c r="DL4">
        <v>5</v>
      </c>
      <c r="DM4">
        <v>5</v>
      </c>
      <c r="DN4">
        <v>3.3333330000000001</v>
      </c>
      <c r="DO4">
        <v>3.3333330000000001</v>
      </c>
      <c r="DP4">
        <v>3.3333330000000001</v>
      </c>
      <c r="DQ4">
        <v>2.8571430000000002</v>
      </c>
      <c r="DR4">
        <v>2.8571430000000002</v>
      </c>
      <c r="DS4">
        <v>2.8571430000000002</v>
      </c>
      <c r="DT4">
        <v>4.1666666000000001</v>
      </c>
      <c r="DU4">
        <v>4.1666666000000001</v>
      </c>
      <c r="DV4">
        <v>4.1666666000000001</v>
      </c>
      <c r="DW4">
        <v>4</v>
      </c>
      <c r="DX4">
        <v>4</v>
      </c>
      <c r="DY4">
        <v>4</v>
      </c>
      <c r="DZ4">
        <v>3</v>
      </c>
      <c r="EA4">
        <v>3</v>
      </c>
      <c r="EB4">
        <v>3</v>
      </c>
      <c r="EC4">
        <v>2.1428569999999998</v>
      </c>
      <c r="ED4">
        <v>2.1428569999999998</v>
      </c>
      <c r="EE4">
        <v>2.1428569999999998</v>
      </c>
      <c r="EF4">
        <v>2.8571430000000002</v>
      </c>
      <c r="EG4">
        <v>2.8571430000000002</v>
      </c>
      <c r="EH4">
        <v>2.8571430000000002</v>
      </c>
      <c r="EI4">
        <v>4</v>
      </c>
      <c r="EJ4">
        <v>3</v>
      </c>
      <c r="EK4">
        <v>4</v>
      </c>
      <c r="EL4">
        <v>4</v>
      </c>
      <c r="EM4">
        <v>3</v>
      </c>
      <c r="EN4">
        <v>3</v>
      </c>
      <c r="EO4">
        <v>5</v>
      </c>
      <c r="EP4">
        <v>5</v>
      </c>
      <c r="EQ4">
        <v>5</v>
      </c>
      <c r="ER4">
        <v>3.3333330000000001</v>
      </c>
      <c r="ES4">
        <v>3.3333330000000001</v>
      </c>
      <c r="ET4">
        <v>3.3333330000000001</v>
      </c>
      <c r="EU4">
        <v>4.1666660000000002</v>
      </c>
      <c r="EV4">
        <v>4.1666660000000002</v>
      </c>
      <c r="EW4">
        <v>4.1666660000000002</v>
      </c>
      <c r="EX4">
        <v>3.581429</v>
      </c>
      <c r="EY4">
        <v>3.581429</v>
      </c>
      <c r="EZ4">
        <v>3.581429</v>
      </c>
      <c r="FA4">
        <v>2.5</v>
      </c>
      <c r="FB4">
        <v>2.5</v>
      </c>
      <c r="FC4">
        <v>2.5</v>
      </c>
      <c r="FD4">
        <v>4</v>
      </c>
      <c r="FE4">
        <v>4</v>
      </c>
      <c r="FF4">
        <v>4</v>
      </c>
      <c r="FG4">
        <v>2.8571430000000002</v>
      </c>
      <c r="FH4">
        <v>2.8571430000000002</v>
      </c>
      <c r="FI4">
        <v>2.8571430000000002</v>
      </c>
      <c r="FJ4">
        <v>4.1666660000000002</v>
      </c>
      <c r="FK4">
        <v>4.1666660000000002</v>
      </c>
      <c r="FL4">
        <v>4.1666660000000002</v>
      </c>
      <c r="FM4">
        <v>5</v>
      </c>
      <c r="FN4">
        <v>5</v>
      </c>
      <c r="FO4">
        <v>5</v>
      </c>
      <c r="FP4">
        <v>4</v>
      </c>
      <c r="FQ4">
        <v>4</v>
      </c>
      <c r="FR4">
        <v>4</v>
      </c>
      <c r="FS4">
        <v>3</v>
      </c>
      <c r="FT4">
        <v>3</v>
      </c>
      <c r="FU4">
        <v>3</v>
      </c>
      <c r="FV4">
        <v>4</v>
      </c>
      <c r="FW4">
        <v>4</v>
      </c>
      <c r="FX4">
        <v>4</v>
      </c>
      <c r="FY4">
        <v>2.5</v>
      </c>
      <c r="FZ4">
        <v>5</v>
      </c>
      <c r="GA4">
        <v>5</v>
      </c>
      <c r="GB4">
        <v>5</v>
      </c>
      <c r="GC4">
        <v>2.5</v>
      </c>
      <c r="GD4">
        <v>2.5</v>
      </c>
      <c r="GE4">
        <v>2.1428569999999998</v>
      </c>
      <c r="GF4">
        <v>2.1428569999999998</v>
      </c>
      <c r="GG4">
        <v>2.1428569999999998</v>
      </c>
      <c r="GH4">
        <v>3.3333333000000001</v>
      </c>
      <c r="GI4">
        <v>3.3333333000000001</v>
      </c>
      <c r="GJ4">
        <v>3.3333333000000001</v>
      </c>
      <c r="GK4">
        <v>2.5</v>
      </c>
      <c r="GL4">
        <v>2.5</v>
      </c>
      <c r="GM4">
        <v>2.5</v>
      </c>
      <c r="GN4">
        <v>5</v>
      </c>
      <c r="GO4">
        <v>5</v>
      </c>
      <c r="GP4">
        <v>5</v>
      </c>
      <c r="GQ4">
        <v>2.1428569999999998</v>
      </c>
      <c r="GR4">
        <v>2.1428569999999998</v>
      </c>
      <c r="GS4">
        <v>2.1428569999999998</v>
      </c>
      <c r="GT4">
        <v>4.1666660000000002</v>
      </c>
      <c r="GU4">
        <v>4.1666660000000002</v>
      </c>
      <c r="GV4">
        <v>4.1666660000000002</v>
      </c>
      <c r="GW4">
        <v>4</v>
      </c>
      <c r="GX4">
        <v>4</v>
      </c>
      <c r="GY4">
        <v>4</v>
      </c>
      <c r="GZ4">
        <v>3</v>
      </c>
      <c r="HA4">
        <v>3</v>
      </c>
      <c r="HB4">
        <v>3</v>
      </c>
      <c r="HC4">
        <v>2.1428569999999998</v>
      </c>
      <c r="HD4">
        <v>2.1428569999999998</v>
      </c>
      <c r="HE4">
        <v>2.1428569999999998</v>
      </c>
      <c r="HF4">
        <v>3.3333330000000001</v>
      </c>
      <c r="HG4">
        <v>3.3333330000000001</v>
      </c>
      <c r="HH4">
        <v>3.3333330000000001</v>
      </c>
      <c r="HI4">
        <v>2.867143</v>
      </c>
      <c r="HJ4">
        <v>2.867143</v>
      </c>
      <c r="HK4">
        <v>2.867143</v>
      </c>
      <c r="HL4">
        <v>3</v>
      </c>
      <c r="HM4">
        <v>3</v>
      </c>
      <c r="HN4">
        <v>3</v>
      </c>
      <c r="HO4">
        <v>2.5</v>
      </c>
      <c r="HP4">
        <v>2.5</v>
      </c>
      <c r="HQ4">
        <v>2.5</v>
      </c>
      <c r="HR4">
        <v>5</v>
      </c>
      <c r="HS4">
        <v>5</v>
      </c>
      <c r="HT4">
        <v>5</v>
      </c>
      <c r="HU4">
        <v>3.3333330000000001</v>
      </c>
      <c r="HV4">
        <v>3.3333330000000001</v>
      </c>
      <c r="HW4">
        <v>3.3333330000000001</v>
      </c>
      <c r="HX4">
        <v>3.5714290000000002</v>
      </c>
      <c r="HY4">
        <v>3.5714290000000002</v>
      </c>
      <c r="HZ4">
        <v>3.5714290000000002</v>
      </c>
      <c r="IA4">
        <v>4</v>
      </c>
      <c r="IB4">
        <v>4</v>
      </c>
      <c r="IC4">
        <v>4</v>
      </c>
      <c r="ID4">
        <v>4</v>
      </c>
      <c r="IE4">
        <v>3</v>
      </c>
      <c r="IF4">
        <v>4</v>
      </c>
      <c r="IG4">
        <v>4</v>
      </c>
      <c r="IH4">
        <v>3</v>
      </c>
      <c r="II4">
        <v>3</v>
      </c>
      <c r="IJ4">
        <v>2.1428569999999998</v>
      </c>
      <c r="IK4">
        <v>2.1428569999999998</v>
      </c>
      <c r="IL4">
        <v>2.1428569999999998</v>
      </c>
      <c r="IM4">
        <v>3.5714290000000002</v>
      </c>
      <c r="IN4">
        <v>3.5714290000000002</v>
      </c>
      <c r="IO4">
        <v>3.5714290000000002</v>
      </c>
      <c r="IP4">
        <v>3</v>
      </c>
      <c r="IQ4">
        <v>3</v>
      </c>
      <c r="IR4">
        <v>3</v>
      </c>
      <c r="IS4">
        <v>4</v>
      </c>
      <c r="IT4">
        <v>3</v>
      </c>
      <c r="IU4">
        <v>4</v>
      </c>
      <c r="IV4">
        <v>4</v>
      </c>
      <c r="IW4">
        <v>3</v>
      </c>
      <c r="IX4">
        <v>3</v>
      </c>
      <c r="IY4">
        <v>3.3333330000000001</v>
      </c>
      <c r="IZ4">
        <v>3.3333330000000001</v>
      </c>
      <c r="JA4">
        <v>3.3333330000000001</v>
      </c>
      <c r="JB4">
        <v>3.5714290000000002</v>
      </c>
      <c r="JC4">
        <v>3.5714290000000002</v>
      </c>
      <c r="JD4">
        <v>3.5714290000000002</v>
      </c>
      <c r="JE4">
        <v>2.5</v>
      </c>
      <c r="JF4">
        <v>2.5</v>
      </c>
      <c r="JG4">
        <v>2.5</v>
      </c>
      <c r="JH4">
        <v>5</v>
      </c>
      <c r="JI4">
        <v>5</v>
      </c>
      <c r="JJ4">
        <v>5</v>
      </c>
      <c r="JK4">
        <v>4</v>
      </c>
      <c r="JL4">
        <v>4</v>
      </c>
      <c r="JM4">
        <v>4</v>
      </c>
      <c r="JN4">
        <v>3</v>
      </c>
      <c r="JO4">
        <v>3</v>
      </c>
      <c r="JP4">
        <v>3</v>
      </c>
      <c r="JQ4">
        <v>2.5</v>
      </c>
      <c r="JR4">
        <v>5</v>
      </c>
      <c r="JS4">
        <v>2.5</v>
      </c>
      <c r="JT4">
        <v>5</v>
      </c>
      <c r="JU4">
        <v>5</v>
      </c>
      <c r="JV4">
        <v>2.5</v>
      </c>
      <c r="JW4">
        <v>2.152857</v>
      </c>
      <c r="JX4">
        <v>2.152857</v>
      </c>
      <c r="JY4">
        <v>2.152857</v>
      </c>
      <c r="JZ4">
        <v>3.5714290000000002</v>
      </c>
      <c r="KA4">
        <v>3.5714290000000002</v>
      </c>
      <c r="KB4">
        <v>3.5714290000000002</v>
      </c>
      <c r="KC4">
        <v>2.8571430000000002</v>
      </c>
      <c r="KD4">
        <v>2.8571430000000002</v>
      </c>
      <c r="KE4">
        <v>2.8571430000000002</v>
      </c>
      <c r="KF4">
        <v>2.5</v>
      </c>
      <c r="KG4">
        <v>5</v>
      </c>
      <c r="KH4">
        <v>5</v>
      </c>
      <c r="KI4">
        <v>5</v>
      </c>
      <c r="KJ4">
        <v>2.5</v>
      </c>
      <c r="KK4">
        <v>2.5</v>
      </c>
      <c r="KL4">
        <v>2.8571430000000002</v>
      </c>
      <c r="KM4">
        <v>2.8571430000000002</v>
      </c>
      <c r="KN4">
        <v>2.8571430000000002</v>
      </c>
      <c r="KO4">
        <v>3</v>
      </c>
      <c r="KP4">
        <v>3</v>
      </c>
      <c r="KQ4">
        <v>3</v>
      </c>
      <c r="KR4">
        <v>4.1666666000000001</v>
      </c>
      <c r="KS4">
        <v>4.1666666000000001</v>
      </c>
      <c r="KT4">
        <v>4.1666666000000001</v>
      </c>
      <c r="KU4">
        <v>3</v>
      </c>
      <c r="KV4">
        <v>3</v>
      </c>
      <c r="KW4">
        <v>3</v>
      </c>
      <c r="KX4">
        <v>2.8571430000000002</v>
      </c>
      <c r="KY4">
        <v>2.8571430000000002</v>
      </c>
      <c r="KZ4">
        <v>2.8571430000000002</v>
      </c>
      <c r="LA4">
        <v>3</v>
      </c>
      <c r="LB4">
        <v>3</v>
      </c>
      <c r="LC4">
        <v>3</v>
      </c>
      <c r="LD4">
        <v>2.5</v>
      </c>
      <c r="LE4">
        <v>5</v>
      </c>
      <c r="LF4">
        <v>5</v>
      </c>
      <c r="LG4">
        <v>5</v>
      </c>
      <c r="LH4">
        <v>2.5</v>
      </c>
      <c r="LI4">
        <v>2.5</v>
      </c>
      <c r="LJ4">
        <v>4.1666660000000002</v>
      </c>
      <c r="LK4">
        <v>4.1666660000000002</v>
      </c>
      <c r="LL4">
        <v>4.1666660000000002</v>
      </c>
      <c r="LM4">
        <v>4</v>
      </c>
      <c r="LN4">
        <v>4</v>
      </c>
      <c r="LO4">
        <v>4</v>
      </c>
      <c r="LP4">
        <v>4</v>
      </c>
      <c r="LQ4">
        <v>4</v>
      </c>
      <c r="LR4">
        <v>4</v>
      </c>
      <c r="LS4">
        <v>2.8571430000000002</v>
      </c>
      <c r="LT4">
        <v>2.8571430000000002</v>
      </c>
      <c r="LU4">
        <v>2.8571430000000002</v>
      </c>
      <c r="LV4">
        <v>4.1666660000000002</v>
      </c>
      <c r="LW4">
        <v>4.1666660000000002</v>
      </c>
      <c r="LX4">
        <v>4.1666660000000002</v>
      </c>
      <c r="LY4">
        <v>3</v>
      </c>
      <c r="LZ4">
        <v>3</v>
      </c>
      <c r="MA4">
        <v>3</v>
      </c>
      <c r="MB4">
        <v>4</v>
      </c>
      <c r="MC4">
        <v>4</v>
      </c>
      <c r="MD4">
        <v>4</v>
      </c>
      <c r="ME4">
        <v>5</v>
      </c>
      <c r="MF4">
        <v>5</v>
      </c>
      <c r="MG4">
        <v>5</v>
      </c>
      <c r="MH4">
        <v>2.1428569999999998</v>
      </c>
      <c r="MI4">
        <v>2.1428569999999998</v>
      </c>
      <c r="MJ4">
        <v>2.1428569999999998</v>
      </c>
      <c r="MK4">
        <v>3.3333333000000001</v>
      </c>
      <c r="ML4">
        <v>3.3333333000000001</v>
      </c>
      <c r="MM4">
        <v>3.3333333000000001</v>
      </c>
      <c r="MN4">
        <v>5</v>
      </c>
      <c r="MO4">
        <v>5</v>
      </c>
      <c r="MP4">
        <v>5</v>
      </c>
      <c r="MQ4">
        <v>2.1428569999999998</v>
      </c>
      <c r="MR4">
        <v>2.1428569999999998</v>
      </c>
      <c r="MS4">
        <v>2.1428569999999998</v>
      </c>
      <c r="MT4">
        <v>4.1666660000000002</v>
      </c>
      <c r="MU4">
        <v>4.1666660000000002</v>
      </c>
      <c r="MV4">
        <v>4.1666660000000002</v>
      </c>
      <c r="MW4">
        <v>4</v>
      </c>
      <c r="MX4">
        <v>4</v>
      </c>
      <c r="MY4">
        <v>4</v>
      </c>
      <c r="MZ4">
        <v>2.1428569999999998</v>
      </c>
      <c r="NA4">
        <v>2.1428569999999998</v>
      </c>
      <c r="NB4">
        <v>2.1428569999999998</v>
      </c>
    </row>
    <row r="5" spans="1:403" x14ac:dyDescent="0.25">
      <c r="A5">
        <v>240.04048397806883</v>
      </c>
      <c r="B5">
        <v>135.76729038709345</v>
      </c>
      <c r="C5">
        <v>87.321658632640947</v>
      </c>
      <c r="D5">
        <v>240.04048397806886</v>
      </c>
      <c r="E5">
        <v>135.76729038709348</v>
      </c>
      <c r="F5">
        <v>87.321658632640961</v>
      </c>
      <c r="G5">
        <v>241.36407179927733</v>
      </c>
      <c r="H5">
        <v>136.65207697587601</v>
      </c>
      <c r="I5">
        <v>87.969046435725446</v>
      </c>
      <c r="J5">
        <v>74.856860738562261</v>
      </c>
      <c r="K5">
        <v>116.19113035294218</v>
      </c>
      <c r="L5">
        <v>205.04186429527002</v>
      </c>
      <c r="M5">
        <v>78.826542747425407</v>
      </c>
      <c r="N5">
        <v>122.35278120499216</v>
      </c>
      <c r="O5">
        <v>215.91529649274648</v>
      </c>
      <c r="P5">
        <v>360.06072596710322</v>
      </c>
      <c r="Q5">
        <v>203.65093558064015</v>
      </c>
      <c r="R5">
        <v>130.98248794896142</v>
      </c>
      <c r="S5">
        <v>75.260032693932388</v>
      </c>
      <c r="T5">
        <v>205.86615151143044</v>
      </c>
      <c r="U5">
        <v>116.74214650954127</v>
      </c>
      <c r="V5">
        <v>240.04048397806883</v>
      </c>
      <c r="W5">
        <v>87.321658632640947</v>
      </c>
      <c r="X5">
        <v>135.76729038709345</v>
      </c>
      <c r="Y5">
        <v>242.56016286844712</v>
      </c>
      <c r="Z5">
        <v>137.45163505582099</v>
      </c>
      <c r="AA5">
        <v>88.554073554554506</v>
      </c>
      <c r="AB5">
        <v>241.36407179927727</v>
      </c>
      <c r="AC5">
        <v>136.65207697587599</v>
      </c>
      <c r="AD5">
        <v>87.969046435725417</v>
      </c>
      <c r="AE5">
        <v>79.251095033762127</v>
      </c>
      <c r="AF5">
        <v>216.78329590976386</v>
      </c>
      <c r="AG5">
        <v>122.93301791535026</v>
      </c>
      <c r="AH5">
        <v>74.856860738562261</v>
      </c>
      <c r="AI5">
        <v>116.19113035294218</v>
      </c>
      <c r="AJ5">
        <v>205.04186429527002</v>
      </c>
      <c r="AK5">
        <v>243.06053760322828</v>
      </c>
      <c r="AL5">
        <v>137.78612351786785</v>
      </c>
      <c r="AM5">
        <v>88.798814776163155</v>
      </c>
      <c r="AN5">
        <v>78.826542747425407</v>
      </c>
      <c r="AO5">
        <v>122.35278120499216</v>
      </c>
      <c r="AP5">
        <v>215.91529649274648</v>
      </c>
      <c r="AQ5">
        <v>360.06072596710328</v>
      </c>
      <c r="AR5">
        <v>203.65093558064021</v>
      </c>
      <c r="AS5">
        <v>130.98248794896142</v>
      </c>
      <c r="AT5">
        <v>243.53527710713897</v>
      </c>
      <c r="AU5">
        <v>138.10347544532968</v>
      </c>
      <c r="AV5">
        <v>89.031017399630656</v>
      </c>
      <c r="AW5">
        <v>75.260032693932402</v>
      </c>
      <c r="AX5">
        <v>116.74214650954129</v>
      </c>
      <c r="AY5">
        <v>205.86615151143047</v>
      </c>
      <c r="AZ5">
        <v>362.04610769891588</v>
      </c>
      <c r="BA5">
        <v>204.97811546381396</v>
      </c>
      <c r="BB5">
        <v>131.95356965358815</v>
      </c>
      <c r="BC5">
        <v>75.260032693932388</v>
      </c>
      <c r="BD5">
        <v>116.7421465095413</v>
      </c>
      <c r="BE5">
        <v>205.86615151143047</v>
      </c>
      <c r="BF5">
        <v>242.56016286844709</v>
      </c>
      <c r="BG5">
        <v>137.45163505582096</v>
      </c>
      <c r="BH5">
        <v>88.554073554554492</v>
      </c>
      <c r="BI5">
        <v>79.251095033762141</v>
      </c>
      <c r="BJ5">
        <v>122.93301791535029</v>
      </c>
      <c r="BK5">
        <v>216.78329590976389</v>
      </c>
      <c r="BL5">
        <v>112.28529110784338</v>
      </c>
      <c r="BM5">
        <v>307.56279644290504</v>
      </c>
      <c r="BN5">
        <v>174.28669552941327</v>
      </c>
      <c r="BO5">
        <v>79.251095033762141</v>
      </c>
      <c r="BP5">
        <v>122.93301791535029</v>
      </c>
      <c r="BQ5">
        <v>216.78329590976389</v>
      </c>
      <c r="BR5">
        <v>76.079518096870245</v>
      </c>
      <c r="BS5">
        <v>207.54159379474009</v>
      </c>
      <c r="BT5">
        <v>117.86213933419425</v>
      </c>
      <c r="BU5">
        <v>241.3640717992773</v>
      </c>
      <c r="BV5">
        <v>87.969046435725431</v>
      </c>
      <c r="BW5">
        <v>136.65207697587599</v>
      </c>
      <c r="BX5">
        <v>118.2398141211381</v>
      </c>
      <c r="BY5">
        <v>323.8729447391197</v>
      </c>
      <c r="BZ5">
        <v>183.52917180748821</v>
      </c>
      <c r="CA5">
        <v>243.06053760322831</v>
      </c>
      <c r="CB5">
        <v>137.78612351786785</v>
      </c>
      <c r="CC5">
        <v>88.798814776163184</v>
      </c>
      <c r="CD5">
        <v>80.114037995946688</v>
      </c>
      <c r="CE5">
        <v>218.54758740506722</v>
      </c>
      <c r="CF5">
        <v>124.11240429888637</v>
      </c>
      <c r="CG5">
        <v>74.856860738562261</v>
      </c>
      <c r="CH5">
        <v>116.19113035294218</v>
      </c>
      <c r="CI5">
        <v>205.04186429527005</v>
      </c>
      <c r="CJ5">
        <v>243.53527710713902</v>
      </c>
      <c r="CK5">
        <v>138.10347544532971</v>
      </c>
      <c r="CL5">
        <v>89.03101739963067</v>
      </c>
      <c r="CM5">
        <v>243.53527710713902</v>
      </c>
      <c r="CN5">
        <v>138.10347544532971</v>
      </c>
      <c r="CO5">
        <v>89.031017399630656</v>
      </c>
      <c r="CP5">
        <v>78.826542747425407</v>
      </c>
      <c r="CQ5">
        <v>122.35278120499214</v>
      </c>
      <c r="CR5">
        <v>215.91529649274648</v>
      </c>
      <c r="CS5">
        <v>112.89004904089857</v>
      </c>
      <c r="CT5">
        <v>308.79922726714562</v>
      </c>
      <c r="CU5">
        <v>175.11321976431191</v>
      </c>
      <c r="CV5">
        <v>75.260032693932388</v>
      </c>
      <c r="CW5">
        <v>116.74214650954126</v>
      </c>
      <c r="CX5">
        <v>205.86615151143047</v>
      </c>
      <c r="CY5">
        <v>360.06072596710328</v>
      </c>
      <c r="CZ5">
        <v>130.98248794896142</v>
      </c>
      <c r="DA5">
        <v>203.65093558064018</v>
      </c>
      <c r="DB5">
        <v>363.84024430267061</v>
      </c>
      <c r="DC5">
        <v>206.17745258373142</v>
      </c>
      <c r="DD5">
        <v>132.83111033183172</v>
      </c>
      <c r="DE5">
        <v>362.04610769891588</v>
      </c>
      <c r="DF5">
        <v>204.97811546381399</v>
      </c>
      <c r="DG5">
        <v>131.95356965358812</v>
      </c>
      <c r="DH5">
        <v>245.51728968058615</v>
      </c>
      <c r="DI5">
        <v>139.4284031272596</v>
      </c>
      <c r="DJ5">
        <v>90.000451195446502</v>
      </c>
      <c r="DK5">
        <v>118.87664255064321</v>
      </c>
      <c r="DL5">
        <v>325.1749438646458</v>
      </c>
      <c r="DM5">
        <v>184.39952687302542</v>
      </c>
      <c r="DN5">
        <v>79.251095033762127</v>
      </c>
      <c r="DO5">
        <v>122.93301791535026</v>
      </c>
      <c r="DP5">
        <v>216.78329590976389</v>
      </c>
      <c r="DQ5">
        <v>112.28529110784339</v>
      </c>
      <c r="DR5">
        <v>174.28669552941329</v>
      </c>
      <c r="DS5">
        <v>307.56279644290504</v>
      </c>
      <c r="DT5">
        <v>364.5908064048424</v>
      </c>
      <c r="DU5">
        <v>206.67918527680177</v>
      </c>
      <c r="DV5">
        <v>133.19822216424473</v>
      </c>
      <c r="DW5">
        <v>76.07951809687026</v>
      </c>
      <c r="DX5">
        <v>117.86213933419428</v>
      </c>
      <c r="DY5">
        <v>207.54159379474012</v>
      </c>
      <c r="DZ5">
        <v>75.260032693932402</v>
      </c>
      <c r="EA5">
        <v>116.74214650954129</v>
      </c>
      <c r="EB5">
        <v>205.86615151143047</v>
      </c>
      <c r="EC5">
        <v>242.56016286844712</v>
      </c>
      <c r="ED5">
        <v>88.554073554554492</v>
      </c>
      <c r="EE5">
        <v>137.45163505582096</v>
      </c>
      <c r="EF5">
        <v>118.23981412113811</v>
      </c>
      <c r="EG5">
        <v>183.52917180748824</v>
      </c>
      <c r="EH5">
        <v>323.8729447391197</v>
      </c>
      <c r="EI5">
        <v>80.114037995946703</v>
      </c>
      <c r="EJ5">
        <v>79.251095033762155</v>
      </c>
      <c r="EK5">
        <v>124.11240429888639</v>
      </c>
      <c r="EL5">
        <v>218.54758740506725</v>
      </c>
      <c r="EM5">
        <v>122.93301791535029</v>
      </c>
      <c r="EN5">
        <v>216.78329590976389</v>
      </c>
      <c r="EO5">
        <v>365.30291566070849</v>
      </c>
      <c r="EP5">
        <v>207.1552131679945</v>
      </c>
      <c r="EQ5">
        <v>133.546526099446</v>
      </c>
      <c r="ER5">
        <v>243.53527710713905</v>
      </c>
      <c r="ES5">
        <v>89.031017399630656</v>
      </c>
      <c r="ET5">
        <v>138.10347544532968</v>
      </c>
      <c r="EU5">
        <v>112.89004904089857</v>
      </c>
      <c r="EV5">
        <v>175.11321976431191</v>
      </c>
      <c r="EW5">
        <v>308.79922726714568</v>
      </c>
      <c r="EX5">
        <v>720.12145193420645</v>
      </c>
      <c r="EY5">
        <v>407.3018711612803</v>
      </c>
      <c r="EZ5">
        <v>261.96497589792284</v>
      </c>
      <c r="FA5">
        <v>88.798814776163169</v>
      </c>
      <c r="FB5">
        <v>243.06053760322828</v>
      </c>
      <c r="FC5">
        <v>137.78612351786785</v>
      </c>
      <c r="FD5">
        <v>112.89004904089859</v>
      </c>
      <c r="FE5">
        <v>175.11321976431196</v>
      </c>
      <c r="FF5">
        <v>308.79922726714574</v>
      </c>
      <c r="FG5">
        <v>363.84024430267067</v>
      </c>
      <c r="FH5">
        <v>206.17745258373145</v>
      </c>
      <c r="FI5">
        <v>132.83111033183175</v>
      </c>
      <c r="FJ5">
        <v>118.87664255064321</v>
      </c>
      <c r="FK5">
        <v>184.39952687302542</v>
      </c>
      <c r="FL5">
        <v>325.1749438646458</v>
      </c>
      <c r="FM5">
        <v>247.30838166564075</v>
      </c>
      <c r="FN5">
        <v>140.62570499288515</v>
      </c>
      <c r="FO5">
        <v>90.87650270237863</v>
      </c>
      <c r="FP5">
        <v>245.5172896805862</v>
      </c>
      <c r="FQ5">
        <v>90.000451195446516</v>
      </c>
      <c r="FR5">
        <v>139.42840312725963</v>
      </c>
      <c r="FS5">
        <v>89.03101739963067</v>
      </c>
      <c r="FT5">
        <v>243.53527710713902</v>
      </c>
      <c r="FU5">
        <v>138.10347544532968</v>
      </c>
      <c r="FV5">
        <v>118.87664255064323</v>
      </c>
      <c r="FW5">
        <v>184.39952687302545</v>
      </c>
      <c r="FX5">
        <v>325.17494386464585</v>
      </c>
      <c r="FY5">
        <v>75.260032693932388</v>
      </c>
      <c r="FZ5">
        <v>114.11927714530536</v>
      </c>
      <c r="GA5">
        <v>311.31239069211011</v>
      </c>
      <c r="GB5">
        <v>176.79320900129139</v>
      </c>
      <c r="GC5">
        <v>116.74214650954127</v>
      </c>
      <c r="GD5">
        <v>205.86615151143044</v>
      </c>
      <c r="GE5">
        <v>362.04610769891599</v>
      </c>
      <c r="GF5">
        <v>131.95356965358818</v>
      </c>
      <c r="GG5">
        <v>204.97811546381402</v>
      </c>
      <c r="GH5">
        <v>364.59080640484245</v>
      </c>
      <c r="GI5">
        <v>133.19822216424475</v>
      </c>
      <c r="GJ5">
        <v>206.67918527680177</v>
      </c>
      <c r="GK5">
        <v>79.251095033762127</v>
      </c>
      <c r="GL5">
        <v>122.93301791535026</v>
      </c>
      <c r="GM5">
        <v>216.78329590976386</v>
      </c>
      <c r="GN5">
        <v>120.17105699392005</v>
      </c>
      <c r="GO5">
        <v>327.82138110760081</v>
      </c>
      <c r="GP5">
        <v>186.16860644832957</v>
      </c>
      <c r="GQ5">
        <v>112.28529110784339</v>
      </c>
      <c r="GR5">
        <v>174.28669552941329</v>
      </c>
      <c r="GS5">
        <v>307.5627964429051</v>
      </c>
      <c r="GT5">
        <v>365.30291566070849</v>
      </c>
      <c r="GU5">
        <v>133.546526099446</v>
      </c>
      <c r="GV5">
        <v>207.15521316799453</v>
      </c>
      <c r="GW5">
        <v>365.30291566070855</v>
      </c>
      <c r="GX5">
        <v>133.546526099446</v>
      </c>
      <c r="GY5">
        <v>207.15521316799456</v>
      </c>
      <c r="GZ5">
        <v>76.079518096870274</v>
      </c>
      <c r="HA5">
        <v>117.86213933419428</v>
      </c>
      <c r="HB5">
        <v>207.54159379474012</v>
      </c>
      <c r="HC5">
        <v>118.23981412113811</v>
      </c>
      <c r="HD5">
        <v>183.52917180748821</v>
      </c>
      <c r="HE5">
        <v>323.87294473911976</v>
      </c>
      <c r="HF5">
        <v>112.89004904089856</v>
      </c>
      <c r="HG5">
        <v>175.11321976431188</v>
      </c>
      <c r="HH5">
        <v>308.79922726714568</v>
      </c>
      <c r="HI5">
        <v>720.12145193420656</v>
      </c>
      <c r="HJ5">
        <v>407.30187116128042</v>
      </c>
      <c r="HK5">
        <v>261.96497589792284</v>
      </c>
      <c r="HL5">
        <v>80.114037995946717</v>
      </c>
      <c r="HM5">
        <v>124.11240429888639</v>
      </c>
      <c r="HN5">
        <v>218.54758740506725</v>
      </c>
      <c r="HO5">
        <v>89.031017399630656</v>
      </c>
      <c r="HP5">
        <v>138.10347544532968</v>
      </c>
      <c r="HQ5">
        <v>243.53527710713897</v>
      </c>
      <c r="HR5">
        <v>368.27593452087928</v>
      </c>
      <c r="HS5">
        <v>209.14260469088939</v>
      </c>
      <c r="HT5">
        <v>135.00067679316976</v>
      </c>
      <c r="HU5">
        <v>118.87664255064318</v>
      </c>
      <c r="HV5">
        <v>184.39952687302539</v>
      </c>
      <c r="HW5">
        <v>325.17494386464585</v>
      </c>
      <c r="HX5">
        <v>724.09221539783175</v>
      </c>
      <c r="HY5">
        <v>409.95623092762793</v>
      </c>
      <c r="HZ5">
        <v>263.90713930717629</v>
      </c>
      <c r="IA5">
        <v>247.30838166564081</v>
      </c>
      <c r="IB5">
        <v>90.876502702378644</v>
      </c>
      <c r="IC5">
        <v>140.62570499288518</v>
      </c>
      <c r="ID5">
        <v>114.11927714530539</v>
      </c>
      <c r="IE5">
        <v>112.8900490408986</v>
      </c>
      <c r="IF5">
        <v>176.79320900129142</v>
      </c>
      <c r="IG5">
        <v>311.31239069211023</v>
      </c>
      <c r="IH5">
        <v>175.11321976431194</v>
      </c>
      <c r="II5">
        <v>308.79922726714574</v>
      </c>
      <c r="IJ5">
        <v>132.83111033183178</v>
      </c>
      <c r="IK5">
        <v>363.84024430267073</v>
      </c>
      <c r="IL5">
        <v>206.17745258373148</v>
      </c>
      <c r="IM5">
        <v>224.57058221568676</v>
      </c>
      <c r="IN5">
        <v>348.57339105882653</v>
      </c>
      <c r="IO5">
        <v>615.12559288581008</v>
      </c>
      <c r="IP5">
        <v>90.00045119544653</v>
      </c>
      <c r="IQ5">
        <v>245.5172896805862</v>
      </c>
      <c r="IR5">
        <v>139.4284031272596</v>
      </c>
      <c r="IS5">
        <v>120.17105699392008</v>
      </c>
      <c r="IT5">
        <v>118.87664255064323</v>
      </c>
      <c r="IU5">
        <v>186.1686064483296</v>
      </c>
      <c r="IV5">
        <v>327.82138110760093</v>
      </c>
      <c r="IW5">
        <v>184.39952687302542</v>
      </c>
      <c r="IX5">
        <v>325.17494386464585</v>
      </c>
      <c r="IY5">
        <v>133.54652609944597</v>
      </c>
      <c r="IZ5">
        <v>365.30291566070855</v>
      </c>
      <c r="JA5">
        <v>207.15521316799448</v>
      </c>
      <c r="JB5">
        <v>236.47962824227619</v>
      </c>
      <c r="JC5">
        <v>647.74588947823941</v>
      </c>
      <c r="JD5">
        <v>367.05834361497642</v>
      </c>
      <c r="JE5">
        <v>133.19822216424475</v>
      </c>
      <c r="JF5">
        <v>364.59080640484245</v>
      </c>
      <c r="JG5">
        <v>206.67918527680177</v>
      </c>
      <c r="JH5">
        <v>370.96257249846116</v>
      </c>
      <c r="JI5">
        <v>210.93855748932774</v>
      </c>
      <c r="JJ5">
        <v>136.31475405356795</v>
      </c>
      <c r="JK5">
        <v>368.27593452087933</v>
      </c>
      <c r="JL5">
        <v>135.00067679316979</v>
      </c>
      <c r="JM5">
        <v>209.14260469088941</v>
      </c>
      <c r="JN5">
        <v>133.54652609944603</v>
      </c>
      <c r="JO5">
        <v>365.30291566070855</v>
      </c>
      <c r="JP5">
        <v>207.15521316799456</v>
      </c>
      <c r="JQ5">
        <v>112.89004904089857</v>
      </c>
      <c r="JR5">
        <v>225.78009808179715</v>
      </c>
      <c r="JS5">
        <v>175.11321976431191</v>
      </c>
      <c r="JT5">
        <v>350.22643952862381</v>
      </c>
      <c r="JU5">
        <v>617.59845453429125</v>
      </c>
      <c r="JV5">
        <v>308.79922726714562</v>
      </c>
      <c r="JW5">
        <v>261.96497589792284</v>
      </c>
      <c r="JX5">
        <v>720.12145193420656</v>
      </c>
      <c r="JY5">
        <v>407.30187116128036</v>
      </c>
      <c r="JZ5">
        <v>727.68048860534122</v>
      </c>
      <c r="KA5">
        <v>412.35490516746285</v>
      </c>
      <c r="KB5">
        <v>265.66222066366345</v>
      </c>
      <c r="KC5">
        <v>724.09221539783175</v>
      </c>
      <c r="KD5">
        <v>263.90713930717624</v>
      </c>
      <c r="KE5">
        <v>409.95623092762798</v>
      </c>
      <c r="KF5">
        <v>118.87664255064321</v>
      </c>
      <c r="KG5">
        <v>237.75328510128642</v>
      </c>
      <c r="KH5">
        <v>650.34988772929159</v>
      </c>
      <c r="KI5">
        <v>368.79905374605084</v>
      </c>
      <c r="KJ5">
        <v>184.39952687302542</v>
      </c>
      <c r="KK5">
        <v>325.1749438646458</v>
      </c>
      <c r="KL5">
        <v>224.57058221568678</v>
      </c>
      <c r="KM5">
        <v>348.57339105882659</v>
      </c>
      <c r="KN5">
        <v>615.12559288581008</v>
      </c>
      <c r="KO5">
        <v>90.876502702378659</v>
      </c>
      <c r="KP5">
        <v>140.62570499288518</v>
      </c>
      <c r="KQ5">
        <v>247.30838166564078</v>
      </c>
      <c r="KR5">
        <v>729.18161280968479</v>
      </c>
      <c r="KS5">
        <v>266.39644432848945</v>
      </c>
      <c r="KT5">
        <v>413.35837055360355</v>
      </c>
      <c r="KU5">
        <v>114.1192771453054</v>
      </c>
      <c r="KV5">
        <v>176.79320900129142</v>
      </c>
      <c r="KW5">
        <v>311.31239069211023</v>
      </c>
      <c r="KX5">
        <v>236.47962824227622</v>
      </c>
      <c r="KY5">
        <v>367.05834361497648</v>
      </c>
      <c r="KZ5">
        <v>647.74588947823941</v>
      </c>
      <c r="LA5">
        <v>120.17105699392008</v>
      </c>
      <c r="LB5">
        <v>186.1686064483296</v>
      </c>
      <c r="LC5">
        <v>327.82138110760087</v>
      </c>
      <c r="LD5">
        <v>133.546526099446</v>
      </c>
      <c r="LE5">
        <v>730.60583132141699</v>
      </c>
      <c r="LF5">
        <v>267.093052198892</v>
      </c>
      <c r="LG5">
        <v>414.31042633598901</v>
      </c>
      <c r="LH5">
        <v>207.1552131679945</v>
      </c>
      <c r="LI5">
        <v>365.30291566070849</v>
      </c>
      <c r="LJ5">
        <v>225.78009808179715</v>
      </c>
      <c r="LK5">
        <v>350.22643952862381</v>
      </c>
      <c r="LL5">
        <v>617.59845453429136</v>
      </c>
      <c r="LM5">
        <v>136.31475405356798</v>
      </c>
      <c r="LN5">
        <v>370.96257249846121</v>
      </c>
      <c r="LO5">
        <v>210.93855748932776</v>
      </c>
      <c r="LP5">
        <v>225.78009808179718</v>
      </c>
      <c r="LQ5">
        <v>350.22643952862393</v>
      </c>
      <c r="LR5">
        <v>617.59845453429148</v>
      </c>
      <c r="LS5">
        <v>265.6622206636635</v>
      </c>
      <c r="LT5">
        <v>727.68048860534134</v>
      </c>
      <c r="LU5">
        <v>412.3549051674629</v>
      </c>
      <c r="LV5">
        <v>237.75328510128642</v>
      </c>
      <c r="LW5">
        <v>368.79905374605084</v>
      </c>
      <c r="LX5">
        <v>650.34988772929159</v>
      </c>
      <c r="LY5">
        <v>135.00067679316979</v>
      </c>
      <c r="LZ5">
        <v>209.14260469088944</v>
      </c>
      <c r="MA5">
        <v>368.27593452087933</v>
      </c>
      <c r="MB5">
        <v>237.75328510128645</v>
      </c>
      <c r="MC5">
        <v>368.7990537460509</v>
      </c>
      <c r="MD5">
        <v>650.34988772929171</v>
      </c>
      <c r="ME5">
        <v>228.23855429061072</v>
      </c>
      <c r="MF5">
        <v>353.58641800258277</v>
      </c>
      <c r="MG5">
        <v>622.62478138422023</v>
      </c>
      <c r="MH5">
        <v>263.90713930717635</v>
      </c>
      <c r="MI5">
        <v>409.95623092762804</v>
      </c>
      <c r="MJ5">
        <v>724.09221539783198</v>
      </c>
      <c r="MK5">
        <v>266.39644432848951</v>
      </c>
      <c r="ML5">
        <v>729.18161280968491</v>
      </c>
      <c r="MM5">
        <v>413.35837055360355</v>
      </c>
      <c r="MN5">
        <v>240.34211398784009</v>
      </c>
      <c r="MO5">
        <v>372.33721289665914</v>
      </c>
      <c r="MP5">
        <v>655.64276221520163</v>
      </c>
      <c r="MQ5">
        <v>224.57058221568678</v>
      </c>
      <c r="MR5">
        <v>348.57339105882659</v>
      </c>
      <c r="MS5">
        <v>615.12559288581019</v>
      </c>
      <c r="MT5">
        <v>267.093052198892</v>
      </c>
      <c r="MU5">
        <v>730.60583132141699</v>
      </c>
      <c r="MV5">
        <v>414.31042633598906</v>
      </c>
      <c r="MW5">
        <v>267.093052198892</v>
      </c>
      <c r="MX5">
        <v>730.6058313214171</v>
      </c>
      <c r="MY5">
        <v>414.31042633598912</v>
      </c>
      <c r="MZ5">
        <v>236.47962824227622</v>
      </c>
      <c r="NA5">
        <v>367.05834361497642</v>
      </c>
      <c r="NB5">
        <v>647.74588947823952</v>
      </c>
    </row>
    <row r="6" spans="1:403" x14ac:dyDescent="0.25">
      <c r="A6">
        <v>3.125</v>
      </c>
      <c r="B6">
        <v>3.125</v>
      </c>
      <c r="C6">
        <v>3.125</v>
      </c>
      <c r="D6">
        <v>3.125</v>
      </c>
      <c r="E6">
        <v>3.125</v>
      </c>
      <c r="F6">
        <v>3.125</v>
      </c>
      <c r="G6">
        <v>3.125</v>
      </c>
      <c r="H6">
        <v>3.125</v>
      </c>
      <c r="I6">
        <v>3.125</v>
      </c>
      <c r="J6">
        <v>6.5466448445171848</v>
      </c>
      <c r="K6">
        <v>6.5466448445171848</v>
      </c>
      <c r="L6">
        <v>6.5466448445171848</v>
      </c>
      <c r="M6">
        <v>4.658385093167702</v>
      </c>
      <c r="N6">
        <v>4.658385093167702</v>
      </c>
      <c r="O6">
        <v>4.658385093167702</v>
      </c>
      <c r="P6">
        <v>3.125</v>
      </c>
      <c r="Q6">
        <v>3.125</v>
      </c>
      <c r="R6">
        <v>3.125</v>
      </c>
      <c r="S6">
        <v>6.5466448445171848</v>
      </c>
      <c r="T6">
        <v>6.5466448445171848</v>
      </c>
      <c r="U6">
        <v>6.5466448445171848</v>
      </c>
      <c r="V6">
        <v>3.125</v>
      </c>
      <c r="W6">
        <v>3.125</v>
      </c>
      <c r="X6">
        <v>3.125</v>
      </c>
      <c r="Y6">
        <v>3.125</v>
      </c>
      <c r="Z6">
        <v>3.125</v>
      </c>
      <c r="AA6">
        <v>3.125</v>
      </c>
      <c r="AB6">
        <v>3.125</v>
      </c>
      <c r="AC6">
        <v>3.125</v>
      </c>
      <c r="AD6">
        <v>3.125</v>
      </c>
      <c r="AE6">
        <v>4.658385093167702</v>
      </c>
      <c r="AF6">
        <v>4.658385093167702</v>
      </c>
      <c r="AG6">
        <v>4.658385093167702</v>
      </c>
      <c r="AH6">
        <v>6.5466448445171848</v>
      </c>
      <c r="AI6">
        <v>6.5466448445171848</v>
      </c>
      <c r="AJ6">
        <v>6.5466448445171848</v>
      </c>
      <c r="AK6">
        <v>3.125</v>
      </c>
      <c r="AL6">
        <v>3.125</v>
      </c>
      <c r="AM6">
        <v>3.125</v>
      </c>
      <c r="AN6">
        <v>4.658385093167702</v>
      </c>
      <c r="AO6">
        <v>4.658385093167702</v>
      </c>
      <c r="AP6">
        <v>4.658385093167702</v>
      </c>
      <c r="AQ6">
        <v>3.125</v>
      </c>
      <c r="AR6">
        <v>3.125</v>
      </c>
      <c r="AS6">
        <v>3.125</v>
      </c>
      <c r="AT6">
        <v>3.125</v>
      </c>
      <c r="AU6">
        <v>3.125</v>
      </c>
      <c r="AV6">
        <v>3.125</v>
      </c>
      <c r="AW6">
        <v>6.5466448445171848</v>
      </c>
      <c r="AX6">
        <v>6.5466448445171848</v>
      </c>
      <c r="AY6">
        <v>6.5466448445171848</v>
      </c>
      <c r="AZ6">
        <v>3.125</v>
      </c>
      <c r="BA6">
        <v>3.125</v>
      </c>
      <c r="BB6">
        <v>3.125</v>
      </c>
      <c r="BC6">
        <v>6.5466448445171848</v>
      </c>
      <c r="BD6">
        <v>6.5466448445171848</v>
      </c>
      <c r="BE6">
        <v>6.5466448445171848</v>
      </c>
      <c r="BF6">
        <v>3.125</v>
      </c>
      <c r="BG6">
        <v>3.125</v>
      </c>
      <c r="BH6">
        <v>3.125</v>
      </c>
      <c r="BI6">
        <v>4.658385093167702</v>
      </c>
      <c r="BJ6">
        <v>4.658385093167702</v>
      </c>
      <c r="BK6">
        <v>4.658385093167702</v>
      </c>
      <c r="BL6">
        <v>6.5466448445171848</v>
      </c>
      <c r="BM6">
        <v>6.5466448445171848</v>
      </c>
      <c r="BN6">
        <v>6.5466448445171848</v>
      </c>
      <c r="BO6">
        <v>4.658385093167702</v>
      </c>
      <c r="BP6">
        <v>4.658385093167702</v>
      </c>
      <c r="BQ6">
        <v>4.658385093167702</v>
      </c>
      <c r="BR6">
        <v>6.5466448445171848</v>
      </c>
      <c r="BS6">
        <v>6.5466448445171848</v>
      </c>
      <c r="BT6">
        <v>6.5466448445171848</v>
      </c>
      <c r="BU6">
        <v>3.125</v>
      </c>
      <c r="BV6">
        <v>3.125</v>
      </c>
      <c r="BW6">
        <v>3.125</v>
      </c>
      <c r="BX6">
        <v>4.658385093167702</v>
      </c>
      <c r="BY6">
        <v>4.658385093167702</v>
      </c>
      <c r="BZ6">
        <v>4.658385093167702</v>
      </c>
      <c r="CA6">
        <v>3.125</v>
      </c>
      <c r="CB6">
        <v>3.125</v>
      </c>
      <c r="CC6">
        <v>3.125</v>
      </c>
      <c r="CD6">
        <v>4.658385093167702</v>
      </c>
      <c r="CE6">
        <v>4.658385093167702</v>
      </c>
      <c r="CF6">
        <v>4.658385093167702</v>
      </c>
      <c r="CG6">
        <v>6.5466448445171848</v>
      </c>
      <c r="CH6">
        <v>6.5466448445171848</v>
      </c>
      <c r="CI6">
        <v>6.5466448445171848</v>
      </c>
      <c r="CJ6">
        <v>3.125</v>
      </c>
      <c r="CK6">
        <v>3.125</v>
      </c>
      <c r="CL6">
        <v>3.125</v>
      </c>
      <c r="CM6">
        <v>3.125</v>
      </c>
      <c r="CN6">
        <v>3.125</v>
      </c>
      <c r="CO6">
        <v>3.125</v>
      </c>
      <c r="CP6">
        <v>4.658385093167702</v>
      </c>
      <c r="CQ6">
        <v>4.658385093167702</v>
      </c>
      <c r="CR6">
        <v>4.658385093167702</v>
      </c>
      <c r="CS6">
        <v>6.5466448445171848</v>
      </c>
      <c r="CT6">
        <v>6.5466448445171848</v>
      </c>
      <c r="CU6">
        <v>6.5466448445171848</v>
      </c>
      <c r="CV6">
        <v>6.5466448445171848</v>
      </c>
      <c r="CW6">
        <v>6.5466448445171848</v>
      </c>
      <c r="CX6">
        <v>6.5466448445171848</v>
      </c>
      <c r="CY6">
        <v>3.125</v>
      </c>
      <c r="CZ6">
        <v>3.125</v>
      </c>
      <c r="DA6">
        <v>3.125</v>
      </c>
      <c r="DB6">
        <v>3.125</v>
      </c>
      <c r="DC6">
        <v>3.125</v>
      </c>
      <c r="DD6">
        <v>3.125</v>
      </c>
      <c r="DE6">
        <v>3.125</v>
      </c>
      <c r="DF6">
        <v>3.125</v>
      </c>
      <c r="DG6">
        <v>3.125</v>
      </c>
      <c r="DH6">
        <v>3.125</v>
      </c>
      <c r="DI6">
        <v>3.125</v>
      </c>
      <c r="DJ6">
        <v>3.125</v>
      </c>
      <c r="DK6">
        <v>4.658385093167702</v>
      </c>
      <c r="DL6">
        <v>4.658385093167702</v>
      </c>
      <c r="DM6">
        <v>4.658385093167702</v>
      </c>
      <c r="DN6">
        <v>4.658385093167702</v>
      </c>
      <c r="DO6">
        <v>4.658385093167702</v>
      </c>
      <c r="DP6">
        <v>4.658385093167702</v>
      </c>
      <c r="DQ6">
        <v>6.5466448445171848</v>
      </c>
      <c r="DR6">
        <v>6.5466448445171848</v>
      </c>
      <c r="DS6">
        <v>6.5466448445171848</v>
      </c>
      <c r="DT6">
        <v>3.125</v>
      </c>
      <c r="DU6">
        <v>3.125</v>
      </c>
      <c r="DV6">
        <v>3.125</v>
      </c>
      <c r="DW6">
        <v>6.5466448445171848</v>
      </c>
      <c r="DX6">
        <v>6.5466448445171848</v>
      </c>
      <c r="DY6">
        <v>6.5466448445171848</v>
      </c>
      <c r="DZ6">
        <v>6.5466448445171848</v>
      </c>
      <c r="EA6">
        <v>6.5466448445171848</v>
      </c>
      <c r="EB6">
        <v>6.5466448445171848</v>
      </c>
      <c r="EC6">
        <v>3.125</v>
      </c>
      <c r="ED6">
        <v>3.125</v>
      </c>
      <c r="EE6">
        <v>3.125</v>
      </c>
      <c r="EF6">
        <v>4.658385093167702</v>
      </c>
      <c r="EG6">
        <v>4.658385093167702</v>
      </c>
      <c r="EH6">
        <v>4.658385093167702</v>
      </c>
      <c r="EI6">
        <v>4.658385093167702</v>
      </c>
      <c r="EJ6">
        <v>4.658385093167702</v>
      </c>
      <c r="EK6">
        <v>4.658385093167702</v>
      </c>
      <c r="EL6">
        <v>4.658385093167702</v>
      </c>
      <c r="EM6">
        <v>4.658385093167702</v>
      </c>
      <c r="EN6">
        <v>4.658385093167702</v>
      </c>
      <c r="EO6">
        <v>3.125</v>
      </c>
      <c r="EP6">
        <v>3.125</v>
      </c>
      <c r="EQ6">
        <v>3.125</v>
      </c>
      <c r="ER6">
        <v>3.125</v>
      </c>
      <c r="ES6">
        <v>3.125</v>
      </c>
      <c r="ET6">
        <v>3.125</v>
      </c>
      <c r="EU6">
        <v>6.5466448445171848</v>
      </c>
      <c r="EV6">
        <v>6.5466448445171848</v>
      </c>
      <c r="EW6">
        <v>6.5466448445171848</v>
      </c>
      <c r="EX6">
        <v>3.125</v>
      </c>
      <c r="EY6">
        <v>3.125</v>
      </c>
      <c r="EZ6">
        <v>3.125</v>
      </c>
      <c r="FA6">
        <v>3.125</v>
      </c>
      <c r="FB6">
        <v>3.125</v>
      </c>
      <c r="FC6">
        <v>3.125</v>
      </c>
      <c r="FD6">
        <v>6.5466448445171848</v>
      </c>
      <c r="FE6">
        <v>6.5466448445171848</v>
      </c>
      <c r="FF6">
        <v>6.5466448445171848</v>
      </c>
      <c r="FG6">
        <v>3.125</v>
      </c>
      <c r="FH6">
        <v>3.125</v>
      </c>
      <c r="FI6">
        <v>3.125</v>
      </c>
      <c r="FJ6">
        <v>4.658385093167702</v>
      </c>
      <c r="FK6">
        <v>4.658385093167702</v>
      </c>
      <c r="FL6">
        <v>4.658385093167702</v>
      </c>
      <c r="FM6">
        <v>3.125</v>
      </c>
      <c r="FN6">
        <v>3.125</v>
      </c>
      <c r="FO6">
        <v>3.125</v>
      </c>
      <c r="FP6">
        <v>3.125</v>
      </c>
      <c r="FQ6">
        <v>3.125</v>
      </c>
      <c r="FR6">
        <v>3.125</v>
      </c>
      <c r="FS6">
        <v>3.125</v>
      </c>
      <c r="FT6">
        <v>3.125</v>
      </c>
      <c r="FU6">
        <v>3.125</v>
      </c>
      <c r="FV6">
        <v>4.658385093167702</v>
      </c>
      <c r="FW6">
        <v>4.658385093167702</v>
      </c>
      <c r="FX6">
        <v>4.658385093167702</v>
      </c>
      <c r="FY6">
        <v>6.5466448445171848</v>
      </c>
      <c r="FZ6">
        <v>6.5466448445171848</v>
      </c>
      <c r="GA6">
        <v>6.5466448445171848</v>
      </c>
      <c r="GB6">
        <v>6.5466448445171848</v>
      </c>
      <c r="GC6">
        <v>6.5466448445171848</v>
      </c>
      <c r="GD6">
        <v>6.5466448445171848</v>
      </c>
      <c r="GE6">
        <v>3.125</v>
      </c>
      <c r="GF6">
        <v>3.125</v>
      </c>
      <c r="GG6">
        <v>3.125</v>
      </c>
      <c r="GH6">
        <v>3.125</v>
      </c>
      <c r="GI6">
        <v>3.125</v>
      </c>
      <c r="GJ6">
        <v>3.125</v>
      </c>
      <c r="GK6">
        <v>4.658385093167702</v>
      </c>
      <c r="GL6">
        <v>4.658385093167702</v>
      </c>
      <c r="GM6">
        <v>4.658385093167702</v>
      </c>
      <c r="GN6">
        <v>4.658385093167702</v>
      </c>
      <c r="GO6">
        <v>4.658385093167702</v>
      </c>
      <c r="GP6">
        <v>4.658385093167702</v>
      </c>
      <c r="GQ6">
        <v>6.5466448445171848</v>
      </c>
      <c r="GR6">
        <v>6.5466448445171848</v>
      </c>
      <c r="GS6">
        <v>6.5466448445171848</v>
      </c>
      <c r="GT6">
        <v>3.125</v>
      </c>
      <c r="GU6">
        <v>3.125</v>
      </c>
      <c r="GV6">
        <v>3.125</v>
      </c>
      <c r="GW6">
        <v>3.125</v>
      </c>
      <c r="GX6">
        <v>3.125</v>
      </c>
      <c r="GY6">
        <v>3.125</v>
      </c>
      <c r="GZ6">
        <v>6.5466448445171848</v>
      </c>
      <c r="HA6">
        <v>6.5466448445171848</v>
      </c>
      <c r="HB6">
        <v>6.5466448445171848</v>
      </c>
      <c r="HC6">
        <v>4.658385093167702</v>
      </c>
      <c r="HD6">
        <v>4.658385093167702</v>
      </c>
      <c r="HE6">
        <v>4.658385093167702</v>
      </c>
      <c r="HF6">
        <v>6.5466448445171848</v>
      </c>
      <c r="HG6">
        <v>6.5466448445171848</v>
      </c>
      <c r="HH6">
        <v>6.5466448445171848</v>
      </c>
      <c r="HI6">
        <v>3.125</v>
      </c>
      <c r="HJ6">
        <v>3.125</v>
      </c>
      <c r="HK6">
        <v>3.125</v>
      </c>
      <c r="HL6">
        <v>4.658385093167702</v>
      </c>
      <c r="HM6">
        <v>4.658385093167702</v>
      </c>
      <c r="HN6">
        <v>4.658385093167702</v>
      </c>
      <c r="HO6">
        <v>3.125</v>
      </c>
      <c r="HP6">
        <v>3.125</v>
      </c>
      <c r="HQ6">
        <v>3.125</v>
      </c>
      <c r="HR6">
        <v>3.125</v>
      </c>
      <c r="HS6">
        <v>3.125</v>
      </c>
      <c r="HT6">
        <v>3.125</v>
      </c>
      <c r="HU6">
        <v>4.658385093167702</v>
      </c>
      <c r="HV6">
        <v>4.658385093167702</v>
      </c>
      <c r="HW6">
        <v>4.658385093167702</v>
      </c>
      <c r="HX6">
        <v>3.125</v>
      </c>
      <c r="HY6">
        <v>3.125</v>
      </c>
      <c r="HZ6">
        <v>3.125</v>
      </c>
      <c r="IA6">
        <v>3.125</v>
      </c>
      <c r="IB6">
        <v>3.125</v>
      </c>
      <c r="IC6">
        <v>3.125</v>
      </c>
      <c r="ID6">
        <v>6.5466448445171848</v>
      </c>
      <c r="IE6">
        <v>6.5466448445171848</v>
      </c>
      <c r="IF6">
        <v>6.5466448445171848</v>
      </c>
      <c r="IG6">
        <v>6.5466448445171848</v>
      </c>
      <c r="IH6">
        <v>6.5466448445171848</v>
      </c>
      <c r="II6">
        <v>6.5466448445171848</v>
      </c>
      <c r="IJ6">
        <v>3.125</v>
      </c>
      <c r="IK6">
        <v>3.125</v>
      </c>
      <c r="IL6">
        <v>3.125</v>
      </c>
      <c r="IM6">
        <v>6.5466448445171848</v>
      </c>
      <c r="IN6">
        <v>6.5466448445171848</v>
      </c>
      <c r="IO6">
        <v>6.5466448445171848</v>
      </c>
      <c r="IP6">
        <v>3.125</v>
      </c>
      <c r="IQ6">
        <v>3.125</v>
      </c>
      <c r="IR6">
        <v>3.125</v>
      </c>
      <c r="IS6">
        <v>4.658385093167702</v>
      </c>
      <c r="IT6">
        <v>4.658385093167702</v>
      </c>
      <c r="IU6">
        <v>4.658385093167702</v>
      </c>
      <c r="IV6">
        <v>4.658385093167702</v>
      </c>
      <c r="IW6">
        <v>4.658385093167702</v>
      </c>
      <c r="IX6">
        <v>4.658385093167702</v>
      </c>
      <c r="IY6">
        <v>3.125</v>
      </c>
      <c r="IZ6">
        <v>3.125</v>
      </c>
      <c r="JA6">
        <v>3.125</v>
      </c>
      <c r="JB6">
        <v>4.658385093167702</v>
      </c>
      <c r="JC6">
        <v>4.658385093167702</v>
      </c>
      <c r="JD6">
        <v>4.658385093167702</v>
      </c>
      <c r="JE6">
        <v>3.125</v>
      </c>
      <c r="JF6">
        <v>3.125</v>
      </c>
      <c r="JG6">
        <v>3.125</v>
      </c>
      <c r="JH6">
        <v>3.125</v>
      </c>
      <c r="JI6">
        <v>3.125</v>
      </c>
      <c r="JJ6">
        <v>3.125</v>
      </c>
      <c r="JK6">
        <v>3.125</v>
      </c>
      <c r="JL6">
        <v>3.125</v>
      </c>
      <c r="JM6">
        <v>3.125</v>
      </c>
      <c r="JN6">
        <v>3.125</v>
      </c>
      <c r="JO6">
        <v>3.125</v>
      </c>
      <c r="JP6">
        <v>3.125</v>
      </c>
      <c r="JQ6">
        <v>6.5466448445171848</v>
      </c>
      <c r="JR6">
        <v>6.5466448445171848</v>
      </c>
      <c r="JS6">
        <v>6.5466448445171848</v>
      </c>
      <c r="JT6">
        <v>6.5466448445171848</v>
      </c>
      <c r="JU6">
        <v>6.5466448445171848</v>
      </c>
      <c r="JV6">
        <v>6.5466448445171848</v>
      </c>
      <c r="JW6">
        <v>3.125</v>
      </c>
      <c r="JX6">
        <v>3.125</v>
      </c>
      <c r="JY6">
        <v>3.125</v>
      </c>
      <c r="JZ6">
        <v>3.125</v>
      </c>
      <c r="KA6">
        <v>3.125</v>
      </c>
      <c r="KB6">
        <v>3.125</v>
      </c>
      <c r="KC6">
        <v>3.125</v>
      </c>
      <c r="KD6">
        <v>3.125</v>
      </c>
      <c r="KE6">
        <v>3.125</v>
      </c>
      <c r="KF6">
        <v>4.658385093167702</v>
      </c>
      <c r="KG6">
        <v>4.658385093167702</v>
      </c>
      <c r="KH6">
        <v>4.658385093167702</v>
      </c>
      <c r="KI6">
        <v>4.658385093167702</v>
      </c>
      <c r="KJ6">
        <v>4.658385093167702</v>
      </c>
      <c r="KK6">
        <v>4.658385093167702</v>
      </c>
      <c r="KL6">
        <v>6.5466448445171848</v>
      </c>
      <c r="KM6">
        <v>6.5466448445171848</v>
      </c>
      <c r="KN6">
        <v>6.5466448445171848</v>
      </c>
      <c r="KO6">
        <v>3.125</v>
      </c>
      <c r="KP6">
        <v>3.125</v>
      </c>
      <c r="KQ6">
        <v>3.125</v>
      </c>
      <c r="KR6">
        <v>3.125</v>
      </c>
      <c r="KS6">
        <v>3.125</v>
      </c>
      <c r="KT6">
        <v>3.125</v>
      </c>
      <c r="KU6">
        <v>6.5466448445171848</v>
      </c>
      <c r="KV6">
        <v>6.5466448445171848</v>
      </c>
      <c r="KW6">
        <v>6.5466448445171848</v>
      </c>
      <c r="KX6">
        <v>4.658385093167702</v>
      </c>
      <c r="KY6">
        <v>4.658385093167702</v>
      </c>
      <c r="KZ6">
        <v>4.658385093167702</v>
      </c>
      <c r="LA6">
        <v>4.658385093167702</v>
      </c>
      <c r="LB6">
        <v>4.658385093167702</v>
      </c>
      <c r="LC6">
        <v>4.658385093167702</v>
      </c>
      <c r="LD6">
        <v>3.125</v>
      </c>
      <c r="LE6">
        <v>3.125</v>
      </c>
      <c r="LF6">
        <v>3.125</v>
      </c>
      <c r="LG6">
        <v>3.125</v>
      </c>
      <c r="LH6">
        <v>3.125</v>
      </c>
      <c r="LI6">
        <v>3.125</v>
      </c>
      <c r="LJ6">
        <v>6.5466448445171848</v>
      </c>
      <c r="LK6">
        <v>6.5466448445171848</v>
      </c>
      <c r="LL6">
        <v>6.5466448445171848</v>
      </c>
      <c r="LM6">
        <v>3.125</v>
      </c>
      <c r="LN6">
        <v>3.125</v>
      </c>
      <c r="LO6">
        <v>3.125</v>
      </c>
      <c r="LP6">
        <v>6.5466448445171848</v>
      </c>
      <c r="LQ6">
        <v>6.5466448445171848</v>
      </c>
      <c r="LR6">
        <v>6.5466448445171848</v>
      </c>
      <c r="LS6">
        <v>3.125</v>
      </c>
      <c r="LT6">
        <v>3.125</v>
      </c>
      <c r="LU6">
        <v>3.125</v>
      </c>
      <c r="LV6">
        <v>4.658385093167702</v>
      </c>
      <c r="LW6">
        <v>4.658385093167702</v>
      </c>
      <c r="LX6">
        <v>4.658385093167702</v>
      </c>
      <c r="LY6">
        <v>3.125</v>
      </c>
      <c r="LZ6">
        <v>3.125</v>
      </c>
      <c r="MA6">
        <v>3.125</v>
      </c>
      <c r="MB6">
        <v>4.658385093167702</v>
      </c>
      <c r="MC6">
        <v>4.658385093167702</v>
      </c>
      <c r="MD6">
        <v>4.658385093167702</v>
      </c>
      <c r="ME6">
        <v>6.5466448445171848</v>
      </c>
      <c r="MF6">
        <v>6.5466448445171848</v>
      </c>
      <c r="MG6">
        <v>6.5466448445171848</v>
      </c>
      <c r="MH6">
        <v>3.125</v>
      </c>
      <c r="MI6">
        <v>3.125</v>
      </c>
      <c r="MJ6">
        <v>3.125</v>
      </c>
      <c r="MK6">
        <v>3.125</v>
      </c>
      <c r="ML6">
        <v>3.125</v>
      </c>
      <c r="MM6">
        <v>3.125</v>
      </c>
      <c r="MN6">
        <v>4.658385093167702</v>
      </c>
      <c r="MO6">
        <v>4.658385093167702</v>
      </c>
      <c r="MP6">
        <v>4.658385093167702</v>
      </c>
      <c r="MQ6">
        <v>6.5466448445171848</v>
      </c>
      <c r="MR6">
        <v>6.5466448445171848</v>
      </c>
      <c r="MS6">
        <v>6.5466448445171848</v>
      </c>
      <c r="MT6">
        <v>3.125</v>
      </c>
      <c r="MU6">
        <v>3.125</v>
      </c>
      <c r="MV6">
        <v>3.125</v>
      </c>
      <c r="MW6">
        <v>3.125</v>
      </c>
      <c r="MX6">
        <v>3.125</v>
      </c>
      <c r="MY6">
        <v>3.125</v>
      </c>
      <c r="MZ6">
        <v>4.658385093167702</v>
      </c>
      <c r="NA6">
        <v>4.658385093167702</v>
      </c>
      <c r="NB6">
        <v>4.658385093167702</v>
      </c>
    </row>
    <row r="7" spans="1:403" x14ac:dyDescent="0.25">
      <c r="A7">
        <v>5.431283428847658E-2</v>
      </c>
      <c r="B7">
        <v>5.5206213148607797E-2</v>
      </c>
      <c r="C7">
        <v>5.5487022589972054E-2</v>
      </c>
      <c r="D7">
        <v>6.9275261602389587E-2</v>
      </c>
      <c r="E7">
        <v>7.0143501999400309E-2</v>
      </c>
      <c r="F7">
        <v>7.0331187541307072E-2</v>
      </c>
      <c r="G7">
        <v>7.3021082059909787E-2</v>
      </c>
      <c r="H7">
        <v>7.4354247365526857E-2</v>
      </c>
      <c r="I7">
        <v>7.4756244058557714E-2</v>
      </c>
      <c r="J7">
        <v>4.0338004853123839E-2</v>
      </c>
      <c r="K7">
        <v>4.0834877791066378E-2</v>
      </c>
      <c r="L7">
        <v>4.0842101356891057E-2</v>
      </c>
      <c r="M7">
        <v>6.1501096874093511E-2</v>
      </c>
      <c r="N7">
        <v>6.1886812708037302E-2</v>
      </c>
      <c r="O7">
        <v>6.1917103913913682E-2</v>
      </c>
      <c r="P7">
        <v>8.2579530488303549E-2</v>
      </c>
      <c r="Q7">
        <v>8.3830622693163784E-2</v>
      </c>
      <c r="R7">
        <v>8.4279200240387153E-2</v>
      </c>
      <c r="S7">
        <v>4.5765777320025909E-2</v>
      </c>
      <c r="T7">
        <v>4.6402504242727738E-2</v>
      </c>
      <c r="U7">
        <v>4.6433841910612624E-2</v>
      </c>
      <c r="V7">
        <v>9.445887951740313E-2</v>
      </c>
      <c r="W7">
        <v>9.5139263740673413E-2</v>
      </c>
      <c r="X7">
        <v>9.5209745107724369E-2</v>
      </c>
      <c r="Y7">
        <v>9.1177901244351683E-2</v>
      </c>
      <c r="Z7">
        <v>9.3068951197482985E-2</v>
      </c>
      <c r="AA7">
        <v>9.3619037848280656E-2</v>
      </c>
      <c r="AB7">
        <v>9.3171170904658762E-2</v>
      </c>
      <c r="AC7">
        <v>9.4415267128907812E-2</v>
      </c>
      <c r="AD7">
        <v>9.4621740889922798E-2</v>
      </c>
      <c r="AE7">
        <v>7.0938440937479849E-2</v>
      </c>
      <c r="AF7">
        <v>7.135341671544515E-2</v>
      </c>
      <c r="AG7">
        <v>7.1395070690106296E-2</v>
      </c>
      <c r="AH7">
        <v>5.0659162661873036E-2</v>
      </c>
      <c r="AI7">
        <v>5.1677236599250762E-2</v>
      </c>
      <c r="AJ7">
        <v>5.1983597291947403E-2</v>
      </c>
      <c r="AK7">
        <v>9.8730334872190809E-2</v>
      </c>
      <c r="AL7">
        <v>0.10090030897134429</v>
      </c>
      <c r="AM7">
        <v>0.10151623238771129</v>
      </c>
      <c r="AN7">
        <v>7.7641760840394314E-2</v>
      </c>
      <c r="AO7">
        <v>7.8330589618106794E-2</v>
      </c>
      <c r="AP7">
        <v>7.8499584095197139E-2</v>
      </c>
      <c r="AQ7">
        <v>0.10505531170799187</v>
      </c>
      <c r="AR7">
        <v>0.1062283123156799</v>
      </c>
      <c r="AS7">
        <v>0.10652462973610603</v>
      </c>
      <c r="AT7">
        <v>0.10596302769537012</v>
      </c>
      <c r="AU7">
        <v>0.10842204566413208</v>
      </c>
      <c r="AV7">
        <v>0.10910086580044616</v>
      </c>
      <c r="AW7">
        <v>5.4713293814222012E-2</v>
      </c>
      <c r="AX7">
        <v>5.5977154023605848E-2</v>
      </c>
      <c r="AY7">
        <v>5.628899091494096E-2</v>
      </c>
      <c r="AZ7">
        <v>0.11064393531830967</v>
      </c>
      <c r="BA7">
        <v>0.11251294804384221</v>
      </c>
      <c r="BB7">
        <v>0.11311251370360509</v>
      </c>
      <c r="BC7">
        <v>5.688682924627575E-2</v>
      </c>
      <c r="BD7">
        <v>5.8338553263159822E-2</v>
      </c>
      <c r="BE7">
        <v>5.8762857959689961E-2</v>
      </c>
      <c r="BF7">
        <v>0.11638194491520948</v>
      </c>
      <c r="BG7">
        <v>0.11807669647476987</v>
      </c>
      <c r="BH7">
        <v>0.11827060190022021</v>
      </c>
      <c r="BI7">
        <v>8.5495949990796141E-2</v>
      </c>
      <c r="BJ7">
        <v>8.630019421506302E-2</v>
      </c>
      <c r="BK7">
        <v>8.6411660473548368E-2</v>
      </c>
      <c r="BL7">
        <v>6.0254630119403518E-2</v>
      </c>
      <c r="BM7">
        <v>6.0864124692106482E-2</v>
      </c>
      <c r="BN7">
        <v>6.0960369243406906E-2</v>
      </c>
      <c r="BO7">
        <v>8.9114177296562638E-2</v>
      </c>
      <c r="BP7">
        <v>9.0033789242641687E-2</v>
      </c>
      <c r="BQ7">
        <v>9.019950323281406E-2</v>
      </c>
      <c r="BR7">
        <v>5.8980692198124726E-2</v>
      </c>
      <c r="BS7">
        <v>6.0128684774170611E-2</v>
      </c>
      <c r="BT7">
        <v>6.0236421092150071E-2</v>
      </c>
      <c r="BU7">
        <v>0.1270616475889659</v>
      </c>
      <c r="BV7">
        <v>0.12763116796715962</v>
      </c>
      <c r="BW7">
        <v>0.12799804773331247</v>
      </c>
      <c r="BX7">
        <v>9.2619164326835438E-2</v>
      </c>
      <c r="BY7">
        <v>9.2799106323544406E-2</v>
      </c>
      <c r="BZ7">
        <v>9.2991507159243661E-2</v>
      </c>
      <c r="CA7">
        <v>0.12597152985318955</v>
      </c>
      <c r="CB7">
        <v>0.12787655934638831</v>
      </c>
      <c r="CC7">
        <v>0.12803410494700954</v>
      </c>
      <c r="CD7">
        <v>9.3583405413079732E-2</v>
      </c>
      <c r="CE7">
        <v>9.4081433947642776E-2</v>
      </c>
      <c r="CF7">
        <v>9.432831264743799E-2</v>
      </c>
      <c r="CG7">
        <v>6.6959514343182744E-2</v>
      </c>
      <c r="CH7">
        <v>6.9502481845146957E-2</v>
      </c>
      <c r="CI7">
        <v>7.0749596015529978E-2</v>
      </c>
      <c r="CJ7">
        <v>0.12929873074017123</v>
      </c>
      <c r="CK7">
        <v>0.13149567002303011</v>
      </c>
      <c r="CL7">
        <v>0.13173778024752422</v>
      </c>
      <c r="CM7">
        <v>0.13513551879875879</v>
      </c>
      <c r="CN7">
        <v>0.13724784334252568</v>
      </c>
      <c r="CO7">
        <v>0.13735174638048478</v>
      </c>
      <c r="CP7">
        <v>0.10432637394196963</v>
      </c>
      <c r="CQ7">
        <v>0.10601127147966498</v>
      </c>
      <c r="CR7">
        <v>0.10668711268878124</v>
      </c>
      <c r="CS7">
        <v>6.7920845269306307E-2</v>
      </c>
      <c r="CT7">
        <v>6.8848899610570141E-2</v>
      </c>
      <c r="CU7">
        <v>6.8975543525095398E-2</v>
      </c>
      <c r="CV7">
        <v>6.7233550086890026E-2</v>
      </c>
      <c r="CW7">
        <v>6.9901505016120302E-2</v>
      </c>
      <c r="CX7">
        <v>7.1082711581220287E-2</v>
      </c>
      <c r="CY7" s="1">
        <v>0.14273162100416587</v>
      </c>
      <c r="CZ7">
        <v>0.14348157577589252</v>
      </c>
      <c r="DA7">
        <v>0.14365680028967526</v>
      </c>
      <c r="DB7">
        <v>0.13786043681776128</v>
      </c>
      <c r="DC7">
        <v>0.14046248290004767</v>
      </c>
      <c r="DD7">
        <v>0.1412078367078767</v>
      </c>
      <c r="DE7">
        <v>0.14081582489276614</v>
      </c>
      <c r="DF7">
        <v>0.14246231335559759</v>
      </c>
      <c r="DG7">
        <v>0.14270028232097687</v>
      </c>
      <c r="DH7">
        <v>0.13926425652968236</v>
      </c>
      <c r="DI7">
        <v>0.14326758453045854</v>
      </c>
      <c r="DJ7">
        <v>0.14423867981047894</v>
      </c>
      <c r="DK7">
        <v>0.10656672507904601</v>
      </c>
      <c r="DL7">
        <v>0.10676208326221215</v>
      </c>
      <c r="DM7">
        <v>0.10708628715236621</v>
      </c>
      <c r="DN7">
        <v>0.10694642368118347</v>
      </c>
      <c r="DO7">
        <v>0.10866592748492675</v>
      </c>
      <c r="DP7">
        <v>0.10923653343091597</v>
      </c>
      <c r="DQ7">
        <v>7.5003840880599637E-2</v>
      </c>
      <c r="DR7">
        <v>7.668359354837874E-2</v>
      </c>
      <c r="DS7">
        <v>7.7169245114411048E-2</v>
      </c>
      <c r="DT7">
        <v>0.14914497363113838</v>
      </c>
      <c r="DU7">
        <v>0.15210036043381103</v>
      </c>
      <c r="DV7">
        <v>0.15288879135574535</v>
      </c>
      <c r="DW7">
        <v>7.1956830624721316E-2</v>
      </c>
      <c r="DX7">
        <v>7.4896312457506428E-2</v>
      </c>
      <c r="DY7">
        <v>7.581631529151503E-2</v>
      </c>
      <c r="DZ7">
        <v>7.3518000325491398E-2</v>
      </c>
      <c r="EA7">
        <v>7.7291560269048834E-2</v>
      </c>
      <c r="EB7">
        <v>7.9190116340258243E-2</v>
      </c>
      <c r="EC7">
        <v>0.15860755739958593</v>
      </c>
      <c r="ED7">
        <v>0.158811006770569</v>
      </c>
      <c r="EE7">
        <v>0.15967179977550655</v>
      </c>
      <c r="EF7">
        <v>0.11653288326829039</v>
      </c>
      <c r="EG7">
        <v>0.11747624564667672</v>
      </c>
      <c r="EH7">
        <v>0.11754028763593061</v>
      </c>
      <c r="EI7">
        <v>0.11665441112147545</v>
      </c>
      <c r="EJ7">
        <v>0.1184664585684131</v>
      </c>
      <c r="EK7">
        <v>0.11850589829432441</v>
      </c>
      <c r="EL7">
        <v>0.11879019360671352</v>
      </c>
      <c r="EM7">
        <v>0.12096921126719293</v>
      </c>
      <c r="EN7">
        <v>0.12197020441328538</v>
      </c>
      <c r="EO7">
        <v>0.15992958723463155</v>
      </c>
      <c r="EP7">
        <v>0.16324028558231229</v>
      </c>
      <c r="EQ7">
        <v>0.1640559707826145</v>
      </c>
      <c r="ER7">
        <v>0.16428210429226955</v>
      </c>
      <c r="ES7">
        <v>0.16505447066337878</v>
      </c>
      <c r="ET7">
        <v>0.1658308507999624</v>
      </c>
      <c r="EU7">
        <v>8.0315860029363084E-2</v>
      </c>
      <c r="EV7">
        <v>8.2536091152414781E-2</v>
      </c>
      <c r="EW7">
        <v>8.3121399995621917E-2</v>
      </c>
      <c r="EX7">
        <v>0.16783232824523148</v>
      </c>
      <c r="EY7">
        <v>0.16986722258813866</v>
      </c>
      <c r="EZ7">
        <v>0.17061932346649628</v>
      </c>
      <c r="FA7">
        <v>0.17132639096169899</v>
      </c>
      <c r="FB7">
        <v>0.17144484835440796</v>
      </c>
      <c r="FC7">
        <v>0.17250774322401255</v>
      </c>
      <c r="FD7">
        <v>8.3218841709668243E-2</v>
      </c>
      <c r="FE7">
        <v>8.5815800173038234E-2</v>
      </c>
      <c r="FF7">
        <v>8.6642577361304679E-2</v>
      </c>
      <c r="FG7">
        <v>0.17540670115074131</v>
      </c>
      <c r="FH7">
        <v>0.17754620602021345</v>
      </c>
      <c r="FI7">
        <v>0.17759357122768402</v>
      </c>
      <c r="FJ7">
        <v>0.12788131079419382</v>
      </c>
      <c r="FK7">
        <v>0.12912150586276105</v>
      </c>
      <c r="FL7">
        <v>0.12913225053232344</v>
      </c>
      <c r="FM7">
        <v>0.17071512690606802</v>
      </c>
      <c r="FN7">
        <v>0.17652917965468523</v>
      </c>
      <c r="FO7">
        <v>0.1777121504134874</v>
      </c>
      <c r="FP7">
        <v>0.17783563187412435</v>
      </c>
      <c r="FQ7">
        <v>0.18066182495451399</v>
      </c>
      <c r="FR7">
        <v>0.18096037249468705</v>
      </c>
      <c r="FS7">
        <v>0.18309027136715258</v>
      </c>
      <c r="FT7">
        <v>0.18362219641085564</v>
      </c>
      <c r="FU7">
        <v>0.18464608935363144</v>
      </c>
      <c r="FV7">
        <v>0.13309944123574513</v>
      </c>
      <c r="FW7">
        <v>0.13459158802882487</v>
      </c>
      <c r="FX7">
        <v>0.1347330922523976</v>
      </c>
      <c r="FY7">
        <v>8.4069730307172921E-2</v>
      </c>
      <c r="FZ7">
        <v>8.5720324775118942E-2</v>
      </c>
      <c r="GA7">
        <v>8.8010299400089864E-2</v>
      </c>
      <c r="GB7">
        <v>8.8066337804051376E-2</v>
      </c>
      <c r="GC7">
        <v>9.0907154629845513E-2</v>
      </c>
      <c r="GD7">
        <v>9.4885078205473011E-2</v>
      </c>
      <c r="GE7">
        <v>0.19117445787084347</v>
      </c>
      <c r="GF7">
        <v>0.19125895248931371</v>
      </c>
      <c r="GG7">
        <v>0.19211553631741238</v>
      </c>
      <c r="GH7">
        <v>0.18959238692442446</v>
      </c>
      <c r="GI7">
        <v>0.1918059574511089</v>
      </c>
      <c r="GJ7">
        <v>0.19192296147503374</v>
      </c>
      <c r="GK7">
        <v>0.14009636869032041</v>
      </c>
      <c r="GL7">
        <v>0.1449171241782182</v>
      </c>
      <c r="GM7">
        <v>0.14732110127405759</v>
      </c>
      <c r="GN7">
        <v>0.13934517944276661</v>
      </c>
      <c r="GO7">
        <v>0.14000057063075624</v>
      </c>
      <c r="GP7">
        <v>0.1405925133995217</v>
      </c>
      <c r="GQ7">
        <v>9.6611803668857715E-2</v>
      </c>
      <c r="GR7">
        <v>0.10133227989760871</v>
      </c>
      <c r="GS7">
        <v>0.10381974552774907</v>
      </c>
      <c r="GT7">
        <v>0.19448797340752264</v>
      </c>
      <c r="GU7">
        <v>0.1971274879807576</v>
      </c>
      <c r="GV7">
        <v>0.1971807598963321</v>
      </c>
      <c r="GW7">
        <v>0.20307323628518512</v>
      </c>
      <c r="GX7">
        <v>0.20524337560517616</v>
      </c>
      <c r="GY7" s="1">
        <v>0.20556745662619713</v>
      </c>
      <c r="GZ7">
        <v>8.8219372198366258E-2</v>
      </c>
      <c r="HA7">
        <v>9.6177998793488512E-2</v>
      </c>
      <c r="HB7">
        <v>0.10052874254561894</v>
      </c>
      <c r="HC7">
        <v>0.15476984810147826</v>
      </c>
      <c r="HD7">
        <v>0.15786171384223299</v>
      </c>
      <c r="HE7">
        <v>0.15913581727752291</v>
      </c>
      <c r="HF7">
        <v>9.6139799351449368E-2</v>
      </c>
      <c r="HG7">
        <v>0.10124020132294144</v>
      </c>
      <c r="HH7">
        <v>0.10374992768756823</v>
      </c>
      <c r="HI7">
        <v>0.21218658443192082</v>
      </c>
      <c r="HJ7">
        <v>0.21383201512191488</v>
      </c>
      <c r="HK7">
        <v>0.21405348392007206</v>
      </c>
      <c r="HL7">
        <v>0.15147025965205088</v>
      </c>
      <c r="HM7">
        <v>0.15708445619651804</v>
      </c>
      <c r="HN7">
        <v>0.15965155415874366</v>
      </c>
      <c r="HO7">
        <v>0.21778749296235866</v>
      </c>
      <c r="HP7">
        <v>0.22140832578443054</v>
      </c>
      <c r="HQ7">
        <v>0.22183898011444078</v>
      </c>
      <c r="HR7">
        <v>0.20933288876523634</v>
      </c>
      <c r="HS7">
        <v>0.21441735725173725</v>
      </c>
      <c r="HT7">
        <v>0.21521454044343566</v>
      </c>
      <c r="HU7">
        <v>0.15812434314097301</v>
      </c>
      <c r="HV7">
        <v>0.16142834362146075</v>
      </c>
      <c r="HW7">
        <v>0.16262147354943476</v>
      </c>
      <c r="HX7">
        <v>0.22319319569391957</v>
      </c>
      <c r="HY7">
        <v>0.2260496918886134</v>
      </c>
      <c r="HZ7">
        <v>0.22673672972864384</v>
      </c>
      <c r="IA7">
        <v>0.21809807631827152</v>
      </c>
      <c r="IB7">
        <v>0.22107653323562448</v>
      </c>
      <c r="IC7">
        <v>0.22216740095456133</v>
      </c>
      <c r="ID7">
        <v>0.10091757506674781</v>
      </c>
      <c r="IE7">
        <v>0.10286438078566122</v>
      </c>
      <c r="IF7">
        <v>0.10685964111647557</v>
      </c>
      <c r="IG7">
        <v>0.10922273647943548</v>
      </c>
      <c r="IH7">
        <v>0.11030162374764486</v>
      </c>
      <c r="II7">
        <v>0.11446402501553968</v>
      </c>
      <c r="IJ7">
        <v>0.23610337054973662</v>
      </c>
      <c r="IK7">
        <v>0.23742265997750858</v>
      </c>
      <c r="IL7">
        <v>0.23810889432131987</v>
      </c>
      <c r="IM7">
        <v>0.11409265112167204</v>
      </c>
      <c r="IN7">
        <v>0.11657192873010538</v>
      </c>
      <c r="IO7">
        <v>0.11687282089258029</v>
      </c>
      <c r="IP7">
        <v>0.23755808767320544</v>
      </c>
      <c r="IQ7">
        <v>0.24076270829163257</v>
      </c>
      <c r="IR7">
        <v>0.24130291499330447</v>
      </c>
      <c r="IS7">
        <v>0.17100780567544283</v>
      </c>
      <c r="IT7">
        <v>0.17342603849223726</v>
      </c>
      <c r="IU7">
        <v>0.17488636381744749</v>
      </c>
      <c r="IV7">
        <v>0.17582102864259694</v>
      </c>
      <c r="IW7">
        <v>0.17853777166379556</v>
      </c>
      <c r="IX7">
        <v>0.18090683695400542</v>
      </c>
      <c r="IY7">
        <v>0.24462787268389286</v>
      </c>
      <c r="IZ7">
        <v>0.24545655515638648</v>
      </c>
      <c r="JA7">
        <v>0.24666604152255875</v>
      </c>
      <c r="JB7">
        <v>0.18262045811758276</v>
      </c>
      <c r="JC7">
        <v>0.18345489593581982</v>
      </c>
      <c r="JD7">
        <v>0.18388150051060903</v>
      </c>
      <c r="JE7">
        <v>0.25353107483226062</v>
      </c>
      <c r="JF7">
        <v>0.25583750358038188</v>
      </c>
      <c r="JG7">
        <v>0.25625274674052151</v>
      </c>
      <c r="JH7">
        <v>0.25498438127126827</v>
      </c>
      <c r="JI7">
        <v>0.2618545614895737</v>
      </c>
      <c r="JJ7">
        <v>0.26225608879329249</v>
      </c>
      <c r="JK7">
        <v>0.2649290791954404</v>
      </c>
      <c r="JL7" s="1">
        <v>0.26627285796410149</v>
      </c>
      <c r="JM7">
        <v>0.26798775660160029</v>
      </c>
      <c r="JN7">
        <v>0.26952708061101177</v>
      </c>
      <c r="JO7">
        <v>0.27301055110098488</v>
      </c>
      <c r="JP7">
        <v>0.27306509235264947</v>
      </c>
      <c r="JQ7">
        <v>0.10991809829609969</v>
      </c>
      <c r="JR7">
        <v>0.12323397223195511</v>
      </c>
      <c r="JS7">
        <v>0.12397203724588829</v>
      </c>
      <c r="JT7">
        <v>0.12762167795545104</v>
      </c>
      <c r="JU7">
        <v>0.1286764818370906</v>
      </c>
      <c r="JV7">
        <v>0.13308783355631645</v>
      </c>
      <c r="JW7">
        <v>0.28340846972474576</v>
      </c>
      <c r="JX7">
        <v>0.28449703184228442</v>
      </c>
      <c r="JY7">
        <v>0.28488594908446369</v>
      </c>
      <c r="JZ7">
        <v>0.27555233201152501</v>
      </c>
      <c r="KA7" s="1">
        <v>0.27910396568183193</v>
      </c>
      <c r="KB7">
        <v>0.27938485618530773</v>
      </c>
      <c r="KC7">
        <v>0.28097821157027258</v>
      </c>
      <c r="KD7">
        <v>0.28208895155708985</v>
      </c>
      <c r="KE7">
        <v>0.28276360516710497</v>
      </c>
      <c r="KF7">
        <v>0.1990254417037694</v>
      </c>
      <c r="KG7">
        <v>0.20650776268906518</v>
      </c>
      <c r="KH7">
        <v>0.20908852868429861</v>
      </c>
      <c r="KI7">
        <v>0.20915182626300893</v>
      </c>
      <c r="KJ7">
        <v>0.20941488817564227</v>
      </c>
      <c r="KK7">
        <v>0.21564193131630632</v>
      </c>
      <c r="KL7">
        <v>0.13297754074067145</v>
      </c>
      <c r="KM7">
        <v>0.13969142607928295</v>
      </c>
      <c r="KN7">
        <v>0.14305070238404849</v>
      </c>
      <c r="KO7">
        <v>0.28528836091486071</v>
      </c>
      <c r="KP7">
        <v>0.29227206919692561</v>
      </c>
      <c r="KQ7">
        <v>0.29302569788125093</v>
      </c>
      <c r="KR7">
        <v>0.29642304878383569</v>
      </c>
      <c r="KS7">
        <v>0.300151487293224</v>
      </c>
      <c r="KT7">
        <v>0.30020397444346292</v>
      </c>
      <c r="KU7">
        <v>0.10845636778283159</v>
      </c>
      <c r="KV7">
        <v>0.12559224946080186</v>
      </c>
      <c r="KW7">
        <v>0.13650699057593291</v>
      </c>
      <c r="KX7">
        <v>0.22311458030011119</v>
      </c>
      <c r="KY7">
        <v>0.22767435377118367</v>
      </c>
      <c r="KZ7">
        <v>0.22946164216003773</v>
      </c>
      <c r="LA7">
        <v>0.2100222107109492</v>
      </c>
      <c r="LB7">
        <v>0.2227193363497624</v>
      </c>
      <c r="LC7">
        <v>0.23022086476495593</v>
      </c>
      <c r="LD7">
        <v>0.315015025231764</v>
      </c>
      <c r="LE7">
        <v>0.31571377449886756</v>
      </c>
      <c r="LF7">
        <v>0.31920619847241538</v>
      </c>
      <c r="LG7">
        <v>0.31967507956509694</v>
      </c>
      <c r="LH7">
        <v>0.32251672270553139</v>
      </c>
      <c r="LI7">
        <v>0.32558097787520157</v>
      </c>
      <c r="LJ7">
        <v>0.13207622391392829</v>
      </c>
      <c r="LK7">
        <v>0.14195815598396291</v>
      </c>
      <c r="LL7">
        <v>0.14717951595313467</v>
      </c>
      <c r="LM7">
        <v>0.31900965977776607</v>
      </c>
      <c r="LN7">
        <v>0.32007389620895049</v>
      </c>
      <c r="LO7">
        <v>0.32308800465869281</v>
      </c>
      <c r="LP7">
        <v>0.131880896378891</v>
      </c>
      <c r="LQ7">
        <v>0.14357677914997932</v>
      </c>
      <c r="LR7">
        <v>0.1502361869094837</v>
      </c>
      <c r="LS7">
        <v>0.34265772853478987</v>
      </c>
      <c r="LT7">
        <v>0.34363285234349406</v>
      </c>
      <c r="LU7">
        <v>0.34500729419349918</v>
      </c>
      <c r="LV7">
        <v>0.23707911149371214</v>
      </c>
      <c r="LW7">
        <v>0.24409406096563604</v>
      </c>
      <c r="LX7">
        <v>0.24721290863792261</v>
      </c>
      <c r="LY7">
        <v>0.33897130652651486</v>
      </c>
      <c r="LZ7">
        <v>0.34739792130013009</v>
      </c>
      <c r="MA7">
        <v>0.34992143944215909</v>
      </c>
      <c r="MB7" s="1">
        <v>0.24270746193581594</v>
      </c>
      <c r="MC7">
        <v>0.25115209595359406</v>
      </c>
      <c r="MD7">
        <v>0.25538507465287624</v>
      </c>
      <c r="ME7">
        <v>0.12625270484052156</v>
      </c>
      <c r="MF7">
        <v>0.13849289718441266</v>
      </c>
      <c r="MG7">
        <v>0.14380205405842819</v>
      </c>
      <c r="MH7">
        <v>0.36449463608858862</v>
      </c>
      <c r="MI7">
        <v>0.36919044838064752</v>
      </c>
      <c r="MJ7">
        <v>0.37060506501701146</v>
      </c>
      <c r="MK7">
        <v>0.36451659849691304</v>
      </c>
      <c r="ML7">
        <v>0.36696594060772691</v>
      </c>
      <c r="MM7">
        <v>0.36793239554875323</v>
      </c>
      <c r="MN7">
        <v>0.24649714455697494</v>
      </c>
      <c r="MO7">
        <v>0.25509004213504027</v>
      </c>
      <c r="MP7">
        <v>0.25771915300790954</v>
      </c>
      <c r="MQ7">
        <v>0.12765828424965589</v>
      </c>
      <c r="MR7">
        <v>0.14846941646663361</v>
      </c>
      <c r="MS7">
        <v>0.16310885453206336</v>
      </c>
      <c r="MT7">
        <v>0.37163333786710312</v>
      </c>
      <c r="MU7">
        <v>0.37407010466442181</v>
      </c>
      <c r="MV7">
        <v>0.37530054466276486</v>
      </c>
      <c r="MW7">
        <v>0.3831013811865801</v>
      </c>
      <c r="MX7">
        <v>0.38739672823862864</v>
      </c>
      <c r="MY7">
        <v>0.3877733278190153</v>
      </c>
      <c r="MZ7">
        <v>0.26039916212182179</v>
      </c>
      <c r="NA7">
        <v>0.27596555758248886</v>
      </c>
      <c r="NB7">
        <v>0.28651504323852661</v>
      </c>
    </row>
    <row r="8" spans="1:403" x14ac:dyDescent="0.25">
      <c r="A8">
        <v>37.356741919999997</v>
      </c>
      <c r="B8">
        <v>37.971214060000001</v>
      </c>
      <c r="C8">
        <v>38.164356730000002</v>
      </c>
      <c r="D8">
        <v>38.145007790000001</v>
      </c>
      <c r="E8">
        <v>38.623086630000003</v>
      </c>
      <c r="F8">
        <v>38.726431839999996</v>
      </c>
      <c r="G8">
        <v>50.084168079999998</v>
      </c>
      <c r="H8">
        <v>50.998568050000003</v>
      </c>
      <c r="I8">
        <v>51.274292119999998</v>
      </c>
      <c r="J8">
        <v>31.246745050000001</v>
      </c>
      <c r="K8">
        <v>31.63163424</v>
      </c>
      <c r="L8">
        <v>31.637229779999998</v>
      </c>
      <c r="M8">
        <v>47.684476549999999</v>
      </c>
      <c r="N8">
        <v>47.98353882</v>
      </c>
      <c r="O8">
        <v>48.007024909999998</v>
      </c>
      <c r="P8">
        <v>37.865846980000001</v>
      </c>
      <c r="Q8">
        <v>38.439520209999998</v>
      </c>
      <c r="R8">
        <v>38.645210030000001</v>
      </c>
      <c r="S8">
        <v>18.08735613</v>
      </c>
      <c r="T8">
        <v>18.339000639999998</v>
      </c>
      <c r="U8">
        <v>18.351385780000001</v>
      </c>
      <c r="V8" s="1">
        <v>39.054236549999999</v>
      </c>
      <c r="W8">
        <v>39.335542940000003</v>
      </c>
      <c r="X8">
        <v>39.364683620000001</v>
      </c>
      <c r="Y8">
        <v>62.53768367</v>
      </c>
      <c r="Z8" s="1">
        <v>63.83472914</v>
      </c>
      <c r="AA8">
        <v>64.212026100000003</v>
      </c>
      <c r="AB8">
        <v>51.123868620000003</v>
      </c>
      <c r="AC8">
        <v>51.806515529999999</v>
      </c>
      <c r="AD8">
        <v>51.919809559999997</v>
      </c>
      <c r="AE8">
        <v>28.06206809</v>
      </c>
      <c r="AF8">
        <v>28.22622561</v>
      </c>
      <c r="AG8">
        <v>28.24270323</v>
      </c>
      <c r="AH8">
        <v>31.393398560000001</v>
      </c>
      <c r="AI8">
        <v>32.024297279999999</v>
      </c>
      <c r="AJ8">
        <v>32.214148489999999</v>
      </c>
      <c r="AK8">
        <v>49.751842830000001</v>
      </c>
      <c r="AL8">
        <v>50.845328539999997</v>
      </c>
      <c r="AM8">
        <v>51.155702499999997</v>
      </c>
      <c r="AN8">
        <v>48.159225159999998</v>
      </c>
      <c r="AO8">
        <v>48.586488269999997</v>
      </c>
      <c r="AP8">
        <v>48.691311280000001</v>
      </c>
      <c r="AQ8">
        <v>38.564374360000002</v>
      </c>
      <c r="AR8">
        <v>38.994966910000002</v>
      </c>
      <c r="AS8">
        <v>39.103740999999999</v>
      </c>
      <c r="AT8">
        <v>37.080914440000001</v>
      </c>
      <c r="AU8">
        <v>37.941428119999998</v>
      </c>
      <c r="AV8">
        <v>38.178975800000003</v>
      </c>
      <c r="AW8">
        <v>18.019626779999999</v>
      </c>
      <c r="AX8">
        <v>18.435874599999998</v>
      </c>
      <c r="AY8">
        <v>18.53857696</v>
      </c>
      <c r="AZ8">
        <v>50.592781309999999</v>
      </c>
      <c r="BA8">
        <v>51.447401599999999</v>
      </c>
      <c r="BB8">
        <v>51.721557560000001</v>
      </c>
      <c r="BC8">
        <v>17.986056829999999</v>
      </c>
      <c r="BD8">
        <v>18.445052189999998</v>
      </c>
      <c r="BE8">
        <v>18.57920571</v>
      </c>
      <c r="BF8">
        <v>63.859831360000001</v>
      </c>
      <c r="BG8">
        <v>64.789756949999997</v>
      </c>
      <c r="BH8">
        <v>64.896154620000004</v>
      </c>
      <c r="BI8">
        <v>28.18397607</v>
      </c>
      <c r="BJ8">
        <v>28.449097399999999</v>
      </c>
      <c r="BK8">
        <v>28.485842559999998</v>
      </c>
      <c r="BL8">
        <v>31.116413619999999</v>
      </c>
      <c r="BM8">
        <v>31.43116595</v>
      </c>
      <c r="BN8">
        <v>31.480868109999999</v>
      </c>
      <c r="BO8">
        <v>28.201669819999999</v>
      </c>
      <c r="BP8">
        <v>28.492696380000002</v>
      </c>
      <c r="BQ8">
        <v>28.545139339999999</v>
      </c>
      <c r="BR8">
        <v>23.310098660000001</v>
      </c>
      <c r="BS8">
        <v>23.763803410000001</v>
      </c>
      <c r="BT8">
        <v>23.806382500000002</v>
      </c>
      <c r="BU8">
        <v>52.289904890000003</v>
      </c>
      <c r="BV8">
        <v>52.524280619999999</v>
      </c>
      <c r="BW8">
        <v>52.675263299999997</v>
      </c>
      <c r="BX8">
        <v>47.874445540000004</v>
      </c>
      <c r="BY8">
        <v>47.967456779999999</v>
      </c>
      <c r="BZ8">
        <v>48.06690794</v>
      </c>
      <c r="CA8">
        <v>50.78330424</v>
      </c>
      <c r="CB8">
        <v>51.551284850000002</v>
      </c>
      <c r="CC8">
        <v>51.61479671</v>
      </c>
      <c r="CD8">
        <v>37.020039629999999</v>
      </c>
      <c r="CE8">
        <v>37.217051439999999</v>
      </c>
      <c r="CF8">
        <v>37.314712550000003</v>
      </c>
      <c r="CG8">
        <v>31.12102084</v>
      </c>
      <c r="CH8">
        <v>32.30292524</v>
      </c>
      <c r="CI8">
        <v>32.882551100000001</v>
      </c>
      <c r="CJ8">
        <v>37.705874940000001</v>
      </c>
      <c r="CK8">
        <v>38.346542620000001</v>
      </c>
      <c r="CL8">
        <v>38.417146389999999</v>
      </c>
      <c r="CM8">
        <v>37.831675590000003</v>
      </c>
      <c r="CN8">
        <v>38.423028459999998</v>
      </c>
      <c r="CO8">
        <v>38.452116490000002</v>
      </c>
      <c r="CP8">
        <v>48.53325735</v>
      </c>
      <c r="CQ8">
        <v>49.317081829999999</v>
      </c>
      <c r="CR8">
        <v>49.631487229999998</v>
      </c>
      <c r="CS8">
        <v>17.89559199</v>
      </c>
      <c r="CT8">
        <v>18.140113119999999</v>
      </c>
      <c r="CU8">
        <v>18.173480900000001</v>
      </c>
      <c r="CV8">
        <v>17.714503629999999</v>
      </c>
      <c r="CW8">
        <v>18.41744877</v>
      </c>
      <c r="CX8">
        <v>18.728669700000001</v>
      </c>
      <c r="CY8">
        <v>39.341806849999998</v>
      </c>
      <c r="CZ8">
        <v>39.548520510000003</v>
      </c>
      <c r="DA8">
        <v>39.596818489999997</v>
      </c>
      <c r="DB8">
        <v>63.037733709999998</v>
      </c>
      <c r="DC8">
        <v>64.22753908</v>
      </c>
      <c r="DD8">
        <v>64.568357779999999</v>
      </c>
      <c r="DE8">
        <v>51.511282309999999</v>
      </c>
      <c r="DF8">
        <v>52.113577769999999</v>
      </c>
      <c r="DG8">
        <v>52.200628260000002</v>
      </c>
      <c r="DH8">
        <v>48.734413250000003</v>
      </c>
      <c r="DI8">
        <v>50.135345880000003</v>
      </c>
      <c r="DJ8">
        <v>50.475172909999998</v>
      </c>
      <c r="DK8">
        <v>28.104016720000001</v>
      </c>
      <c r="DL8">
        <v>28.155537020000001</v>
      </c>
      <c r="DM8">
        <v>28.2410368</v>
      </c>
      <c r="DN8">
        <v>28.204148870000001</v>
      </c>
      <c r="DO8">
        <v>28.65762024</v>
      </c>
      <c r="DP8">
        <v>28.808101709999999</v>
      </c>
      <c r="DQ8">
        <v>30.98650335</v>
      </c>
      <c r="DR8">
        <v>31.6804633</v>
      </c>
      <c r="DS8">
        <v>31.881101610000002</v>
      </c>
      <c r="DT8">
        <v>50.104406760000003</v>
      </c>
      <c r="DU8">
        <v>51.097252169999997</v>
      </c>
      <c r="DV8">
        <v>51.36212106</v>
      </c>
      <c r="DW8">
        <v>22.75077838</v>
      </c>
      <c r="DX8">
        <v>23.680161999999999</v>
      </c>
      <c r="DY8">
        <v>23.97104169</v>
      </c>
      <c r="DZ8">
        <v>17.433283100000001</v>
      </c>
      <c r="EA8">
        <v>18.328105300000001</v>
      </c>
      <c r="EB8">
        <v>18.778308859999999</v>
      </c>
      <c r="EC8">
        <v>65.272049030000005</v>
      </c>
      <c r="ED8">
        <v>65.355774909999994</v>
      </c>
      <c r="EE8">
        <v>65.710018579999996</v>
      </c>
      <c r="EF8">
        <v>48.188271389999997</v>
      </c>
      <c r="EG8">
        <v>48.578367309999997</v>
      </c>
      <c r="EH8">
        <v>48.604849729999998</v>
      </c>
      <c r="EI8">
        <v>36.917236799999998</v>
      </c>
      <c r="EJ8">
        <v>28.11801711</v>
      </c>
      <c r="EK8">
        <v>37.503170840000003</v>
      </c>
      <c r="EL8">
        <v>37.593140839999997</v>
      </c>
      <c r="EM8">
        <v>28.712045530000001</v>
      </c>
      <c r="EN8">
        <v>28.949631279999998</v>
      </c>
      <c r="EO8">
        <v>37.310720349999997</v>
      </c>
      <c r="EP8">
        <v>38.083088629999999</v>
      </c>
      <c r="EQ8">
        <v>38.273383639999999</v>
      </c>
      <c r="ER8">
        <v>38.326135549999996</v>
      </c>
      <c r="ES8">
        <v>38.506324489999997</v>
      </c>
      <c r="ET8">
        <v>38.687449819999998</v>
      </c>
      <c r="EU8">
        <v>17.634493330000002</v>
      </c>
      <c r="EV8">
        <v>18.121976759999999</v>
      </c>
      <c r="EW8">
        <v>18.25048967</v>
      </c>
      <c r="EX8">
        <v>38.478744200000001</v>
      </c>
      <c r="EY8">
        <v>38.945282319999997</v>
      </c>
      <c r="EZ8">
        <v>39.117715709999999</v>
      </c>
      <c r="FA8">
        <v>51.800515959999998</v>
      </c>
      <c r="FB8">
        <v>51.836331540000003</v>
      </c>
      <c r="FC8">
        <v>52.157697689999999</v>
      </c>
      <c r="FD8">
        <v>17.541011820000001</v>
      </c>
      <c r="FE8">
        <v>18.088403230000001</v>
      </c>
      <c r="FF8">
        <v>18.262672760000001</v>
      </c>
      <c r="FG8">
        <v>64.164834519999999</v>
      </c>
      <c r="FH8">
        <v>64.947478369999999</v>
      </c>
      <c r="FI8">
        <v>64.964804849999993</v>
      </c>
      <c r="FJ8">
        <v>28.104284889999999</v>
      </c>
      <c r="FK8">
        <v>28.37684071</v>
      </c>
      <c r="FL8">
        <v>28.37920205</v>
      </c>
      <c r="FM8">
        <v>59.740393910000002</v>
      </c>
      <c r="FN8">
        <v>61.774975189999999</v>
      </c>
      <c r="FO8">
        <v>62.188946350000002</v>
      </c>
      <c r="FP8">
        <v>49.785726160000003</v>
      </c>
      <c r="FQ8" s="1">
        <v>50.576929100000001</v>
      </c>
      <c r="FR8">
        <v>50.660508559999997</v>
      </c>
      <c r="FS8">
        <v>38.442586069999997</v>
      </c>
      <c r="FT8">
        <v>38.554271819999997</v>
      </c>
      <c r="FU8">
        <v>38.769253710000001</v>
      </c>
      <c r="FV8" s="1">
        <v>28.081027500000001</v>
      </c>
      <c r="FW8">
        <v>28.395837350000001</v>
      </c>
      <c r="FX8">
        <v>28.4256916</v>
      </c>
      <c r="FY8">
        <v>16.612840869999999</v>
      </c>
      <c r="FZ8">
        <v>22.585348450000001</v>
      </c>
      <c r="GA8">
        <v>23.188704479999998</v>
      </c>
      <c r="GB8">
        <v>23.20346932</v>
      </c>
      <c r="GC8">
        <v>17.963969769999999</v>
      </c>
      <c r="GD8">
        <v>18.750038799999999</v>
      </c>
      <c r="GE8">
        <v>52.449575510000003</v>
      </c>
      <c r="GF8">
        <v>52.472756990000001</v>
      </c>
      <c r="GG8">
        <v>52.70776463</v>
      </c>
      <c r="GH8">
        <v>50.953988719999998</v>
      </c>
      <c r="GI8">
        <v>51.548897879999998</v>
      </c>
      <c r="GJ8">
        <v>51.58034335</v>
      </c>
      <c r="GK8">
        <v>27.709897380000001</v>
      </c>
      <c r="GL8">
        <v>28.663402749999999</v>
      </c>
      <c r="GM8">
        <v>29.13888944</v>
      </c>
      <c r="GN8">
        <v>36.74842452</v>
      </c>
      <c r="GO8">
        <v>36.921265759999997</v>
      </c>
      <c r="GP8">
        <v>37.077374239999997</v>
      </c>
      <c r="GQ8">
        <v>29.935083259999999</v>
      </c>
      <c r="GR8">
        <v>31.397718709999999</v>
      </c>
      <c r="GS8">
        <v>32.168457770000003</v>
      </c>
      <c r="GT8">
        <v>37.810833670000001</v>
      </c>
      <c r="GU8">
        <v>38.32398749</v>
      </c>
      <c r="GV8">
        <v>38.334344199999997</v>
      </c>
      <c r="GW8">
        <v>37.900722989999998</v>
      </c>
      <c r="GX8">
        <v>38.305748540000003</v>
      </c>
      <c r="GY8" s="1">
        <v>38.366233639999997</v>
      </c>
      <c r="GZ8">
        <v>20.919411350000001</v>
      </c>
      <c r="HA8">
        <v>22.806636109999999</v>
      </c>
      <c r="HB8">
        <v>23.83832559</v>
      </c>
      <c r="HC8">
        <v>47.999910180000001</v>
      </c>
      <c r="HD8">
        <v>48.958813220000003</v>
      </c>
      <c r="HE8">
        <v>49.353960280000003</v>
      </c>
      <c r="HF8">
        <v>16.887093050000001</v>
      </c>
      <c r="HG8">
        <v>17.78298594</v>
      </c>
      <c r="HH8">
        <v>18.22382296</v>
      </c>
      <c r="HI8">
        <v>38.945402870000002</v>
      </c>
      <c r="HJ8">
        <v>39.247410469999998</v>
      </c>
      <c r="HK8">
        <v>39.288059560000001</v>
      </c>
      <c r="HL8">
        <v>35.951470180000001</v>
      </c>
      <c r="HM8">
        <v>37.283999880000003</v>
      </c>
      <c r="HN8">
        <v>37.89330065</v>
      </c>
      <c r="HO8">
        <v>38.106496049999997</v>
      </c>
      <c r="HP8">
        <v>38.740036799999999</v>
      </c>
      <c r="HQ8">
        <v>38.815388820000003</v>
      </c>
      <c r="HR8">
        <v>48.836247299999997</v>
      </c>
      <c r="HS8">
        <v>50.022426699999997</v>
      </c>
      <c r="HT8">
        <v>50.208405290000002</v>
      </c>
      <c r="HU8">
        <v>27.80060246</v>
      </c>
      <c r="HV8">
        <v>28.381494700000001</v>
      </c>
      <c r="HW8" s="1">
        <v>28.59126462</v>
      </c>
      <c r="HX8">
        <v>51.0283935</v>
      </c>
      <c r="HY8">
        <v>51.68147081</v>
      </c>
      <c r="HZ8">
        <v>51.83854745</v>
      </c>
      <c r="IA8">
        <v>61.057342609999999</v>
      </c>
      <c r="IB8">
        <v>61.891172359999999</v>
      </c>
      <c r="IC8">
        <v>62.196564709999997</v>
      </c>
      <c r="ID8">
        <v>21.27158154</v>
      </c>
      <c r="IE8">
        <v>16.261449469999999</v>
      </c>
      <c r="IF8">
        <v>22.52406053</v>
      </c>
      <c r="IG8">
        <v>23.022157870000001</v>
      </c>
      <c r="IH8">
        <v>17.437175700000001</v>
      </c>
      <c r="II8">
        <v>18.095194320000001</v>
      </c>
      <c r="IJ8">
        <v>64.776025520000005</v>
      </c>
      <c r="IK8">
        <v>65.137978529999998</v>
      </c>
      <c r="IL8">
        <v>65.326250020000003</v>
      </c>
      <c r="IM8">
        <v>29.459596019999999</v>
      </c>
      <c r="IN8">
        <v>30.099764480000001</v>
      </c>
      <c r="IO8">
        <v>30.177457140000001</v>
      </c>
      <c r="IP8">
        <v>49.878932200000001</v>
      </c>
      <c r="IQ8">
        <v>50.551791020000003</v>
      </c>
      <c r="IR8">
        <v>50.665215629999999</v>
      </c>
      <c r="IS8">
        <v>36.078850889999998</v>
      </c>
      <c r="IT8">
        <v>27.44178325</v>
      </c>
      <c r="IU8">
        <v>36.897140559999997</v>
      </c>
      <c r="IV8">
        <v>37.094334089999997</v>
      </c>
      <c r="IW8">
        <v>28.250629920000002</v>
      </c>
      <c r="IX8">
        <v>28.625495059999999</v>
      </c>
      <c r="IY8">
        <v>38.046915490000004</v>
      </c>
      <c r="IZ8" s="1">
        <v>38.175800279999997</v>
      </c>
      <c r="JA8">
        <v>38.36391141</v>
      </c>
      <c r="JB8">
        <v>47.197862559999997</v>
      </c>
      <c r="JC8">
        <v>47.413521209999999</v>
      </c>
      <c r="JD8">
        <v>47.523776239999997</v>
      </c>
      <c r="JE8">
        <v>51.103395550000002</v>
      </c>
      <c r="JF8">
        <v>51.568294539999997</v>
      </c>
      <c r="JG8">
        <v>51.651993689999998</v>
      </c>
      <c r="JH8">
        <v>59.486497200000002</v>
      </c>
      <c r="JI8">
        <v>61.089273630000001</v>
      </c>
      <c r="JJ8">
        <v>61.182947810000002</v>
      </c>
      <c r="JK8">
        <v>49.445233780000002</v>
      </c>
      <c r="JL8">
        <v>49.696030919999998</v>
      </c>
      <c r="JM8">
        <v>50.016092290000003</v>
      </c>
      <c r="JN8">
        <v>37.727538869999997</v>
      </c>
      <c r="JO8">
        <v>38.215143930000004</v>
      </c>
      <c r="JP8">
        <v>38.222778439999999</v>
      </c>
      <c r="JQ8">
        <v>14.48045465</v>
      </c>
      <c r="JR8">
        <v>16.234669029999999</v>
      </c>
      <c r="JS8">
        <v>16.33190067</v>
      </c>
      <c r="JT8">
        <v>16.812699169999998</v>
      </c>
      <c r="JU8">
        <v>16.951657539999999</v>
      </c>
      <c r="JV8">
        <v>17.53280277</v>
      </c>
      <c r="JW8">
        <v>39.058623439999998</v>
      </c>
      <c r="JX8" s="1">
        <v>39.208646260000002</v>
      </c>
      <c r="JY8">
        <v>39.262245829999998</v>
      </c>
      <c r="JZ8">
        <v>62.99920024</v>
      </c>
      <c r="KA8">
        <v>63.811205999999999</v>
      </c>
      <c r="KB8">
        <v>63.875425659999998</v>
      </c>
      <c r="KC8">
        <v>51.391766480000001</v>
      </c>
      <c r="KD8">
        <v>51.59492419</v>
      </c>
      <c r="KE8">
        <v>51.718320380000002</v>
      </c>
      <c r="KF8">
        <v>26.24371884</v>
      </c>
      <c r="KG8">
        <v>27.230346109999999</v>
      </c>
      <c r="KH8">
        <v>27.570648819999999</v>
      </c>
      <c r="KI8">
        <v>27.57899531</v>
      </c>
      <c r="KJ8">
        <v>27.613682950000001</v>
      </c>
      <c r="KK8">
        <v>28.434787870000001</v>
      </c>
      <c r="KL8">
        <v>27.468653360000001</v>
      </c>
      <c r="KM8">
        <v>28.855514540000001</v>
      </c>
      <c r="KN8">
        <v>29.549427179999999</v>
      </c>
      <c r="KO8">
        <v>59.900628730000001</v>
      </c>
      <c r="KP8">
        <v>61.366964459999998</v>
      </c>
      <c r="KQ8">
        <v>61.525200259999998</v>
      </c>
      <c r="KR8">
        <v>49.79081979</v>
      </c>
      <c r="KS8">
        <v>50.417093659999999</v>
      </c>
      <c r="KT8">
        <v>50.425910039999998</v>
      </c>
      <c r="KU8">
        <v>17.14546601</v>
      </c>
      <c r="KV8">
        <v>19.854414160000001</v>
      </c>
      <c r="KW8">
        <v>21.57988521</v>
      </c>
      <c r="KX8">
        <v>46.130781480000003</v>
      </c>
      <c r="KY8">
        <v>47.073552290000002</v>
      </c>
      <c r="KZ8">
        <v>47.443088920000001</v>
      </c>
      <c r="LA8">
        <v>33.232518220000003</v>
      </c>
      <c r="LB8">
        <v>35.241626959999998</v>
      </c>
      <c r="LC8">
        <v>36.42861894</v>
      </c>
      <c r="LD8">
        <v>36.74566325</v>
      </c>
      <c r="LE8">
        <v>36.82717049</v>
      </c>
      <c r="LF8">
        <v>37.234552440000002</v>
      </c>
      <c r="LG8" s="1">
        <v>37.289246169999998</v>
      </c>
      <c r="LH8">
        <v>37.620716270000003</v>
      </c>
      <c r="LI8">
        <v>37.978153470000002</v>
      </c>
      <c r="LJ8">
        <v>14.49960997</v>
      </c>
      <c r="LK8">
        <v>15.58446958</v>
      </c>
      <c r="LL8">
        <v>16.157681629999999</v>
      </c>
      <c r="LM8">
        <v>59.538602760000003</v>
      </c>
      <c r="LN8">
        <v>59.737227310000002</v>
      </c>
      <c r="LO8">
        <v>60.299767660000001</v>
      </c>
      <c r="LP8">
        <v>13.899042059999999</v>
      </c>
      <c r="LQ8">
        <v>15.13168129</v>
      </c>
      <c r="LR8">
        <v>15.833522049999999</v>
      </c>
      <c r="LS8">
        <v>62.673137070000003</v>
      </c>
      <c r="LT8">
        <v>62.851490169999998</v>
      </c>
      <c r="LU8">
        <v>63.10287975</v>
      </c>
      <c r="LV8">
        <v>26.051261319999998</v>
      </c>
      <c r="LW8">
        <v>26.822093809999998</v>
      </c>
      <c r="LX8">
        <v>27.16480606</v>
      </c>
      <c r="LY8">
        <v>47.448119550000001</v>
      </c>
      <c r="LZ8">
        <v>48.62765014</v>
      </c>
      <c r="MA8">
        <v>48.980884140000001</v>
      </c>
      <c r="MB8">
        <v>25.602943369999998</v>
      </c>
      <c r="MC8">
        <v>26.493758530000001</v>
      </c>
      <c r="MD8">
        <v>26.9402908</v>
      </c>
      <c r="ME8">
        <v>16.63235259</v>
      </c>
      <c r="MF8">
        <v>18.244858199999999</v>
      </c>
      <c r="MG8">
        <v>18.944279009999999</v>
      </c>
      <c r="MH8">
        <v>50.000374399999998</v>
      </c>
      <c r="MI8">
        <v>50.64453305</v>
      </c>
      <c r="MJ8">
        <v>50.838586280000001</v>
      </c>
      <c r="MK8">
        <v>48.982912630000001</v>
      </c>
      <c r="ML8">
        <v>49.31204966</v>
      </c>
      <c r="MM8">
        <v>49.441919679999998</v>
      </c>
      <c r="MN8">
        <v>32.503391030000003</v>
      </c>
      <c r="MO8">
        <v>33.63646018</v>
      </c>
      <c r="MP8">
        <v>33.9831377</v>
      </c>
      <c r="MQ8">
        <v>19.77740412</v>
      </c>
      <c r="MR8">
        <v>23.001559719999999</v>
      </c>
      <c r="MS8">
        <v>25.269568289999999</v>
      </c>
      <c r="MT8">
        <v>36.125026339999998</v>
      </c>
      <c r="MU8">
        <v>36.361894929999998</v>
      </c>
      <c r="MV8">
        <v>36.481501199999997</v>
      </c>
      <c r="MW8">
        <v>35.750204189999998</v>
      </c>
      <c r="MX8">
        <v>36.151036820000002</v>
      </c>
      <c r="MY8">
        <v>36.186180290000003</v>
      </c>
      <c r="MZ8">
        <v>40.37975273</v>
      </c>
      <c r="NA8">
        <v>42.793613030000003</v>
      </c>
      <c r="NB8">
        <v>44.429507780000002</v>
      </c>
      <c r="NK8" s="1"/>
      <c r="OF8" s="1"/>
      <c r="OM8" s="1"/>
    </row>
    <row r="11" spans="1:403" x14ac:dyDescent="0.25">
      <c r="A11">
        <v>0.201025415181247</v>
      </c>
      <c r="B11">
        <v>3.134167472174247E-5</v>
      </c>
      <c r="C11">
        <v>2.4434840425531916E-6</v>
      </c>
      <c r="D11">
        <v>3.581429</v>
      </c>
      <c r="E11">
        <v>240.04048397806883</v>
      </c>
      <c r="F11">
        <v>3.125</v>
      </c>
      <c r="G11">
        <v>5.431283428847658E-2</v>
      </c>
      <c r="H11">
        <v>37.356741919999997</v>
      </c>
    </row>
    <row r="12" spans="1:403" x14ac:dyDescent="0.25">
      <c r="A12">
        <v>0.201025415181247</v>
      </c>
      <c r="B12">
        <v>3.134167472174247E-5</v>
      </c>
      <c r="C12">
        <v>2.4434840425531916E-6</v>
      </c>
      <c r="D12">
        <v>3.581429</v>
      </c>
      <c r="E12">
        <v>135.76729038709345</v>
      </c>
      <c r="F12">
        <v>3.125</v>
      </c>
      <c r="G12">
        <v>5.5206213148607797E-2</v>
      </c>
      <c r="H12">
        <v>37.971214060000001</v>
      </c>
    </row>
    <row r="13" spans="1:403" x14ac:dyDescent="0.25">
      <c r="A13">
        <v>0.201025415181247</v>
      </c>
      <c r="B13">
        <v>3.134167472174247E-5</v>
      </c>
      <c r="C13">
        <v>2.4434840425531916E-6</v>
      </c>
      <c r="D13">
        <v>3.581429</v>
      </c>
      <c r="E13">
        <v>87.321658632640947</v>
      </c>
      <c r="F13">
        <v>3.125</v>
      </c>
      <c r="G13">
        <v>5.5487022589972054E-2</v>
      </c>
      <c r="H13">
        <v>38.164356730000002</v>
      </c>
    </row>
    <row r="14" spans="1:403" x14ac:dyDescent="0.25">
      <c r="A14">
        <v>0.25110650276849067</v>
      </c>
      <c r="B14">
        <v>2.0086682520279301E-5</v>
      </c>
      <c r="C14">
        <v>2.4434840425531916E-6</v>
      </c>
      <c r="D14">
        <v>2.867143</v>
      </c>
      <c r="E14">
        <v>240.04048397806886</v>
      </c>
      <c r="F14">
        <v>3.125</v>
      </c>
      <c r="G14">
        <v>6.9275261602389587E-2</v>
      </c>
      <c r="H14">
        <v>38.145007790000001</v>
      </c>
    </row>
    <row r="15" spans="1:403" x14ac:dyDescent="0.25">
      <c r="A15">
        <v>0.25110650276849067</v>
      </c>
      <c r="B15">
        <v>2.0086682520279301E-5</v>
      </c>
      <c r="C15">
        <v>2.4434840425531916E-6</v>
      </c>
      <c r="D15">
        <v>2.867143</v>
      </c>
      <c r="E15">
        <v>135.76729038709348</v>
      </c>
      <c r="F15">
        <v>3.125</v>
      </c>
      <c r="G15">
        <v>7.0143501999400309E-2</v>
      </c>
      <c r="H15">
        <v>38.623086630000003</v>
      </c>
    </row>
    <row r="16" spans="1:403" x14ac:dyDescent="0.25">
      <c r="A16">
        <v>0.25110650276849067</v>
      </c>
      <c r="B16">
        <v>2.0086682520279301E-5</v>
      </c>
      <c r="C16">
        <v>2.4434840425531916E-6</v>
      </c>
      <c r="D16">
        <v>2.867143</v>
      </c>
      <c r="E16">
        <v>87.321658632640961</v>
      </c>
      <c r="F16">
        <v>3.125</v>
      </c>
      <c r="G16">
        <v>7.0331187541307072E-2</v>
      </c>
      <c r="H16">
        <v>38.726431839999996</v>
      </c>
    </row>
    <row r="17" spans="1:8" x14ac:dyDescent="0.25">
      <c r="A17">
        <v>0.2687843817016134</v>
      </c>
      <c r="B17">
        <v>3.1166895777925976E-5</v>
      </c>
      <c r="C17">
        <v>2.4434840425531916E-6</v>
      </c>
      <c r="D17">
        <v>3.5714290000000002</v>
      </c>
      <c r="E17">
        <v>241.36407179927733</v>
      </c>
      <c r="F17">
        <v>3.125</v>
      </c>
      <c r="G17">
        <v>7.3021082059909787E-2</v>
      </c>
      <c r="H17">
        <v>50.084168079999998</v>
      </c>
    </row>
    <row r="18" spans="1:8" x14ac:dyDescent="0.25">
      <c r="A18">
        <v>0.2687843817016134</v>
      </c>
      <c r="B18">
        <v>3.1166895777925976E-5</v>
      </c>
      <c r="C18">
        <v>2.4434840425531916E-6</v>
      </c>
      <c r="D18">
        <v>3.5714290000000002</v>
      </c>
      <c r="E18">
        <v>136.65207697587601</v>
      </c>
      <c r="F18">
        <v>3.125</v>
      </c>
      <c r="G18">
        <v>7.4354247365526857E-2</v>
      </c>
      <c r="H18">
        <v>50.998568050000003</v>
      </c>
    </row>
    <row r="19" spans="1:8" x14ac:dyDescent="0.25">
      <c r="A19">
        <v>0.2687843817016134</v>
      </c>
      <c r="B19">
        <v>3.1166895777925976E-5</v>
      </c>
      <c r="C19">
        <v>2.4434840425531916E-6</v>
      </c>
      <c r="D19">
        <v>3.5714290000000002</v>
      </c>
      <c r="E19">
        <v>87.969046435725446</v>
      </c>
      <c r="F19">
        <v>3.125</v>
      </c>
      <c r="G19">
        <v>7.4756244058557714E-2</v>
      </c>
      <c r="H19">
        <v>51.274292119999998</v>
      </c>
    </row>
    <row r="20" spans="1:8" x14ac:dyDescent="0.25">
      <c r="A20">
        <v>0.28401227383039185</v>
      </c>
      <c r="B20">
        <v>2.759658729644801E-5</v>
      </c>
      <c r="C20">
        <v>2.1635719247842315E-6</v>
      </c>
      <c r="D20">
        <v>3.5714290000000002</v>
      </c>
      <c r="E20">
        <v>74.856860738562261</v>
      </c>
      <c r="F20">
        <v>6.5466448445171848</v>
      </c>
      <c r="G20">
        <v>4.0338004853123839E-2</v>
      </c>
      <c r="H20">
        <v>31.246745050000001</v>
      </c>
    </row>
    <row r="21" spans="1:8" x14ac:dyDescent="0.25">
      <c r="A21">
        <v>0.28401227383039185</v>
      </c>
      <c r="B21">
        <v>2.759658729644801E-5</v>
      </c>
      <c r="C21">
        <v>2.1635719247842315E-6</v>
      </c>
      <c r="D21">
        <v>3.5714290000000002</v>
      </c>
      <c r="E21">
        <v>116.19113035294218</v>
      </c>
      <c r="F21">
        <v>6.5466448445171848</v>
      </c>
      <c r="G21">
        <v>4.0834877791066378E-2</v>
      </c>
      <c r="H21">
        <v>31.63163424</v>
      </c>
    </row>
    <row r="22" spans="1:8" x14ac:dyDescent="0.25">
      <c r="A22">
        <v>0.28401227383039185</v>
      </c>
      <c r="B22">
        <v>2.759658729644801E-5</v>
      </c>
      <c r="C22">
        <v>2.1635719247842315E-6</v>
      </c>
      <c r="D22">
        <v>3.5714290000000002</v>
      </c>
      <c r="E22">
        <v>205.04186429527002</v>
      </c>
      <c r="F22">
        <v>6.5466448445171848</v>
      </c>
      <c r="G22">
        <v>4.0842101356891057E-2</v>
      </c>
      <c r="H22">
        <v>31.637229779999998</v>
      </c>
    </row>
    <row r="23" spans="1:8" x14ac:dyDescent="0.25">
      <c r="A23">
        <v>0.2990735307759429</v>
      </c>
      <c r="B23">
        <v>2.7570941117306998E-5</v>
      </c>
      <c r="C23">
        <v>2.1615612648221343E-6</v>
      </c>
      <c r="D23">
        <v>3.5714290000000002</v>
      </c>
      <c r="E23">
        <v>78.826542747425407</v>
      </c>
      <c r="F23">
        <v>4.658385093167702</v>
      </c>
      <c r="G23">
        <v>6.1501096874093511E-2</v>
      </c>
      <c r="H23">
        <v>47.684476549999999</v>
      </c>
    </row>
    <row r="24" spans="1:8" x14ac:dyDescent="0.25">
      <c r="A24">
        <v>0.2990735307759429</v>
      </c>
      <c r="B24">
        <v>2.7570941117306998E-5</v>
      </c>
      <c r="C24">
        <v>2.1615612648221343E-6</v>
      </c>
      <c r="D24">
        <v>3.5714290000000002</v>
      </c>
      <c r="E24">
        <v>122.35278120499216</v>
      </c>
      <c r="F24">
        <v>4.658385093167702</v>
      </c>
      <c r="G24">
        <v>6.1886812708037302E-2</v>
      </c>
      <c r="H24">
        <v>47.98353882</v>
      </c>
    </row>
    <row r="25" spans="1:8" x14ac:dyDescent="0.25">
      <c r="A25">
        <v>0.2990735307759429</v>
      </c>
      <c r="B25">
        <v>2.7570941117306998E-5</v>
      </c>
      <c r="C25">
        <v>2.1615612648221343E-6</v>
      </c>
      <c r="D25">
        <v>3.5714290000000002</v>
      </c>
      <c r="E25">
        <v>215.91529649274648</v>
      </c>
      <c r="F25">
        <v>4.658385093167702</v>
      </c>
      <c r="G25">
        <v>6.1917103913913682E-2</v>
      </c>
      <c r="H25">
        <v>48.007024909999998</v>
      </c>
    </row>
    <row r="26" spans="1:8" x14ac:dyDescent="0.25">
      <c r="A26">
        <v>0.30153812277187053</v>
      </c>
      <c r="B26">
        <v>2.0894449814494981E-5</v>
      </c>
      <c r="C26">
        <v>1.6289893617021279E-6</v>
      </c>
      <c r="D26">
        <v>3.581429</v>
      </c>
      <c r="E26">
        <v>360.06072596710322</v>
      </c>
      <c r="F26">
        <v>3.125</v>
      </c>
      <c r="G26">
        <v>8.2579530488303549E-2</v>
      </c>
      <c r="H26">
        <v>37.865846980000001</v>
      </c>
    </row>
    <row r="27" spans="1:8" x14ac:dyDescent="0.25">
      <c r="A27">
        <v>0.30153812277187053</v>
      </c>
      <c r="B27">
        <v>2.0894449814494981E-5</v>
      </c>
      <c r="C27">
        <v>1.6289893617021279E-6</v>
      </c>
      <c r="D27">
        <v>3.581429</v>
      </c>
      <c r="E27">
        <v>203.65093558064015</v>
      </c>
      <c r="F27">
        <v>3.125</v>
      </c>
      <c r="G27">
        <v>8.3830622693163784E-2</v>
      </c>
      <c r="H27">
        <v>38.439520209999998</v>
      </c>
    </row>
    <row r="28" spans="1:8" x14ac:dyDescent="0.25">
      <c r="A28">
        <v>0.30153812277187053</v>
      </c>
      <c r="B28">
        <v>2.0894449814494981E-5</v>
      </c>
      <c r="C28">
        <v>1.6289893617021279E-6</v>
      </c>
      <c r="D28">
        <v>3.581429</v>
      </c>
      <c r="E28">
        <v>130.98248794896142</v>
      </c>
      <c r="F28">
        <v>3.125</v>
      </c>
      <c r="G28">
        <v>8.4279200240387153E-2</v>
      </c>
      <c r="H28">
        <v>38.645210030000001</v>
      </c>
    </row>
    <row r="29" spans="1:8" x14ac:dyDescent="0.25">
      <c r="A29">
        <v>0.33399847410435279</v>
      </c>
      <c r="B29">
        <v>2.7596580673268256E-5</v>
      </c>
      <c r="C29">
        <v>1.1038632269307305E-6</v>
      </c>
      <c r="D29">
        <v>5</v>
      </c>
      <c r="E29">
        <v>75.260032693932388</v>
      </c>
      <c r="F29">
        <v>6.5466448445171848</v>
      </c>
      <c r="G29">
        <v>4.5765777320025909E-2</v>
      </c>
      <c r="H29">
        <v>18.08735613</v>
      </c>
    </row>
    <row r="30" spans="1:8" x14ac:dyDescent="0.25">
      <c r="A30">
        <v>0.33399847410435279</v>
      </c>
      <c r="B30">
        <v>2.7596580673268256E-5</v>
      </c>
      <c r="C30">
        <v>1.1038632269307305E-6</v>
      </c>
      <c r="D30">
        <v>5</v>
      </c>
      <c r="E30">
        <v>205.86615151143044</v>
      </c>
      <c r="F30">
        <v>6.5466448445171848</v>
      </c>
      <c r="G30">
        <v>4.6402504242727738E-2</v>
      </c>
      <c r="H30">
        <v>18.339000639999998</v>
      </c>
    </row>
    <row r="31" spans="1:8" x14ac:dyDescent="0.25">
      <c r="A31">
        <v>0.33399847410435279</v>
      </c>
      <c r="B31">
        <v>2.7596580673268256E-5</v>
      </c>
      <c r="C31">
        <v>1.1038632269307305E-6</v>
      </c>
      <c r="D31">
        <v>5</v>
      </c>
      <c r="E31">
        <v>116.74214650954127</v>
      </c>
      <c r="F31">
        <v>6.5466448445171848</v>
      </c>
      <c r="G31">
        <v>4.6433841910612624E-2</v>
      </c>
      <c r="H31">
        <v>18.351385780000001</v>
      </c>
    </row>
    <row r="32" spans="1:8" x14ac:dyDescent="0.25">
      <c r="A32">
        <v>0.33441991347644473</v>
      </c>
      <c r="B32">
        <v>1.1325043377327179E-5</v>
      </c>
      <c r="C32">
        <v>2.4434840425531916E-6</v>
      </c>
      <c r="D32">
        <v>2.152857</v>
      </c>
      <c r="E32">
        <v>240.04048397806883</v>
      </c>
      <c r="F32">
        <v>3.125</v>
      </c>
      <c r="G32">
        <v>9.445887951740313E-2</v>
      </c>
      <c r="H32" s="1">
        <v>39.054236549999999</v>
      </c>
    </row>
    <row r="33" spans="1:8" x14ac:dyDescent="0.25">
      <c r="A33">
        <v>0.33441991347644473</v>
      </c>
      <c r="B33">
        <v>1.1325043377327179E-5</v>
      </c>
      <c r="C33">
        <v>2.4434840425531916E-6</v>
      </c>
      <c r="D33">
        <v>2.152857</v>
      </c>
      <c r="E33">
        <v>87.321658632640947</v>
      </c>
      <c r="F33">
        <v>3.125</v>
      </c>
      <c r="G33">
        <v>9.5139263740673413E-2</v>
      </c>
      <c r="H33">
        <v>39.335542940000003</v>
      </c>
    </row>
    <row r="34" spans="1:8" x14ac:dyDescent="0.25">
      <c r="A34">
        <v>0.33441991347644473</v>
      </c>
      <c r="B34">
        <v>1.1325043377327179E-5</v>
      </c>
      <c r="C34">
        <v>2.4434840425531916E-6</v>
      </c>
      <c r="D34">
        <v>2.152857</v>
      </c>
      <c r="E34">
        <v>135.76729038709345</v>
      </c>
      <c r="F34">
        <v>3.125</v>
      </c>
      <c r="G34">
        <v>9.5209745107724369E-2</v>
      </c>
      <c r="H34">
        <v>39.364683620000001</v>
      </c>
    </row>
    <row r="35" spans="1:8" x14ac:dyDescent="0.25">
      <c r="A35">
        <v>0.33598047712701673</v>
      </c>
      <c r="B35">
        <v>3.1166895777925976E-5</v>
      </c>
      <c r="C35">
        <v>2.4434840425531916E-6</v>
      </c>
      <c r="D35">
        <v>3.5714290000000002</v>
      </c>
      <c r="E35">
        <v>242.56016286844712</v>
      </c>
      <c r="F35">
        <v>3.125</v>
      </c>
      <c r="G35">
        <v>9.1177901244351683E-2</v>
      </c>
      <c r="H35">
        <v>62.53768367</v>
      </c>
    </row>
    <row r="36" spans="1:8" x14ac:dyDescent="0.25">
      <c r="A36">
        <v>0.33598047712701673</v>
      </c>
      <c r="B36">
        <v>3.1166895777925976E-5</v>
      </c>
      <c r="C36">
        <v>2.4434840425531916E-6</v>
      </c>
      <c r="D36">
        <v>3.5714290000000002</v>
      </c>
      <c r="E36">
        <v>137.45163505582099</v>
      </c>
      <c r="F36">
        <v>3.125</v>
      </c>
      <c r="G36">
        <v>9.3068951197482985E-2</v>
      </c>
      <c r="H36" s="1">
        <v>63.83472914</v>
      </c>
    </row>
    <row r="37" spans="1:8" x14ac:dyDescent="0.25">
      <c r="A37">
        <v>0.33598047712701673</v>
      </c>
      <c r="B37">
        <v>3.1166895777925976E-5</v>
      </c>
      <c r="C37">
        <v>2.4434840425531916E-6</v>
      </c>
      <c r="D37">
        <v>3.5714290000000002</v>
      </c>
      <c r="E37">
        <v>88.554073554554506</v>
      </c>
      <c r="F37">
        <v>3.125</v>
      </c>
      <c r="G37">
        <v>9.3619037848280656E-2</v>
      </c>
      <c r="H37">
        <v>64.212026100000003</v>
      </c>
    </row>
    <row r="38" spans="1:8" x14ac:dyDescent="0.25">
      <c r="A38">
        <v>0.33598050064564888</v>
      </c>
      <c r="B38">
        <v>1.99468105053192E-5</v>
      </c>
      <c r="C38">
        <v>2.4434840425531916E-6</v>
      </c>
      <c r="D38">
        <v>2.8571430000000002</v>
      </c>
      <c r="E38">
        <v>241.36407179927727</v>
      </c>
      <c r="F38">
        <v>3.125</v>
      </c>
      <c r="G38">
        <v>9.3171170904658762E-2</v>
      </c>
      <c r="H38">
        <v>51.123868620000003</v>
      </c>
    </row>
    <row r="39" spans="1:8" x14ac:dyDescent="0.25">
      <c r="A39">
        <v>0.33598050064564888</v>
      </c>
      <c r="B39">
        <v>1.99468105053192E-5</v>
      </c>
      <c r="C39">
        <v>2.4434840425531916E-6</v>
      </c>
      <c r="D39">
        <v>2.8571430000000002</v>
      </c>
      <c r="E39">
        <v>136.65207697587599</v>
      </c>
      <c r="F39">
        <v>3.125</v>
      </c>
      <c r="G39">
        <v>9.4415267128907812E-2</v>
      </c>
      <c r="H39">
        <v>51.806515529999999</v>
      </c>
    </row>
    <row r="40" spans="1:8" x14ac:dyDescent="0.25">
      <c r="A40">
        <v>0.33598050064564888</v>
      </c>
      <c r="B40">
        <v>1.99468105053192E-5</v>
      </c>
      <c r="C40">
        <v>2.4434840425531916E-6</v>
      </c>
      <c r="D40">
        <v>2.8571430000000002</v>
      </c>
      <c r="E40">
        <v>87.969046435725417</v>
      </c>
      <c r="F40">
        <v>3.125</v>
      </c>
      <c r="G40">
        <v>9.4621740889922798E-2</v>
      </c>
      <c r="H40">
        <v>51.919809559999997</v>
      </c>
    </row>
    <row r="41" spans="1:8" x14ac:dyDescent="0.25">
      <c r="A41">
        <v>0.35171051439776541</v>
      </c>
      <c r="B41">
        <v>2.7570934500282325E-5</v>
      </c>
      <c r="C41">
        <v>1.1028373800112932E-6</v>
      </c>
      <c r="D41">
        <v>5</v>
      </c>
      <c r="E41">
        <v>79.251095033762127</v>
      </c>
      <c r="F41">
        <v>4.658385093167702</v>
      </c>
      <c r="G41">
        <v>7.0938440937479849E-2</v>
      </c>
      <c r="H41">
        <v>28.06206809</v>
      </c>
    </row>
    <row r="42" spans="1:8" x14ac:dyDescent="0.25">
      <c r="A42">
        <v>0.35171051439776541</v>
      </c>
      <c r="B42">
        <v>2.7570934500282325E-5</v>
      </c>
      <c r="C42">
        <v>1.1028373800112932E-6</v>
      </c>
      <c r="D42">
        <v>5</v>
      </c>
      <c r="E42">
        <v>216.78329590976386</v>
      </c>
      <c r="F42">
        <v>4.658385093167702</v>
      </c>
      <c r="G42">
        <v>7.135341671544515E-2</v>
      </c>
      <c r="H42">
        <v>28.22622561</v>
      </c>
    </row>
    <row r="43" spans="1:8" x14ac:dyDescent="0.25">
      <c r="A43">
        <v>0.35171051439776541</v>
      </c>
      <c r="B43">
        <v>2.7570934500282325E-5</v>
      </c>
      <c r="C43">
        <v>1.1028373800112932E-6</v>
      </c>
      <c r="D43">
        <v>5</v>
      </c>
      <c r="E43">
        <v>122.93301791535026</v>
      </c>
      <c r="F43">
        <v>4.658385093167702</v>
      </c>
      <c r="G43">
        <v>7.1395070690106296E-2</v>
      </c>
      <c r="H43">
        <v>28.24270323</v>
      </c>
    </row>
    <row r="44" spans="1:8" x14ac:dyDescent="0.25">
      <c r="A44">
        <v>0.35501536713906245</v>
      </c>
      <c r="B44">
        <v>1.7661813397072894E-5</v>
      </c>
      <c r="C44">
        <v>2.1635719247842315E-6</v>
      </c>
      <c r="D44">
        <v>2.8571430000000002</v>
      </c>
      <c r="E44">
        <v>74.856860738562261</v>
      </c>
      <c r="F44">
        <v>6.5466448445171848</v>
      </c>
      <c r="G44">
        <v>5.0659162661873036E-2</v>
      </c>
      <c r="H44">
        <v>31.393398560000001</v>
      </c>
    </row>
    <row r="45" spans="1:8" x14ac:dyDescent="0.25">
      <c r="A45">
        <v>0.35501536713906245</v>
      </c>
      <c r="B45">
        <v>1.7661813397072894E-5</v>
      </c>
      <c r="C45">
        <v>2.1635719247842315E-6</v>
      </c>
      <c r="D45">
        <v>2.8571430000000002</v>
      </c>
      <c r="E45">
        <v>116.19113035294218</v>
      </c>
      <c r="F45">
        <v>6.5466448445171848</v>
      </c>
      <c r="G45">
        <v>5.1677236599250762E-2</v>
      </c>
      <c r="H45">
        <v>32.024297279999999</v>
      </c>
    </row>
    <row r="46" spans="1:8" x14ac:dyDescent="0.25">
      <c r="A46">
        <v>0.35501536713906245</v>
      </c>
      <c r="B46">
        <v>1.7661813397072894E-5</v>
      </c>
      <c r="C46">
        <v>2.1635719247842315E-6</v>
      </c>
      <c r="D46">
        <v>2.8571430000000002</v>
      </c>
      <c r="E46">
        <v>205.04186429527002</v>
      </c>
      <c r="F46">
        <v>6.5466448445171848</v>
      </c>
      <c r="G46">
        <v>5.1983597291947403E-2</v>
      </c>
      <c r="H46">
        <v>32.214148489999999</v>
      </c>
    </row>
    <row r="47" spans="1:8" x14ac:dyDescent="0.25">
      <c r="A47">
        <v>0.36584545818217235</v>
      </c>
      <c r="B47">
        <v>3.1166887300531924E-5</v>
      </c>
      <c r="C47">
        <v>1.7952127659574469E-6</v>
      </c>
      <c r="D47">
        <v>4.1666666000000001</v>
      </c>
      <c r="E47">
        <v>243.06053760322828</v>
      </c>
      <c r="F47">
        <v>3.125</v>
      </c>
      <c r="G47">
        <v>9.8730334872190809E-2</v>
      </c>
      <c r="H47">
        <v>49.751842830000001</v>
      </c>
    </row>
    <row r="48" spans="1:8" x14ac:dyDescent="0.25">
      <c r="A48">
        <v>0.36584545818217235</v>
      </c>
      <c r="B48">
        <v>3.1166887300531924E-5</v>
      </c>
      <c r="C48">
        <v>1.7952127659574469E-6</v>
      </c>
      <c r="D48">
        <v>4.1666666000000001</v>
      </c>
      <c r="E48">
        <v>137.78612351786785</v>
      </c>
      <c r="F48">
        <v>3.125</v>
      </c>
      <c r="G48">
        <v>0.10090030897134429</v>
      </c>
      <c r="H48">
        <v>50.845328539999997</v>
      </c>
    </row>
    <row r="49" spans="1:8" x14ac:dyDescent="0.25">
      <c r="A49">
        <v>0.36584545818217235</v>
      </c>
      <c r="B49">
        <v>3.1166887300531924E-5</v>
      </c>
      <c r="C49">
        <v>1.7952127659574469E-6</v>
      </c>
      <c r="D49">
        <v>4.1666666000000001</v>
      </c>
      <c r="E49">
        <v>88.798814776163155</v>
      </c>
      <c r="F49">
        <v>3.125</v>
      </c>
      <c r="G49">
        <v>0.10151623238771129</v>
      </c>
      <c r="H49">
        <v>51.155702499999997</v>
      </c>
    </row>
    <row r="50" spans="1:8" x14ac:dyDescent="0.25">
      <c r="A50">
        <v>0.37384193963886125</v>
      </c>
      <c r="B50">
        <v>1.764539984472054E-5</v>
      </c>
      <c r="C50">
        <v>2.1615612648221343E-6</v>
      </c>
      <c r="D50">
        <v>2.8571430000000002</v>
      </c>
      <c r="E50">
        <v>78.826542747425407</v>
      </c>
      <c r="F50">
        <v>4.658385093167702</v>
      </c>
      <c r="G50">
        <v>7.7641760840394314E-2</v>
      </c>
      <c r="H50">
        <v>48.159225159999998</v>
      </c>
    </row>
    <row r="51" spans="1:8" x14ac:dyDescent="0.25">
      <c r="A51">
        <v>0.37384193963886125</v>
      </c>
      <c r="B51">
        <v>1.764539984472054E-5</v>
      </c>
      <c r="C51">
        <v>2.1615612648221343E-6</v>
      </c>
      <c r="D51">
        <v>2.8571430000000002</v>
      </c>
      <c r="E51">
        <v>122.35278120499216</v>
      </c>
      <c r="F51">
        <v>4.658385093167702</v>
      </c>
      <c r="G51">
        <v>7.8330589618106794E-2</v>
      </c>
      <c r="H51">
        <v>48.586488269999997</v>
      </c>
    </row>
    <row r="52" spans="1:8" x14ac:dyDescent="0.25">
      <c r="A52">
        <v>0.37384193963886125</v>
      </c>
      <c r="B52">
        <v>1.764539984472054E-5</v>
      </c>
      <c r="C52">
        <v>2.1615612648221343E-6</v>
      </c>
      <c r="D52">
        <v>2.8571430000000002</v>
      </c>
      <c r="E52">
        <v>215.91529649274648</v>
      </c>
      <c r="F52">
        <v>4.658385093167702</v>
      </c>
      <c r="G52">
        <v>7.8499584095197139E-2</v>
      </c>
      <c r="H52">
        <v>48.691311280000001</v>
      </c>
    </row>
    <row r="53" spans="1:8" x14ac:dyDescent="0.25">
      <c r="A53">
        <v>0.37665975415273595</v>
      </c>
      <c r="B53">
        <v>1.3391121680186202E-5</v>
      </c>
      <c r="C53">
        <v>1.6289893617021279E-6</v>
      </c>
      <c r="D53">
        <v>2.867143</v>
      </c>
      <c r="E53">
        <v>360.06072596710328</v>
      </c>
      <c r="F53">
        <v>3.125</v>
      </c>
      <c r="G53">
        <v>0.10505531170799187</v>
      </c>
      <c r="H53">
        <v>38.564374360000002</v>
      </c>
    </row>
    <row r="54" spans="1:8" x14ac:dyDescent="0.25">
      <c r="A54">
        <v>0.37665975415273595</v>
      </c>
      <c r="B54">
        <v>1.3391121680186202E-5</v>
      </c>
      <c r="C54">
        <v>1.6289893617021279E-6</v>
      </c>
      <c r="D54">
        <v>2.867143</v>
      </c>
      <c r="E54">
        <v>203.65093558064021</v>
      </c>
      <c r="F54">
        <v>3.125</v>
      </c>
      <c r="G54">
        <v>0.1062283123156799</v>
      </c>
      <c r="H54">
        <v>38.994966910000002</v>
      </c>
    </row>
    <row r="55" spans="1:8" x14ac:dyDescent="0.25">
      <c r="A55">
        <v>0.37665975415273595</v>
      </c>
      <c r="B55">
        <v>1.3391121680186202E-5</v>
      </c>
      <c r="C55">
        <v>1.6289893617021279E-6</v>
      </c>
      <c r="D55">
        <v>2.867143</v>
      </c>
      <c r="E55">
        <v>130.98248794896142</v>
      </c>
      <c r="F55">
        <v>3.125</v>
      </c>
      <c r="G55">
        <v>0.10652462973610603</v>
      </c>
      <c r="H55">
        <v>39.103740999999999</v>
      </c>
    </row>
    <row r="56" spans="1:8" x14ac:dyDescent="0.25">
      <c r="A56">
        <v>0.39511308851493648</v>
      </c>
      <c r="B56">
        <v>3.1166888297872338E-5</v>
      </c>
      <c r="C56">
        <v>1.2466755319148938E-6</v>
      </c>
      <c r="D56">
        <v>5</v>
      </c>
      <c r="E56">
        <v>243.53527710713897</v>
      </c>
      <c r="F56">
        <v>3.125</v>
      </c>
      <c r="G56">
        <v>0.10596302769537012</v>
      </c>
      <c r="H56">
        <v>37.080914440000001</v>
      </c>
    </row>
    <row r="57" spans="1:8" x14ac:dyDescent="0.25">
      <c r="A57">
        <v>0.39511308851493648</v>
      </c>
      <c r="B57">
        <v>3.1166888297872338E-5</v>
      </c>
      <c r="C57">
        <v>1.2466755319148938E-6</v>
      </c>
      <c r="D57">
        <v>5</v>
      </c>
      <c r="E57">
        <v>138.10347544532968</v>
      </c>
      <c r="F57">
        <v>3.125</v>
      </c>
      <c r="G57">
        <v>0.10842204566413208</v>
      </c>
      <c r="H57">
        <v>37.941428119999998</v>
      </c>
    </row>
    <row r="58" spans="1:8" x14ac:dyDescent="0.25">
      <c r="A58">
        <v>0.39511308851493648</v>
      </c>
      <c r="B58">
        <v>3.1166888297872338E-5</v>
      </c>
      <c r="C58">
        <v>1.2466755319148938E-6</v>
      </c>
      <c r="D58">
        <v>5</v>
      </c>
      <c r="E58">
        <v>89.031017399630656</v>
      </c>
      <c r="F58">
        <v>3.125</v>
      </c>
      <c r="G58">
        <v>0.10910086580044616</v>
      </c>
      <c r="H58">
        <v>38.178975800000003</v>
      </c>
    </row>
    <row r="59" spans="1:8" x14ac:dyDescent="0.25">
      <c r="A59">
        <v>0.40079823305294071</v>
      </c>
      <c r="B59">
        <v>1.9164286001641076E-5</v>
      </c>
      <c r="C59">
        <v>1.1038632269307305E-6</v>
      </c>
      <c r="D59">
        <v>4.1666660000000002</v>
      </c>
      <c r="E59">
        <v>75.260032693932402</v>
      </c>
      <c r="F59">
        <v>6.5466448445171848</v>
      </c>
      <c r="G59">
        <v>5.4713293814222012E-2</v>
      </c>
      <c r="H59">
        <v>18.019626779999999</v>
      </c>
    </row>
    <row r="60" spans="1:8" x14ac:dyDescent="0.25">
      <c r="A60">
        <v>0.40079823305294071</v>
      </c>
      <c r="B60">
        <v>1.9164286001641076E-5</v>
      </c>
      <c r="C60">
        <v>1.1038632269307305E-6</v>
      </c>
      <c r="D60">
        <v>4.1666660000000002</v>
      </c>
      <c r="E60">
        <v>116.74214650954129</v>
      </c>
      <c r="F60">
        <v>6.5466448445171848</v>
      </c>
      <c r="G60">
        <v>5.5977154023605848E-2</v>
      </c>
      <c r="H60">
        <v>18.435874599999998</v>
      </c>
    </row>
    <row r="61" spans="1:8" x14ac:dyDescent="0.25">
      <c r="A61">
        <v>0.40079823305294071</v>
      </c>
      <c r="B61">
        <v>1.9164286001641076E-5</v>
      </c>
      <c r="C61">
        <v>1.1038632269307305E-6</v>
      </c>
      <c r="D61">
        <v>4.1666660000000002</v>
      </c>
      <c r="E61">
        <v>205.86615151143047</v>
      </c>
      <c r="F61">
        <v>6.5466448445171848</v>
      </c>
      <c r="G61">
        <v>5.628899091494096E-2</v>
      </c>
      <c r="H61">
        <v>18.53857696</v>
      </c>
    </row>
    <row r="62" spans="1:8" x14ac:dyDescent="0.25">
      <c r="A62">
        <v>0.40317657255242001</v>
      </c>
      <c r="B62">
        <v>2.077793051861732E-5</v>
      </c>
      <c r="C62">
        <v>1.6289893617021279E-6</v>
      </c>
      <c r="D62">
        <v>3.5714290000000002</v>
      </c>
      <c r="E62">
        <v>362.04610769891588</v>
      </c>
      <c r="F62">
        <v>3.125</v>
      </c>
      <c r="G62">
        <v>0.11064393531830967</v>
      </c>
      <c r="H62">
        <v>50.592781309999999</v>
      </c>
    </row>
    <row r="63" spans="1:8" x14ac:dyDescent="0.25">
      <c r="A63">
        <v>0.40317657255242001</v>
      </c>
      <c r="B63">
        <v>2.077793051861732E-5</v>
      </c>
      <c r="C63">
        <v>1.6289893617021279E-6</v>
      </c>
      <c r="D63">
        <v>3.5714290000000002</v>
      </c>
      <c r="E63">
        <v>204.97811546381396</v>
      </c>
      <c r="F63">
        <v>3.125</v>
      </c>
      <c r="G63">
        <v>0.11251294804384221</v>
      </c>
      <c r="H63">
        <v>51.447401599999999</v>
      </c>
    </row>
    <row r="64" spans="1:8" x14ac:dyDescent="0.25">
      <c r="A64">
        <v>0.40317657255242001</v>
      </c>
      <c r="B64">
        <v>2.077793051861732E-5</v>
      </c>
      <c r="C64">
        <v>1.6289893617021279E-6</v>
      </c>
      <c r="D64">
        <v>3.5714290000000002</v>
      </c>
      <c r="E64">
        <v>131.95356965358815</v>
      </c>
      <c r="F64">
        <v>3.125</v>
      </c>
      <c r="G64">
        <v>0.11311251370360509</v>
      </c>
      <c r="H64">
        <v>51.721557560000001</v>
      </c>
    </row>
    <row r="65" spans="1:8" x14ac:dyDescent="0.25">
      <c r="A65">
        <v>0.41749809263044102</v>
      </c>
      <c r="B65">
        <v>1.7661811630891689E-5</v>
      </c>
      <c r="C65">
        <v>1.1038632269307305E-6</v>
      </c>
      <c r="D65">
        <v>4</v>
      </c>
      <c r="E65">
        <v>75.260032693932388</v>
      </c>
      <c r="F65">
        <v>6.5466448445171848</v>
      </c>
      <c r="G65">
        <v>5.688682924627575E-2</v>
      </c>
      <c r="H65">
        <v>17.986056829999999</v>
      </c>
    </row>
    <row r="66" spans="1:8" x14ac:dyDescent="0.25">
      <c r="A66">
        <v>0.41749809263044102</v>
      </c>
      <c r="B66">
        <v>1.7661811630891689E-5</v>
      </c>
      <c r="C66">
        <v>1.1038632269307305E-6</v>
      </c>
      <c r="D66">
        <v>4</v>
      </c>
      <c r="E66">
        <v>116.7421465095413</v>
      </c>
      <c r="F66">
        <v>6.5466448445171848</v>
      </c>
      <c r="G66">
        <v>5.8338553263159822E-2</v>
      </c>
      <c r="H66">
        <v>18.445052189999998</v>
      </c>
    </row>
    <row r="67" spans="1:8" x14ac:dyDescent="0.25">
      <c r="A67">
        <v>0.41749809263044102</v>
      </c>
      <c r="B67">
        <v>1.7661811630891689E-5</v>
      </c>
      <c r="C67">
        <v>1.1038632269307305E-6</v>
      </c>
      <c r="D67">
        <v>4</v>
      </c>
      <c r="E67">
        <v>205.86615151143047</v>
      </c>
      <c r="F67">
        <v>6.5466448445171848</v>
      </c>
      <c r="G67">
        <v>5.8762857959689961E-2</v>
      </c>
      <c r="H67">
        <v>18.57920571</v>
      </c>
    </row>
    <row r="68" spans="1:8" x14ac:dyDescent="0.25">
      <c r="A68">
        <v>0.4199756258070611</v>
      </c>
      <c r="B68">
        <v>1.99468105053192E-5</v>
      </c>
      <c r="C68">
        <v>2.4434840425531916E-6</v>
      </c>
      <c r="D68">
        <v>2.8571430000000002</v>
      </c>
      <c r="E68">
        <v>242.56016286844709</v>
      </c>
      <c r="F68">
        <v>3.125</v>
      </c>
      <c r="G68">
        <v>0.11638194491520948</v>
      </c>
      <c r="H68">
        <v>63.859831360000001</v>
      </c>
    </row>
    <row r="69" spans="1:8" x14ac:dyDescent="0.25">
      <c r="A69">
        <v>0.4199756258070611</v>
      </c>
      <c r="B69">
        <v>1.99468105053192E-5</v>
      </c>
      <c r="C69">
        <v>2.4434840425531916E-6</v>
      </c>
      <c r="D69">
        <v>2.8571430000000002</v>
      </c>
      <c r="E69">
        <v>137.45163505582096</v>
      </c>
      <c r="F69">
        <v>3.125</v>
      </c>
      <c r="G69">
        <v>0.11807669647476987</v>
      </c>
      <c r="H69">
        <v>64.789756949999997</v>
      </c>
    </row>
    <row r="70" spans="1:8" x14ac:dyDescent="0.25">
      <c r="A70">
        <v>0.4199756258070611</v>
      </c>
      <c r="B70">
        <v>1.99468105053192E-5</v>
      </c>
      <c r="C70">
        <v>2.4434840425531916E-6</v>
      </c>
      <c r="D70">
        <v>2.8571430000000002</v>
      </c>
      <c r="E70">
        <v>88.554073554554492</v>
      </c>
      <c r="F70">
        <v>3.125</v>
      </c>
      <c r="G70">
        <v>0.11827060190022021</v>
      </c>
      <c r="H70">
        <v>64.896154620000004</v>
      </c>
    </row>
    <row r="71" spans="1:8" x14ac:dyDescent="0.25">
      <c r="A71">
        <v>0.42205268480574815</v>
      </c>
      <c r="B71">
        <v>1.9146476164988884E-5</v>
      </c>
      <c r="C71">
        <v>1.1028373800112932E-6</v>
      </c>
      <c r="D71">
        <v>4.1666660000000002</v>
      </c>
      <c r="E71">
        <v>79.251095033762141</v>
      </c>
      <c r="F71">
        <v>4.658385093167702</v>
      </c>
      <c r="G71">
        <v>8.5495949990796141E-2</v>
      </c>
      <c r="H71">
        <v>28.18397607</v>
      </c>
    </row>
    <row r="72" spans="1:8" x14ac:dyDescent="0.25">
      <c r="A72">
        <v>0.42205268480574815</v>
      </c>
      <c r="B72">
        <v>1.9146476164988884E-5</v>
      </c>
      <c r="C72">
        <v>1.1028373800112932E-6</v>
      </c>
      <c r="D72">
        <v>4.1666660000000002</v>
      </c>
      <c r="E72">
        <v>122.93301791535029</v>
      </c>
      <c r="F72">
        <v>4.658385093167702</v>
      </c>
      <c r="G72">
        <v>8.630019421506302E-2</v>
      </c>
      <c r="H72">
        <v>28.449097399999999</v>
      </c>
    </row>
    <row r="73" spans="1:8" x14ac:dyDescent="0.25">
      <c r="A73">
        <v>0.42205268480574815</v>
      </c>
      <c r="B73">
        <v>1.9146476164988884E-5</v>
      </c>
      <c r="C73">
        <v>1.1028373800112932E-6</v>
      </c>
      <c r="D73">
        <v>4.1666660000000002</v>
      </c>
      <c r="E73">
        <v>216.78329590976389</v>
      </c>
      <c r="F73">
        <v>4.658385093167702</v>
      </c>
      <c r="G73">
        <v>8.6411660473548368E-2</v>
      </c>
      <c r="H73">
        <v>28.485842559999998</v>
      </c>
    </row>
    <row r="74" spans="1:8" x14ac:dyDescent="0.25">
      <c r="A74">
        <v>0.42601841074558772</v>
      </c>
      <c r="B74">
        <v>1.8397724864298674E-5</v>
      </c>
      <c r="C74">
        <v>1.4423812831894878E-6</v>
      </c>
      <c r="D74">
        <v>3.5714290000000002</v>
      </c>
      <c r="E74">
        <v>112.28529110784338</v>
      </c>
      <c r="F74">
        <v>6.5466448445171848</v>
      </c>
      <c r="G74">
        <v>6.0254630119403518E-2</v>
      </c>
      <c r="H74">
        <v>31.116413619999999</v>
      </c>
    </row>
    <row r="75" spans="1:8" x14ac:dyDescent="0.25">
      <c r="A75">
        <v>0.42601841074558772</v>
      </c>
      <c r="B75">
        <v>1.8397724864298674E-5</v>
      </c>
      <c r="C75">
        <v>1.4423812831894878E-6</v>
      </c>
      <c r="D75">
        <v>3.5714290000000002</v>
      </c>
      <c r="E75">
        <v>307.56279644290504</v>
      </c>
      <c r="F75">
        <v>6.5466448445171848</v>
      </c>
      <c r="G75">
        <v>6.0864124692106482E-2</v>
      </c>
      <c r="H75">
        <v>31.43116595</v>
      </c>
    </row>
    <row r="76" spans="1:8" x14ac:dyDescent="0.25">
      <c r="A76">
        <v>0.42601841074558772</v>
      </c>
      <c r="B76">
        <v>1.8397724864298674E-5</v>
      </c>
      <c r="C76">
        <v>1.4423812831894878E-6</v>
      </c>
      <c r="D76">
        <v>3.5714290000000002</v>
      </c>
      <c r="E76">
        <v>174.28669552941327</v>
      </c>
      <c r="F76">
        <v>6.5466448445171848</v>
      </c>
      <c r="G76">
        <v>6.0960369243406906E-2</v>
      </c>
      <c r="H76">
        <v>31.480868109999999</v>
      </c>
    </row>
    <row r="77" spans="1:8" x14ac:dyDescent="0.25">
      <c r="A77">
        <v>0.43963814299720683</v>
      </c>
      <c r="B77">
        <v>1.7645398080180691E-5</v>
      </c>
      <c r="C77">
        <v>1.1028373800112932E-6</v>
      </c>
      <c r="D77">
        <v>4</v>
      </c>
      <c r="E77">
        <v>79.251095033762141</v>
      </c>
      <c r="F77">
        <v>4.658385093167702</v>
      </c>
      <c r="G77">
        <v>8.9114177296562638E-2</v>
      </c>
      <c r="H77">
        <v>28.201669819999999</v>
      </c>
    </row>
    <row r="78" spans="1:8" x14ac:dyDescent="0.25">
      <c r="A78">
        <v>0.43963814299720683</v>
      </c>
      <c r="B78">
        <v>1.7645398080180691E-5</v>
      </c>
      <c r="C78">
        <v>1.1028373800112932E-6</v>
      </c>
      <c r="D78">
        <v>4</v>
      </c>
      <c r="E78">
        <v>122.93301791535029</v>
      </c>
      <c r="F78">
        <v>4.658385093167702</v>
      </c>
      <c r="G78">
        <v>9.0033789242641687E-2</v>
      </c>
      <c r="H78">
        <v>28.492696380000002</v>
      </c>
    </row>
    <row r="79" spans="1:8" x14ac:dyDescent="0.25">
      <c r="A79">
        <v>0.43963814299720683</v>
      </c>
      <c r="B79">
        <v>1.7645398080180691E-5</v>
      </c>
      <c r="C79">
        <v>1.1028373800112932E-6</v>
      </c>
      <c r="D79">
        <v>4</v>
      </c>
      <c r="E79">
        <v>216.78329590976389</v>
      </c>
      <c r="F79">
        <v>4.658385093167702</v>
      </c>
      <c r="G79">
        <v>9.019950323281406E-2</v>
      </c>
      <c r="H79">
        <v>28.545139339999999</v>
      </c>
    </row>
    <row r="80" spans="1:8" x14ac:dyDescent="0.25">
      <c r="A80">
        <v>0.44533129880580374</v>
      </c>
      <c r="B80">
        <v>2.7596580673268256E-5</v>
      </c>
      <c r="C80">
        <v>1.1038632269307305E-6</v>
      </c>
      <c r="D80">
        <v>5</v>
      </c>
      <c r="E80">
        <v>76.079518096870245</v>
      </c>
      <c r="F80">
        <v>6.5466448445171848</v>
      </c>
      <c r="G80">
        <v>5.8980692198124726E-2</v>
      </c>
      <c r="H80">
        <v>23.310098660000001</v>
      </c>
    </row>
    <row r="81" spans="1:8" x14ac:dyDescent="0.25">
      <c r="A81">
        <v>0.44533129880580374</v>
      </c>
      <c r="B81">
        <v>2.7596580673268256E-5</v>
      </c>
      <c r="C81">
        <v>1.1038632269307305E-6</v>
      </c>
      <c r="D81">
        <v>5</v>
      </c>
      <c r="E81">
        <v>207.54159379474009</v>
      </c>
      <c r="F81">
        <v>6.5466448445171848</v>
      </c>
      <c r="G81">
        <v>6.0128684774170611E-2</v>
      </c>
      <c r="H81">
        <v>23.763803410000001</v>
      </c>
    </row>
    <row r="82" spans="1:8" x14ac:dyDescent="0.25">
      <c r="A82">
        <v>0.44533129880580374</v>
      </c>
      <c r="B82">
        <v>2.7596580673268256E-5</v>
      </c>
      <c r="C82">
        <v>1.1038632269307305E-6</v>
      </c>
      <c r="D82">
        <v>5</v>
      </c>
      <c r="E82">
        <v>117.86213933419425</v>
      </c>
      <c r="F82">
        <v>6.5466448445171848</v>
      </c>
      <c r="G82">
        <v>6.0236421092150071E-2</v>
      </c>
      <c r="H82">
        <v>23.806382500000002</v>
      </c>
    </row>
    <row r="83" spans="1:8" x14ac:dyDescent="0.25">
      <c r="A83">
        <v>0.44797405312450211</v>
      </c>
      <c r="B83">
        <v>1.1220078291223454E-5</v>
      </c>
      <c r="C83">
        <v>2.4434840425531916E-6</v>
      </c>
      <c r="D83">
        <v>2.1428569999999998</v>
      </c>
      <c r="E83">
        <v>241.3640717992773</v>
      </c>
      <c r="F83">
        <v>3.125</v>
      </c>
      <c r="G83">
        <v>0.1270616475889659</v>
      </c>
      <c r="H83">
        <v>52.289904890000003</v>
      </c>
    </row>
    <row r="84" spans="1:8" x14ac:dyDescent="0.25">
      <c r="A84">
        <v>0.44797405312450211</v>
      </c>
      <c r="B84">
        <v>1.1220078291223454E-5</v>
      </c>
      <c r="C84">
        <v>2.4434840425531916E-6</v>
      </c>
      <c r="D84">
        <v>2.1428569999999998</v>
      </c>
      <c r="E84">
        <v>87.969046435725431</v>
      </c>
      <c r="F84">
        <v>3.125</v>
      </c>
      <c r="G84">
        <v>0.12763116796715962</v>
      </c>
      <c r="H84">
        <v>52.524280619999999</v>
      </c>
    </row>
    <row r="85" spans="1:8" x14ac:dyDescent="0.25">
      <c r="A85">
        <v>0.44797405312450211</v>
      </c>
      <c r="B85">
        <v>1.1220078291223454E-5</v>
      </c>
      <c r="C85">
        <v>2.4434840425531916E-6</v>
      </c>
      <c r="D85">
        <v>2.1428569999999998</v>
      </c>
      <c r="E85">
        <v>136.65207697587599</v>
      </c>
      <c r="F85">
        <v>3.125</v>
      </c>
      <c r="G85">
        <v>0.12799804773331247</v>
      </c>
      <c r="H85">
        <v>52.675263299999997</v>
      </c>
    </row>
    <row r="86" spans="1:8" x14ac:dyDescent="0.25">
      <c r="A86">
        <v>0.44861029616391435</v>
      </c>
      <c r="B86">
        <v>1.8380627411538E-5</v>
      </c>
      <c r="C86">
        <v>1.4410408432147564E-6</v>
      </c>
      <c r="D86">
        <v>3.5714290000000002</v>
      </c>
      <c r="E86">
        <v>118.2398141211381</v>
      </c>
      <c r="F86">
        <v>4.658385093167702</v>
      </c>
      <c r="G86">
        <v>9.2619164326835438E-2</v>
      </c>
      <c r="H86">
        <v>47.874445540000004</v>
      </c>
    </row>
    <row r="87" spans="1:8" x14ac:dyDescent="0.25">
      <c r="A87">
        <v>0.44861029616391435</v>
      </c>
      <c r="B87">
        <v>1.8380627411538E-5</v>
      </c>
      <c r="C87">
        <v>1.4410408432147564E-6</v>
      </c>
      <c r="D87">
        <v>3.5714290000000002</v>
      </c>
      <c r="E87">
        <v>323.8729447391197</v>
      </c>
      <c r="F87">
        <v>4.658385093167702</v>
      </c>
      <c r="G87">
        <v>9.2799106323544406E-2</v>
      </c>
      <c r="H87">
        <v>47.967456779999999</v>
      </c>
    </row>
    <row r="88" spans="1:8" x14ac:dyDescent="0.25">
      <c r="A88">
        <v>0.44861029616391435</v>
      </c>
      <c r="B88">
        <v>1.8380627411538E-5</v>
      </c>
      <c r="C88">
        <v>1.4410408432147564E-6</v>
      </c>
      <c r="D88">
        <v>3.5714290000000002</v>
      </c>
      <c r="E88">
        <v>183.52917180748821</v>
      </c>
      <c r="F88">
        <v>4.658385093167702</v>
      </c>
      <c r="G88">
        <v>9.2991507159243661E-2</v>
      </c>
      <c r="H88">
        <v>48.06690794</v>
      </c>
    </row>
    <row r="89" spans="1:8" x14ac:dyDescent="0.25">
      <c r="A89">
        <v>0.45730681998387446</v>
      </c>
      <c r="B89">
        <v>1.9946808111702133E-5</v>
      </c>
      <c r="C89">
        <v>1.7952127659574469E-6</v>
      </c>
      <c r="D89">
        <v>3.3333333000000001</v>
      </c>
      <c r="E89">
        <v>243.06053760322831</v>
      </c>
      <c r="F89">
        <v>3.125</v>
      </c>
      <c r="G89">
        <v>0.12597152985318955</v>
      </c>
      <c r="H89">
        <v>50.78330424</v>
      </c>
    </row>
    <row r="90" spans="1:8" x14ac:dyDescent="0.25">
      <c r="A90">
        <v>0.45730681998387446</v>
      </c>
      <c r="B90">
        <v>1.9946808111702133E-5</v>
      </c>
      <c r="C90">
        <v>1.7952127659574469E-6</v>
      </c>
      <c r="D90">
        <v>3.3333333000000001</v>
      </c>
      <c r="E90">
        <v>137.78612351786785</v>
      </c>
      <c r="F90">
        <v>3.125</v>
      </c>
      <c r="G90">
        <v>0.12787655934638831</v>
      </c>
      <c r="H90">
        <v>51.551284850000002</v>
      </c>
    </row>
    <row r="91" spans="1:8" x14ac:dyDescent="0.25">
      <c r="A91">
        <v>0.45730681998387446</v>
      </c>
      <c r="B91">
        <v>1.9946808111702133E-5</v>
      </c>
      <c r="C91">
        <v>1.7952127659574469E-6</v>
      </c>
      <c r="D91">
        <v>3.3333333000000001</v>
      </c>
      <c r="E91">
        <v>88.798814776163184</v>
      </c>
      <c r="F91">
        <v>3.125</v>
      </c>
      <c r="G91">
        <v>0.12803410494700954</v>
      </c>
      <c r="H91">
        <v>51.61479671</v>
      </c>
    </row>
    <row r="92" spans="1:8" x14ac:dyDescent="0.25">
      <c r="A92">
        <v>0.46894735253035391</v>
      </c>
      <c r="B92">
        <v>2.7570934500282325E-5</v>
      </c>
      <c r="C92">
        <v>1.1028373800112932E-6</v>
      </c>
      <c r="D92">
        <v>5</v>
      </c>
      <c r="E92">
        <v>80.114037995946688</v>
      </c>
      <c r="F92">
        <v>4.658385093167702</v>
      </c>
      <c r="G92">
        <v>9.3583405413079732E-2</v>
      </c>
      <c r="H92">
        <v>37.020039629999999</v>
      </c>
    </row>
    <row r="93" spans="1:8" x14ac:dyDescent="0.25">
      <c r="A93">
        <v>0.46894735253035391</v>
      </c>
      <c r="B93">
        <v>2.7570934500282325E-5</v>
      </c>
      <c r="C93">
        <v>1.1028373800112932E-6</v>
      </c>
      <c r="D93">
        <v>5</v>
      </c>
      <c r="E93">
        <v>218.54758740506722</v>
      </c>
      <c r="F93">
        <v>4.658385093167702</v>
      </c>
      <c r="G93">
        <v>9.4081433947642776E-2</v>
      </c>
      <c r="H93">
        <v>37.217051439999999</v>
      </c>
    </row>
    <row r="94" spans="1:8" x14ac:dyDescent="0.25">
      <c r="A94">
        <v>0.46894735253035391</v>
      </c>
      <c r="B94">
        <v>2.7570934500282325E-5</v>
      </c>
      <c r="C94">
        <v>1.1028373800112932E-6</v>
      </c>
      <c r="D94">
        <v>5</v>
      </c>
      <c r="E94">
        <v>124.11240429888637</v>
      </c>
      <c r="F94">
        <v>4.658385093167702</v>
      </c>
      <c r="G94">
        <v>9.432831264743799E-2</v>
      </c>
      <c r="H94">
        <v>37.314712550000003</v>
      </c>
    </row>
    <row r="95" spans="1:8" x14ac:dyDescent="0.25">
      <c r="A95">
        <v>0.47335387807669965</v>
      </c>
      <c r="B95">
        <v>9.9347677177407437E-6</v>
      </c>
      <c r="C95">
        <v>2.1635719247842315E-6</v>
      </c>
      <c r="D95">
        <v>2.1428569999999998</v>
      </c>
      <c r="E95">
        <v>74.856860738562261</v>
      </c>
      <c r="F95">
        <v>6.5466448445171848</v>
      </c>
      <c r="G95">
        <v>6.6959514343182744E-2</v>
      </c>
      <c r="H95">
        <v>31.12102084</v>
      </c>
    </row>
    <row r="96" spans="1:8" x14ac:dyDescent="0.25">
      <c r="A96">
        <v>0.47335387807669965</v>
      </c>
      <c r="B96">
        <v>9.9347677177407437E-6</v>
      </c>
      <c r="C96">
        <v>2.1635719247842315E-6</v>
      </c>
      <c r="D96">
        <v>2.1428569999999998</v>
      </c>
      <c r="E96">
        <v>116.19113035294218</v>
      </c>
      <c r="F96">
        <v>6.5466448445171848</v>
      </c>
      <c r="G96">
        <v>6.9502481845146957E-2</v>
      </c>
      <c r="H96">
        <v>32.30292524</v>
      </c>
    </row>
    <row r="97" spans="1:8" x14ac:dyDescent="0.25">
      <c r="A97">
        <v>0.47335387807669965</v>
      </c>
      <c r="B97">
        <v>9.9347677177407437E-6</v>
      </c>
      <c r="C97">
        <v>2.1635719247842315E-6</v>
      </c>
      <c r="D97">
        <v>2.1428569999999998</v>
      </c>
      <c r="E97">
        <v>205.04186429527005</v>
      </c>
      <c r="F97">
        <v>6.5466448445171848</v>
      </c>
      <c r="G97">
        <v>7.0749596015529978E-2</v>
      </c>
      <c r="H97">
        <v>32.882551100000001</v>
      </c>
    </row>
    <row r="98" spans="1:8" x14ac:dyDescent="0.25">
      <c r="A98">
        <v>0.47413578207964907</v>
      </c>
      <c r="B98">
        <v>2.164366550310339E-5</v>
      </c>
      <c r="C98">
        <v>1.2466755319148938E-6</v>
      </c>
      <c r="D98">
        <v>4.1666660000000002</v>
      </c>
      <c r="E98">
        <v>243.53527710713902</v>
      </c>
      <c r="F98">
        <v>3.125</v>
      </c>
      <c r="G98">
        <v>0.12929873074017123</v>
      </c>
      <c r="H98">
        <v>37.705874940000001</v>
      </c>
    </row>
    <row r="99" spans="1:8" x14ac:dyDescent="0.25">
      <c r="A99">
        <v>0.47413578207964907</v>
      </c>
      <c r="B99">
        <v>2.164366550310339E-5</v>
      </c>
      <c r="C99">
        <v>1.2466755319148938E-6</v>
      </c>
      <c r="D99">
        <v>4.1666660000000002</v>
      </c>
      <c r="E99">
        <v>138.10347544532971</v>
      </c>
      <c r="F99">
        <v>3.125</v>
      </c>
      <c r="G99">
        <v>0.13149567002303011</v>
      </c>
      <c r="H99">
        <v>38.346542620000001</v>
      </c>
    </row>
    <row r="100" spans="1:8" x14ac:dyDescent="0.25">
      <c r="A100">
        <v>0.47413578207964907</v>
      </c>
      <c r="B100">
        <v>2.164366550310339E-5</v>
      </c>
      <c r="C100">
        <v>1.2466755319148938E-6</v>
      </c>
      <c r="D100">
        <v>4.1666660000000002</v>
      </c>
      <c r="E100">
        <v>89.03101739963067</v>
      </c>
      <c r="F100">
        <v>3.125</v>
      </c>
      <c r="G100">
        <v>0.13173778024752422</v>
      </c>
      <c r="H100">
        <v>38.417146389999999</v>
      </c>
    </row>
    <row r="101" spans="1:8" x14ac:dyDescent="0.25">
      <c r="A101">
        <v>0.49389136064367067</v>
      </c>
      <c r="B101">
        <v>1.99468085106383E-5</v>
      </c>
      <c r="C101">
        <v>1.2466755319148938E-6</v>
      </c>
      <c r="D101">
        <v>4</v>
      </c>
      <c r="E101">
        <v>243.53527710713902</v>
      </c>
      <c r="F101">
        <v>3.125</v>
      </c>
      <c r="G101">
        <v>0.13513551879875879</v>
      </c>
      <c r="H101">
        <v>37.831675590000003</v>
      </c>
    </row>
    <row r="102" spans="1:8" x14ac:dyDescent="0.25">
      <c r="A102">
        <v>0.49389136064367067</v>
      </c>
      <c r="B102">
        <v>1.99468085106383E-5</v>
      </c>
      <c r="C102">
        <v>1.2466755319148938E-6</v>
      </c>
      <c r="D102">
        <v>4</v>
      </c>
      <c r="E102">
        <v>138.10347544532971</v>
      </c>
      <c r="F102">
        <v>3.125</v>
      </c>
      <c r="G102">
        <v>0.13724784334252568</v>
      </c>
      <c r="H102">
        <v>38.423028459999998</v>
      </c>
    </row>
    <row r="103" spans="1:8" x14ac:dyDescent="0.25">
      <c r="A103">
        <v>0.49389136064367067</v>
      </c>
      <c r="B103">
        <v>1.99468085106383E-5</v>
      </c>
      <c r="C103">
        <v>1.2466755319148938E-6</v>
      </c>
      <c r="D103">
        <v>4</v>
      </c>
      <c r="E103">
        <v>89.031017399630656</v>
      </c>
      <c r="F103">
        <v>3.125</v>
      </c>
      <c r="G103">
        <v>0.13735174638048478</v>
      </c>
      <c r="H103">
        <v>38.452116490000002</v>
      </c>
    </row>
    <row r="104" spans="1:8" x14ac:dyDescent="0.25">
      <c r="A104">
        <v>0.49845597767167615</v>
      </c>
      <c r="B104">
        <v>9.9255350966968247E-6</v>
      </c>
      <c r="C104">
        <v>2.1615612648221343E-6</v>
      </c>
      <c r="D104">
        <v>2.1428569999999998</v>
      </c>
      <c r="E104">
        <v>78.826542747425407</v>
      </c>
      <c r="F104">
        <v>4.658385093167702</v>
      </c>
      <c r="G104">
        <v>0.10432637394196963</v>
      </c>
      <c r="H104">
        <v>48.53325735</v>
      </c>
    </row>
    <row r="105" spans="1:8" x14ac:dyDescent="0.25">
      <c r="A105">
        <v>0.49845597767167615</v>
      </c>
      <c r="B105">
        <v>9.9255350966968247E-6</v>
      </c>
      <c r="C105">
        <v>2.1615612648221343E-6</v>
      </c>
      <c r="D105">
        <v>2.1428569999999998</v>
      </c>
      <c r="E105">
        <v>122.35278120499214</v>
      </c>
      <c r="F105">
        <v>4.658385093167702</v>
      </c>
      <c r="G105">
        <v>0.10601127147966498</v>
      </c>
      <c r="H105">
        <v>49.317081829999999</v>
      </c>
    </row>
    <row r="106" spans="1:8" x14ac:dyDescent="0.25">
      <c r="A106">
        <v>0.49845597767167615</v>
      </c>
      <c r="B106">
        <v>9.9255350966968247E-6</v>
      </c>
      <c r="C106">
        <v>2.1615612648221343E-6</v>
      </c>
      <c r="D106">
        <v>2.1428569999999998</v>
      </c>
      <c r="E106">
        <v>215.91529649274648</v>
      </c>
      <c r="F106">
        <v>4.658385093167702</v>
      </c>
      <c r="G106">
        <v>0.10668711268878124</v>
      </c>
      <c r="H106">
        <v>49.631487229999998</v>
      </c>
    </row>
    <row r="107" spans="1:8" x14ac:dyDescent="0.25">
      <c r="A107">
        <v>0.50099771115652914</v>
      </c>
      <c r="B107">
        <v>1.8397720448845503E-5</v>
      </c>
      <c r="C107">
        <v>7.3590881795382032E-7</v>
      </c>
      <c r="D107">
        <v>5</v>
      </c>
      <c r="E107">
        <v>112.89004904089857</v>
      </c>
      <c r="F107">
        <v>6.5466448445171848</v>
      </c>
      <c r="G107">
        <v>6.7920845269306307E-2</v>
      </c>
      <c r="H107">
        <v>17.89559199</v>
      </c>
    </row>
    <row r="108" spans="1:8" x14ac:dyDescent="0.25">
      <c r="A108">
        <v>0.50099771115652914</v>
      </c>
      <c r="B108">
        <v>1.8397720448845503E-5</v>
      </c>
      <c r="C108">
        <v>7.3590881795382032E-7</v>
      </c>
      <c r="D108">
        <v>5</v>
      </c>
      <c r="E108">
        <v>308.79922726714562</v>
      </c>
      <c r="F108">
        <v>6.5466448445171848</v>
      </c>
      <c r="G108">
        <v>6.8848899610570141E-2</v>
      </c>
      <c r="H108">
        <v>18.140113119999999</v>
      </c>
    </row>
    <row r="109" spans="1:8" x14ac:dyDescent="0.25">
      <c r="A109">
        <v>0.50099771115652914</v>
      </c>
      <c r="B109">
        <v>1.8397720448845503E-5</v>
      </c>
      <c r="C109">
        <v>7.3590881795382032E-7</v>
      </c>
      <c r="D109">
        <v>5</v>
      </c>
      <c r="E109">
        <v>175.11321976431191</v>
      </c>
      <c r="F109">
        <v>6.5466448445171848</v>
      </c>
      <c r="G109">
        <v>6.8975543525095398E-2</v>
      </c>
      <c r="H109">
        <v>18.173480900000001</v>
      </c>
    </row>
    <row r="110" spans="1:8" x14ac:dyDescent="0.25">
      <c r="A110">
        <v>0.50099776125630535</v>
      </c>
      <c r="B110">
        <v>1.2265144512867734E-5</v>
      </c>
      <c r="C110">
        <v>1.1038632269307305E-6</v>
      </c>
      <c r="D110">
        <v>3.3333330000000001</v>
      </c>
      <c r="E110">
        <v>75.260032693932388</v>
      </c>
      <c r="F110">
        <v>6.5466448445171848</v>
      </c>
      <c r="G110">
        <v>6.7233550086890026E-2</v>
      </c>
      <c r="H110">
        <v>17.714503629999999</v>
      </c>
    </row>
    <row r="111" spans="1:8" x14ac:dyDescent="0.25">
      <c r="A111">
        <v>0.50099776125630535</v>
      </c>
      <c r="B111">
        <v>1.2265144512867734E-5</v>
      </c>
      <c r="C111">
        <v>1.1038632269307305E-6</v>
      </c>
      <c r="D111">
        <v>3.3333330000000001</v>
      </c>
      <c r="E111">
        <v>116.74214650954126</v>
      </c>
      <c r="F111">
        <v>6.5466448445171848</v>
      </c>
      <c r="G111">
        <v>6.9901505016120302E-2</v>
      </c>
      <c r="H111">
        <v>18.41744877</v>
      </c>
    </row>
    <row r="112" spans="1:8" x14ac:dyDescent="0.25">
      <c r="A112">
        <v>0.50099776125630535</v>
      </c>
      <c r="B112">
        <v>1.2265144512867734E-5</v>
      </c>
      <c r="C112">
        <v>1.1038632269307305E-6</v>
      </c>
      <c r="D112">
        <v>3.3333330000000001</v>
      </c>
      <c r="E112">
        <v>205.86615151143047</v>
      </c>
      <c r="F112">
        <v>6.5466448445171848</v>
      </c>
      <c r="G112">
        <v>7.1082711581220287E-2</v>
      </c>
      <c r="H112">
        <v>18.728669700000001</v>
      </c>
    </row>
    <row r="113" spans="1:8" x14ac:dyDescent="0.25">
      <c r="A113">
        <v>0.5016298702146671</v>
      </c>
      <c r="B113">
        <v>7.5500289182181192E-6</v>
      </c>
      <c r="C113">
        <v>1.6289893617021279E-6</v>
      </c>
      <c r="D113">
        <v>2.152857</v>
      </c>
      <c r="E113">
        <v>360.06072596710328</v>
      </c>
      <c r="F113">
        <v>3.125</v>
      </c>
      <c r="G113" s="1">
        <v>0.14273162100416587</v>
      </c>
      <c r="H113">
        <v>39.341806849999998</v>
      </c>
    </row>
    <row r="114" spans="1:8" x14ac:dyDescent="0.25">
      <c r="A114">
        <v>0.5016298702146671</v>
      </c>
      <c r="B114">
        <v>7.5500289182181192E-6</v>
      </c>
      <c r="C114">
        <v>1.6289893617021279E-6</v>
      </c>
      <c r="D114">
        <v>2.152857</v>
      </c>
      <c r="E114">
        <v>130.98248794896142</v>
      </c>
      <c r="F114">
        <v>3.125</v>
      </c>
      <c r="G114">
        <v>0.14348157577589252</v>
      </c>
      <c r="H114">
        <v>39.548520510000003</v>
      </c>
    </row>
    <row r="115" spans="1:8" x14ac:dyDescent="0.25">
      <c r="A115">
        <v>0.5016298702146671</v>
      </c>
      <c r="B115">
        <v>7.5500289182181192E-6</v>
      </c>
      <c r="C115">
        <v>1.6289893617021279E-6</v>
      </c>
      <c r="D115">
        <v>2.152857</v>
      </c>
      <c r="E115">
        <v>203.65093558064018</v>
      </c>
      <c r="F115">
        <v>3.125</v>
      </c>
      <c r="G115">
        <v>0.14365680028967526</v>
      </c>
      <c r="H115">
        <v>39.596818489999997</v>
      </c>
    </row>
    <row r="116" spans="1:8" x14ac:dyDescent="0.25">
      <c r="A116">
        <v>0.50397071569052498</v>
      </c>
      <c r="B116">
        <v>2.077793051861732E-5</v>
      </c>
      <c r="C116">
        <v>1.6289893617021279E-6</v>
      </c>
      <c r="D116">
        <v>3.5714290000000002</v>
      </c>
      <c r="E116">
        <v>363.84024430267061</v>
      </c>
      <c r="F116">
        <v>3.125</v>
      </c>
      <c r="G116">
        <v>0.13786043681776128</v>
      </c>
      <c r="H116">
        <v>63.037733709999998</v>
      </c>
    </row>
    <row r="117" spans="1:8" x14ac:dyDescent="0.25">
      <c r="A117">
        <v>0.50397071569052498</v>
      </c>
      <c r="B117">
        <v>2.077793051861732E-5</v>
      </c>
      <c r="C117">
        <v>1.6289893617021279E-6</v>
      </c>
      <c r="D117">
        <v>3.5714290000000002</v>
      </c>
      <c r="E117">
        <v>206.17745258373142</v>
      </c>
      <c r="F117">
        <v>3.125</v>
      </c>
      <c r="G117">
        <v>0.14046248290004767</v>
      </c>
      <c r="H117">
        <v>64.22753908</v>
      </c>
    </row>
    <row r="118" spans="1:8" x14ac:dyDescent="0.25">
      <c r="A118">
        <v>0.50397071569052498</v>
      </c>
      <c r="B118">
        <v>2.077793051861732E-5</v>
      </c>
      <c r="C118">
        <v>1.6289893617021279E-6</v>
      </c>
      <c r="D118">
        <v>3.5714290000000002</v>
      </c>
      <c r="E118">
        <v>132.83111033183172</v>
      </c>
      <c r="F118">
        <v>3.125</v>
      </c>
      <c r="G118">
        <v>0.1412078367078767</v>
      </c>
      <c r="H118">
        <v>64.568357779999999</v>
      </c>
    </row>
    <row r="119" spans="1:8" x14ac:dyDescent="0.25">
      <c r="A119">
        <v>0.50397075096847332</v>
      </c>
      <c r="B119">
        <v>1.32978736702128E-5</v>
      </c>
      <c r="C119">
        <v>1.6289893617021279E-6</v>
      </c>
      <c r="D119">
        <v>2.8571430000000002</v>
      </c>
      <c r="E119">
        <v>362.04610769891588</v>
      </c>
      <c r="F119">
        <v>3.125</v>
      </c>
      <c r="G119">
        <v>0.14081582489276614</v>
      </c>
      <c r="H119">
        <v>51.511282309999999</v>
      </c>
    </row>
    <row r="120" spans="1:8" x14ac:dyDescent="0.25">
      <c r="A120">
        <v>0.50397075096847332</v>
      </c>
      <c r="B120">
        <v>1.32978736702128E-5</v>
      </c>
      <c r="C120">
        <v>1.6289893617021279E-6</v>
      </c>
      <c r="D120">
        <v>2.8571430000000002</v>
      </c>
      <c r="E120">
        <v>204.97811546381399</v>
      </c>
      <c r="F120">
        <v>3.125</v>
      </c>
      <c r="G120">
        <v>0.14246231335559759</v>
      </c>
      <c r="H120">
        <v>52.113577769999999</v>
      </c>
    </row>
    <row r="121" spans="1:8" x14ac:dyDescent="0.25">
      <c r="A121">
        <v>0.50397075096847332</v>
      </c>
      <c r="B121">
        <v>1.32978736702128E-5</v>
      </c>
      <c r="C121">
        <v>1.6289893617021279E-6</v>
      </c>
      <c r="D121">
        <v>2.8571430000000002</v>
      </c>
      <c r="E121">
        <v>131.95356965358812</v>
      </c>
      <c r="F121">
        <v>3.125</v>
      </c>
      <c r="G121">
        <v>0.14270028232097687</v>
      </c>
      <c r="H121">
        <v>52.200628260000002</v>
      </c>
    </row>
    <row r="122" spans="1:8" x14ac:dyDescent="0.25">
      <c r="A122">
        <v>0.52681745135324864</v>
      </c>
      <c r="B122">
        <v>3.1166888297872338E-5</v>
      </c>
      <c r="C122">
        <v>1.2466755319148938E-6</v>
      </c>
      <c r="D122">
        <v>5</v>
      </c>
      <c r="E122">
        <v>245.51728968058615</v>
      </c>
      <c r="F122">
        <v>3.125</v>
      </c>
      <c r="G122">
        <v>0.13926425652968236</v>
      </c>
      <c r="H122">
        <v>48.734413250000003</v>
      </c>
    </row>
    <row r="123" spans="1:8" x14ac:dyDescent="0.25">
      <c r="A123">
        <v>0.52681745135324864</v>
      </c>
      <c r="B123">
        <v>3.1166888297872338E-5</v>
      </c>
      <c r="C123">
        <v>1.2466755319148938E-6</v>
      </c>
      <c r="D123">
        <v>5</v>
      </c>
      <c r="E123">
        <v>139.4284031272596</v>
      </c>
      <c r="F123">
        <v>3.125</v>
      </c>
      <c r="G123">
        <v>0.14326758453045854</v>
      </c>
      <c r="H123">
        <v>50.135345880000003</v>
      </c>
    </row>
    <row r="124" spans="1:8" x14ac:dyDescent="0.25">
      <c r="A124">
        <v>0.52681745135324864</v>
      </c>
      <c r="B124">
        <v>3.1166888297872338E-5</v>
      </c>
      <c r="C124">
        <v>1.2466755319148938E-6</v>
      </c>
      <c r="D124">
        <v>5</v>
      </c>
      <c r="E124">
        <v>90.000451195446502</v>
      </c>
      <c r="F124">
        <v>3.125</v>
      </c>
      <c r="G124">
        <v>0.14423867981047894</v>
      </c>
      <c r="H124">
        <v>50.475172909999998</v>
      </c>
    </row>
    <row r="125" spans="1:8" x14ac:dyDescent="0.25">
      <c r="A125">
        <v>0.52756577159664819</v>
      </c>
      <c r="B125">
        <v>1.8380623000188215E-5</v>
      </c>
      <c r="C125">
        <v>7.3522492000752879E-7</v>
      </c>
      <c r="D125">
        <v>5</v>
      </c>
      <c r="E125">
        <v>118.87664255064321</v>
      </c>
      <c r="F125">
        <v>4.658385093167702</v>
      </c>
      <c r="G125">
        <v>0.10656672507904601</v>
      </c>
      <c r="H125">
        <v>28.104016720000001</v>
      </c>
    </row>
    <row r="126" spans="1:8" x14ac:dyDescent="0.25">
      <c r="A126">
        <v>0.52756577159664819</v>
      </c>
      <c r="B126">
        <v>1.8380623000188215E-5</v>
      </c>
      <c r="C126">
        <v>7.3522492000752879E-7</v>
      </c>
      <c r="D126">
        <v>5</v>
      </c>
      <c r="E126">
        <v>325.1749438646458</v>
      </c>
      <c r="F126">
        <v>4.658385093167702</v>
      </c>
      <c r="G126">
        <v>0.10676208326221215</v>
      </c>
      <c r="H126">
        <v>28.155537020000001</v>
      </c>
    </row>
    <row r="127" spans="1:8" x14ac:dyDescent="0.25">
      <c r="A127">
        <v>0.52756577159664819</v>
      </c>
      <c r="B127">
        <v>1.8380623000188215E-5</v>
      </c>
      <c r="C127">
        <v>7.3522492000752879E-7</v>
      </c>
      <c r="D127">
        <v>5</v>
      </c>
      <c r="E127">
        <v>184.39952687302542</v>
      </c>
      <c r="F127">
        <v>4.658385093167702</v>
      </c>
      <c r="G127">
        <v>0.10708628715236621</v>
      </c>
      <c r="H127">
        <v>28.2410368</v>
      </c>
    </row>
    <row r="128" spans="1:8" x14ac:dyDescent="0.25">
      <c r="A128">
        <v>0.52756582435323063</v>
      </c>
      <c r="B128">
        <v>1.2253746216042535E-5</v>
      </c>
      <c r="C128">
        <v>1.1028373800112932E-6</v>
      </c>
      <c r="D128">
        <v>3.3333330000000001</v>
      </c>
      <c r="E128">
        <v>79.251095033762127</v>
      </c>
      <c r="F128">
        <v>4.658385093167702</v>
      </c>
      <c r="G128">
        <v>0.10694642368118347</v>
      </c>
      <c r="H128">
        <v>28.204148870000001</v>
      </c>
    </row>
    <row r="129" spans="1:8" x14ac:dyDescent="0.25">
      <c r="A129">
        <v>0.52756582435323063</v>
      </c>
      <c r="B129">
        <v>1.2253746216042535E-5</v>
      </c>
      <c r="C129">
        <v>1.1028373800112932E-6</v>
      </c>
      <c r="D129">
        <v>3.3333330000000001</v>
      </c>
      <c r="E129">
        <v>122.93301791535026</v>
      </c>
      <c r="F129">
        <v>4.658385093167702</v>
      </c>
      <c r="G129">
        <v>0.10866592748492675</v>
      </c>
      <c r="H129">
        <v>28.65762024</v>
      </c>
    </row>
    <row r="130" spans="1:8" x14ac:dyDescent="0.25">
      <c r="A130">
        <v>0.52756582435323063</v>
      </c>
      <c r="B130">
        <v>1.2253746216042535E-5</v>
      </c>
      <c r="C130">
        <v>1.1028373800112932E-6</v>
      </c>
      <c r="D130">
        <v>3.3333330000000001</v>
      </c>
      <c r="E130">
        <v>216.78329590976389</v>
      </c>
      <c r="F130">
        <v>4.658385093167702</v>
      </c>
      <c r="G130">
        <v>0.10923653343091597</v>
      </c>
      <c r="H130">
        <v>28.808101709999999</v>
      </c>
    </row>
    <row r="131" spans="1:8" x14ac:dyDescent="0.25">
      <c r="A131">
        <v>0.53252305070859374</v>
      </c>
      <c r="B131">
        <v>1.1774542264715262E-5</v>
      </c>
      <c r="C131">
        <v>1.4423812831894878E-6</v>
      </c>
      <c r="D131">
        <v>2.8571430000000002</v>
      </c>
      <c r="E131">
        <v>112.28529110784339</v>
      </c>
      <c r="F131">
        <v>6.5466448445171848</v>
      </c>
      <c r="G131">
        <v>7.5003840880599637E-2</v>
      </c>
      <c r="H131">
        <v>30.98650335</v>
      </c>
    </row>
    <row r="132" spans="1:8" x14ac:dyDescent="0.25">
      <c r="A132">
        <v>0.53252305070859374</v>
      </c>
      <c r="B132">
        <v>1.1774542264715262E-5</v>
      </c>
      <c r="C132">
        <v>1.4423812831894878E-6</v>
      </c>
      <c r="D132">
        <v>2.8571430000000002</v>
      </c>
      <c r="E132">
        <v>174.28669552941329</v>
      </c>
      <c r="F132">
        <v>6.5466448445171848</v>
      </c>
      <c r="G132">
        <v>7.668359354837874E-2</v>
      </c>
      <c r="H132">
        <v>31.6804633</v>
      </c>
    </row>
    <row r="133" spans="1:8" x14ac:dyDescent="0.25">
      <c r="A133">
        <v>0.53252305070859374</v>
      </c>
      <c r="B133">
        <v>1.1774542264715262E-5</v>
      </c>
      <c r="C133">
        <v>1.4423812831894878E-6</v>
      </c>
      <c r="D133">
        <v>2.8571430000000002</v>
      </c>
      <c r="E133">
        <v>307.56279644290504</v>
      </c>
      <c r="F133">
        <v>6.5466448445171848</v>
      </c>
      <c r="G133">
        <v>7.7169245114411048E-2</v>
      </c>
      <c r="H133">
        <v>31.881101610000002</v>
      </c>
    </row>
    <row r="134" spans="1:8" x14ac:dyDescent="0.25">
      <c r="A134">
        <v>0.54876818727325849</v>
      </c>
      <c r="B134">
        <v>2.077792486702128E-5</v>
      </c>
      <c r="C134">
        <v>1.1968085106382979E-6</v>
      </c>
      <c r="D134">
        <v>4.1666666000000001</v>
      </c>
      <c r="E134">
        <v>364.5908064048424</v>
      </c>
      <c r="F134">
        <v>3.125</v>
      </c>
      <c r="G134">
        <v>0.14914497363113838</v>
      </c>
      <c r="H134">
        <v>50.104406760000003</v>
      </c>
    </row>
    <row r="135" spans="1:8" x14ac:dyDescent="0.25">
      <c r="A135">
        <v>0.54876818727325849</v>
      </c>
      <c r="B135">
        <v>2.077792486702128E-5</v>
      </c>
      <c r="C135">
        <v>1.1968085106382979E-6</v>
      </c>
      <c r="D135">
        <v>4.1666666000000001</v>
      </c>
      <c r="E135">
        <v>206.67918527680177</v>
      </c>
      <c r="F135">
        <v>3.125</v>
      </c>
      <c r="G135">
        <v>0.15210036043381103</v>
      </c>
      <c r="H135">
        <v>51.097252169999997</v>
      </c>
    </row>
    <row r="136" spans="1:8" x14ac:dyDescent="0.25">
      <c r="A136">
        <v>0.54876818727325849</v>
      </c>
      <c r="B136">
        <v>2.077792486702128E-5</v>
      </c>
      <c r="C136">
        <v>1.1968085106382979E-6</v>
      </c>
      <c r="D136">
        <v>4.1666666000000001</v>
      </c>
      <c r="E136">
        <v>133.19822216424473</v>
      </c>
      <c r="F136">
        <v>3.125</v>
      </c>
      <c r="G136">
        <v>0.15288879135574535</v>
      </c>
      <c r="H136">
        <v>51.36212106</v>
      </c>
    </row>
    <row r="137" spans="1:8" x14ac:dyDescent="0.25">
      <c r="A137">
        <v>0.55666412350725469</v>
      </c>
      <c r="B137">
        <v>1.7661811630891689E-5</v>
      </c>
      <c r="C137">
        <v>1.1038632269307305E-6</v>
      </c>
      <c r="D137">
        <v>4</v>
      </c>
      <c r="E137">
        <v>76.07951809687026</v>
      </c>
      <c r="F137">
        <v>6.5466448445171848</v>
      </c>
      <c r="G137">
        <v>7.1956830624721316E-2</v>
      </c>
      <c r="H137">
        <v>22.75077838</v>
      </c>
    </row>
    <row r="138" spans="1:8" x14ac:dyDescent="0.25">
      <c r="A138">
        <v>0.55666412350725469</v>
      </c>
      <c r="B138">
        <v>1.7661811630891689E-5</v>
      </c>
      <c r="C138">
        <v>1.1038632269307305E-6</v>
      </c>
      <c r="D138">
        <v>4</v>
      </c>
      <c r="E138">
        <v>117.86213933419428</v>
      </c>
      <c r="F138">
        <v>6.5466448445171848</v>
      </c>
      <c r="G138">
        <v>7.4896312457506428E-2</v>
      </c>
      <c r="H138">
        <v>23.680161999999999</v>
      </c>
    </row>
    <row r="139" spans="1:8" x14ac:dyDescent="0.25">
      <c r="A139">
        <v>0.55666412350725469</v>
      </c>
      <c r="B139">
        <v>1.7661811630891689E-5</v>
      </c>
      <c r="C139">
        <v>1.1038632269307305E-6</v>
      </c>
      <c r="D139">
        <v>4</v>
      </c>
      <c r="E139">
        <v>207.54159379474012</v>
      </c>
      <c r="F139">
        <v>6.5466448445171848</v>
      </c>
      <c r="G139">
        <v>7.581631529151503E-2</v>
      </c>
      <c r="H139">
        <v>23.97104169</v>
      </c>
    </row>
    <row r="140" spans="1:8" x14ac:dyDescent="0.25">
      <c r="A140">
        <v>0.5566641235072548</v>
      </c>
      <c r="B140">
        <v>9.9347690423765725E-6</v>
      </c>
      <c r="C140">
        <v>1.1038632269307305E-6</v>
      </c>
      <c r="D140">
        <v>3</v>
      </c>
      <c r="E140">
        <v>75.260032693932402</v>
      </c>
      <c r="F140">
        <v>6.5466448445171848</v>
      </c>
      <c r="G140">
        <v>7.3518000325491398E-2</v>
      </c>
      <c r="H140">
        <v>17.433283100000001</v>
      </c>
    </row>
    <row r="141" spans="1:8" x14ac:dyDescent="0.25">
      <c r="A141">
        <v>0.5566641235072548</v>
      </c>
      <c r="B141">
        <v>9.9347690423765725E-6</v>
      </c>
      <c r="C141">
        <v>1.1038632269307305E-6</v>
      </c>
      <c r="D141">
        <v>3</v>
      </c>
      <c r="E141">
        <v>116.74214650954129</v>
      </c>
      <c r="F141">
        <v>6.5466448445171848</v>
      </c>
      <c r="G141">
        <v>7.7291560269048834E-2</v>
      </c>
      <c r="H141">
        <v>18.328105300000001</v>
      </c>
    </row>
    <row r="142" spans="1:8" x14ac:dyDescent="0.25">
      <c r="A142">
        <v>0.5566641235072548</v>
      </c>
      <c r="B142">
        <v>9.9347690423765725E-6</v>
      </c>
      <c r="C142">
        <v>1.1038632269307305E-6</v>
      </c>
      <c r="D142">
        <v>3</v>
      </c>
      <c r="E142">
        <v>205.86615151143047</v>
      </c>
      <c r="F142">
        <v>6.5466448445171848</v>
      </c>
      <c r="G142">
        <v>7.9190116340258243E-2</v>
      </c>
      <c r="H142">
        <v>18.778308859999999</v>
      </c>
    </row>
    <row r="143" spans="1:8" x14ac:dyDescent="0.25">
      <c r="A143">
        <v>0.55996756640562761</v>
      </c>
      <c r="B143">
        <v>1.1220078291223454E-5</v>
      </c>
      <c r="C143">
        <v>2.4434840425531916E-6</v>
      </c>
      <c r="D143">
        <v>2.1428569999999998</v>
      </c>
      <c r="E143">
        <v>242.56016286844712</v>
      </c>
      <c r="F143">
        <v>3.125</v>
      </c>
      <c r="G143">
        <v>0.15860755739958593</v>
      </c>
      <c r="H143">
        <v>65.272049030000005</v>
      </c>
    </row>
    <row r="144" spans="1:8" x14ac:dyDescent="0.25">
      <c r="A144">
        <v>0.55996756640562761</v>
      </c>
      <c r="B144">
        <v>1.1220078291223454E-5</v>
      </c>
      <c r="C144">
        <v>2.4434840425531916E-6</v>
      </c>
      <c r="D144">
        <v>2.1428569999999998</v>
      </c>
      <c r="E144">
        <v>88.554073554554492</v>
      </c>
      <c r="F144">
        <v>3.125</v>
      </c>
      <c r="G144">
        <v>0.158811006770569</v>
      </c>
      <c r="H144">
        <v>65.355774909999994</v>
      </c>
    </row>
    <row r="145" spans="1:8" x14ac:dyDescent="0.25">
      <c r="A145">
        <v>0.55996756640562761</v>
      </c>
      <c r="B145">
        <v>1.1220078291223454E-5</v>
      </c>
      <c r="C145">
        <v>2.4434840425531916E-6</v>
      </c>
      <c r="D145">
        <v>2.1428569999999998</v>
      </c>
      <c r="E145">
        <v>137.45163505582096</v>
      </c>
      <c r="F145">
        <v>3.125</v>
      </c>
      <c r="G145">
        <v>0.15967179977550655</v>
      </c>
      <c r="H145">
        <v>65.710018579999996</v>
      </c>
    </row>
    <row r="146" spans="1:8" x14ac:dyDescent="0.25">
      <c r="A146">
        <v>0.56076290945829188</v>
      </c>
      <c r="B146">
        <v>1.1763599896480362E-5</v>
      </c>
      <c r="C146">
        <v>1.4410408432147564E-6</v>
      </c>
      <c r="D146">
        <v>2.8571430000000002</v>
      </c>
      <c r="E146">
        <v>118.23981412113811</v>
      </c>
      <c r="F146">
        <v>4.658385093167702</v>
      </c>
      <c r="G146">
        <v>0.11653288326829039</v>
      </c>
      <c r="H146">
        <v>48.188271389999997</v>
      </c>
    </row>
    <row r="147" spans="1:8" x14ac:dyDescent="0.25">
      <c r="A147">
        <v>0.56076290945829188</v>
      </c>
      <c r="B147">
        <v>1.1763599896480362E-5</v>
      </c>
      <c r="C147">
        <v>1.4410408432147564E-6</v>
      </c>
      <c r="D147">
        <v>2.8571430000000002</v>
      </c>
      <c r="E147">
        <v>183.52917180748824</v>
      </c>
      <c r="F147">
        <v>4.658385093167702</v>
      </c>
      <c r="G147">
        <v>0.11747624564667672</v>
      </c>
      <c r="H147">
        <v>48.578367309999997</v>
      </c>
    </row>
    <row r="148" spans="1:8" x14ac:dyDescent="0.25">
      <c r="A148">
        <v>0.56076290945829188</v>
      </c>
      <c r="B148">
        <v>1.1763599896480362E-5</v>
      </c>
      <c r="C148">
        <v>1.4410408432147564E-6</v>
      </c>
      <c r="D148">
        <v>2.8571430000000002</v>
      </c>
      <c r="E148">
        <v>323.8729447391197</v>
      </c>
      <c r="F148">
        <v>4.658385093167702</v>
      </c>
      <c r="G148">
        <v>0.11754028763593061</v>
      </c>
      <c r="H148">
        <v>48.604849729999998</v>
      </c>
    </row>
    <row r="149" spans="1:8" x14ac:dyDescent="0.25">
      <c r="A149">
        <v>0.58618419066294247</v>
      </c>
      <c r="B149">
        <v>1.7645398080180691E-5</v>
      </c>
      <c r="C149">
        <v>1.1028373800112932E-6</v>
      </c>
      <c r="D149">
        <v>4</v>
      </c>
      <c r="E149">
        <v>80.114037995946703</v>
      </c>
      <c r="F149">
        <v>4.658385093167702</v>
      </c>
      <c r="G149">
        <v>0.11665441112147545</v>
      </c>
      <c r="H149">
        <v>36.917236799999998</v>
      </c>
    </row>
    <row r="150" spans="1:8" x14ac:dyDescent="0.25">
      <c r="A150">
        <v>0.58618419066294247</v>
      </c>
      <c r="B150">
        <v>9.9255364201016368E-6</v>
      </c>
      <c r="C150">
        <v>1.1028373800112932E-6</v>
      </c>
      <c r="D150">
        <v>3</v>
      </c>
      <c r="E150">
        <v>79.251095033762155</v>
      </c>
      <c r="F150">
        <v>4.658385093167702</v>
      </c>
      <c r="G150">
        <v>0.1184664585684131</v>
      </c>
      <c r="H150">
        <v>28.11801711</v>
      </c>
    </row>
    <row r="151" spans="1:8" x14ac:dyDescent="0.25">
      <c r="A151">
        <v>0.58618419066294247</v>
      </c>
      <c r="B151">
        <v>1.7645398080180691E-5</v>
      </c>
      <c r="C151">
        <v>1.1028373800112932E-6</v>
      </c>
      <c r="D151">
        <v>4</v>
      </c>
      <c r="E151">
        <v>124.11240429888639</v>
      </c>
      <c r="F151">
        <v>4.658385093167702</v>
      </c>
      <c r="G151">
        <v>0.11850589829432441</v>
      </c>
      <c r="H151">
        <v>37.503170840000003</v>
      </c>
    </row>
    <row r="152" spans="1:8" x14ac:dyDescent="0.25">
      <c r="A152">
        <v>0.58618419066294247</v>
      </c>
      <c r="B152">
        <v>1.7645398080180691E-5</v>
      </c>
      <c r="C152">
        <v>1.1028373800112932E-6</v>
      </c>
      <c r="D152">
        <v>4</v>
      </c>
      <c r="E152">
        <v>218.54758740506725</v>
      </c>
      <c r="F152">
        <v>4.658385093167702</v>
      </c>
      <c r="G152">
        <v>0.11879019360671352</v>
      </c>
      <c r="H152">
        <v>37.593140839999997</v>
      </c>
    </row>
    <row r="153" spans="1:8" x14ac:dyDescent="0.25">
      <c r="A153">
        <v>0.58618419066294247</v>
      </c>
      <c r="B153">
        <v>9.9255364201016368E-6</v>
      </c>
      <c r="C153">
        <v>1.1028373800112932E-6</v>
      </c>
      <c r="D153">
        <v>3</v>
      </c>
      <c r="E153">
        <v>122.93301791535029</v>
      </c>
      <c r="F153">
        <v>4.658385093167702</v>
      </c>
      <c r="G153">
        <v>0.12096921126719293</v>
      </c>
      <c r="H153">
        <v>28.712045530000001</v>
      </c>
    </row>
    <row r="154" spans="1:8" x14ac:dyDescent="0.25">
      <c r="A154">
        <v>0.58618419066294247</v>
      </c>
      <c r="B154">
        <v>9.9255364201016368E-6</v>
      </c>
      <c r="C154">
        <v>1.1028373800112932E-6</v>
      </c>
      <c r="D154">
        <v>3</v>
      </c>
      <c r="E154">
        <v>216.78329590976389</v>
      </c>
      <c r="F154">
        <v>4.658385093167702</v>
      </c>
      <c r="G154">
        <v>0.12197020441328538</v>
      </c>
      <c r="H154">
        <v>28.949631279999998</v>
      </c>
    </row>
    <row r="155" spans="1:8" x14ac:dyDescent="0.25">
      <c r="A155">
        <v>0.59266963277240481</v>
      </c>
      <c r="B155">
        <v>2.0777925531914893E-5</v>
      </c>
      <c r="C155">
        <v>8.3111702127659595E-7</v>
      </c>
      <c r="D155">
        <v>5</v>
      </c>
      <c r="E155">
        <v>365.30291566070849</v>
      </c>
      <c r="F155">
        <v>3.125</v>
      </c>
      <c r="G155">
        <v>0.15992958723463155</v>
      </c>
      <c r="H155">
        <v>37.310720349999997</v>
      </c>
    </row>
    <row r="156" spans="1:8" x14ac:dyDescent="0.25">
      <c r="A156">
        <v>0.59266963277240481</v>
      </c>
      <c r="B156">
        <v>2.0777925531914893E-5</v>
      </c>
      <c r="C156">
        <v>8.3111702127659595E-7</v>
      </c>
      <c r="D156">
        <v>5</v>
      </c>
      <c r="E156">
        <v>207.1552131679945</v>
      </c>
      <c r="F156">
        <v>3.125</v>
      </c>
      <c r="G156">
        <v>0.16324028558231229</v>
      </c>
      <c r="H156">
        <v>38.083088629999999</v>
      </c>
    </row>
    <row r="157" spans="1:8" x14ac:dyDescent="0.25">
      <c r="A157">
        <v>0.59266963277240481</v>
      </c>
      <c r="B157">
        <v>2.0777925531914893E-5</v>
      </c>
      <c r="C157">
        <v>8.3111702127659595E-7</v>
      </c>
      <c r="D157">
        <v>5</v>
      </c>
      <c r="E157">
        <v>133.546526099446</v>
      </c>
      <c r="F157">
        <v>3.125</v>
      </c>
      <c r="G157">
        <v>0.1640559707826145</v>
      </c>
      <c r="H157">
        <v>38.273383639999999</v>
      </c>
    </row>
    <row r="158" spans="1:8" x14ac:dyDescent="0.25">
      <c r="A158">
        <v>0.59266969203937403</v>
      </c>
      <c r="B158">
        <v>1.3851947584219997E-5</v>
      </c>
      <c r="C158">
        <v>1.2466755319148938E-6</v>
      </c>
      <c r="D158">
        <v>3.3333330000000001</v>
      </c>
      <c r="E158">
        <v>243.53527710713905</v>
      </c>
      <c r="F158">
        <v>3.125</v>
      </c>
      <c r="G158">
        <v>0.16428210429226955</v>
      </c>
      <c r="H158">
        <v>38.326135549999996</v>
      </c>
    </row>
    <row r="159" spans="1:8" x14ac:dyDescent="0.25">
      <c r="A159">
        <v>0.59266969203937403</v>
      </c>
      <c r="B159">
        <v>1.3851947584219997E-5</v>
      </c>
      <c r="C159">
        <v>1.2466755319148938E-6</v>
      </c>
      <c r="D159">
        <v>3.3333330000000001</v>
      </c>
      <c r="E159">
        <v>89.031017399630656</v>
      </c>
      <c r="F159">
        <v>3.125</v>
      </c>
      <c r="G159">
        <v>0.16505447066337878</v>
      </c>
      <c r="H159">
        <v>38.506324489999997</v>
      </c>
    </row>
    <row r="160" spans="1:8" x14ac:dyDescent="0.25">
      <c r="A160">
        <v>0.59266969203937403</v>
      </c>
      <c r="B160">
        <v>1.3851947584219997E-5</v>
      </c>
      <c r="C160">
        <v>1.2466755319148938E-6</v>
      </c>
      <c r="D160">
        <v>3.3333330000000001</v>
      </c>
      <c r="E160">
        <v>138.10347544532968</v>
      </c>
      <c r="F160">
        <v>3.125</v>
      </c>
      <c r="G160">
        <v>0.1658308507999624</v>
      </c>
      <c r="H160">
        <v>38.687449819999998</v>
      </c>
    </row>
    <row r="161" spans="1:8" x14ac:dyDescent="0.25">
      <c r="A161">
        <v>0.60119734957941096</v>
      </c>
      <c r="B161">
        <v>1.2776190667760717E-5</v>
      </c>
      <c r="C161">
        <v>7.3590881795382032E-7</v>
      </c>
      <c r="D161">
        <v>4.1666660000000002</v>
      </c>
      <c r="E161">
        <v>112.89004904089857</v>
      </c>
      <c r="F161">
        <v>6.5466448445171848</v>
      </c>
      <c r="G161">
        <v>8.0315860029363084E-2</v>
      </c>
      <c r="H161">
        <v>17.634493330000002</v>
      </c>
    </row>
    <row r="162" spans="1:8" x14ac:dyDescent="0.25">
      <c r="A162">
        <v>0.60119734957941096</v>
      </c>
      <c r="B162">
        <v>1.2776190667760717E-5</v>
      </c>
      <c r="C162">
        <v>7.3590881795382032E-7</v>
      </c>
      <c r="D162">
        <v>4.1666660000000002</v>
      </c>
      <c r="E162">
        <v>175.11321976431191</v>
      </c>
      <c r="F162">
        <v>6.5466448445171848</v>
      </c>
      <c r="G162">
        <v>8.2536091152414781E-2</v>
      </c>
      <c r="H162">
        <v>18.121976759999999</v>
      </c>
    </row>
    <row r="163" spans="1:8" x14ac:dyDescent="0.25">
      <c r="A163">
        <v>0.60119734957941096</v>
      </c>
      <c r="B163">
        <v>1.2776190667760717E-5</v>
      </c>
      <c r="C163">
        <v>7.3590881795382032E-7</v>
      </c>
      <c r="D163">
        <v>4.1666660000000002</v>
      </c>
      <c r="E163">
        <v>308.79922726714568</v>
      </c>
      <c r="F163">
        <v>6.5466448445171848</v>
      </c>
      <c r="G163">
        <v>8.3121399995621917E-2</v>
      </c>
      <c r="H163">
        <v>18.25048967</v>
      </c>
    </row>
    <row r="164" spans="1:8" x14ac:dyDescent="0.25">
      <c r="A164">
        <v>0.60307624554374106</v>
      </c>
      <c r="B164">
        <v>1.0447224907247491E-5</v>
      </c>
      <c r="C164">
        <v>8.1449468085106394E-7</v>
      </c>
      <c r="D164">
        <v>3.581429</v>
      </c>
      <c r="E164">
        <v>720.12145193420645</v>
      </c>
      <c r="F164">
        <v>3.125</v>
      </c>
      <c r="G164">
        <v>0.16783232824523148</v>
      </c>
      <c r="H164">
        <v>38.478744200000001</v>
      </c>
    </row>
    <row r="165" spans="1:8" x14ac:dyDescent="0.25">
      <c r="A165">
        <v>0.60307624554374106</v>
      </c>
      <c r="B165">
        <v>1.0447224907247491E-5</v>
      </c>
      <c r="C165">
        <v>8.1449468085106394E-7</v>
      </c>
      <c r="D165">
        <v>3.581429</v>
      </c>
      <c r="E165">
        <v>407.3018711612803</v>
      </c>
      <c r="F165">
        <v>3.125</v>
      </c>
      <c r="G165">
        <v>0.16986722258813866</v>
      </c>
      <c r="H165">
        <v>38.945282319999997</v>
      </c>
    </row>
    <row r="166" spans="1:8" x14ac:dyDescent="0.25">
      <c r="A166">
        <v>0.60307624554374106</v>
      </c>
      <c r="B166">
        <v>1.0447224907247491E-5</v>
      </c>
      <c r="C166">
        <v>8.1449468085106394E-7</v>
      </c>
      <c r="D166">
        <v>3.581429</v>
      </c>
      <c r="E166">
        <v>261.96497589792284</v>
      </c>
      <c r="F166">
        <v>3.125</v>
      </c>
      <c r="G166">
        <v>0.17061932346649628</v>
      </c>
      <c r="H166">
        <v>39.117715709999999</v>
      </c>
    </row>
    <row r="167" spans="1:8" x14ac:dyDescent="0.25">
      <c r="A167">
        <v>0.60974242054774175</v>
      </c>
      <c r="B167">
        <v>1.1220079787234043E-5</v>
      </c>
      <c r="C167">
        <v>1.7952127659574469E-6</v>
      </c>
      <c r="D167">
        <v>2.5</v>
      </c>
      <c r="E167">
        <v>88.798814776163169</v>
      </c>
      <c r="F167">
        <v>3.125</v>
      </c>
      <c r="G167">
        <v>0.17132639096169899</v>
      </c>
      <c r="H167">
        <v>51.800515959999998</v>
      </c>
    </row>
    <row r="168" spans="1:8" x14ac:dyDescent="0.25">
      <c r="A168">
        <v>0.60974242054774175</v>
      </c>
      <c r="B168">
        <v>1.1220079787234043E-5</v>
      </c>
      <c r="C168">
        <v>1.7952127659574469E-6</v>
      </c>
      <c r="D168">
        <v>2.5</v>
      </c>
      <c r="E168">
        <v>243.06053760322828</v>
      </c>
      <c r="F168">
        <v>3.125</v>
      </c>
      <c r="G168">
        <v>0.17144484835440796</v>
      </c>
      <c r="H168">
        <v>51.836331540000003</v>
      </c>
    </row>
    <row r="169" spans="1:8" x14ac:dyDescent="0.25">
      <c r="A169">
        <v>0.60974242054774175</v>
      </c>
      <c r="B169">
        <v>1.1220079787234043E-5</v>
      </c>
      <c r="C169">
        <v>1.7952127659574469E-6</v>
      </c>
      <c r="D169">
        <v>2.5</v>
      </c>
      <c r="E169">
        <v>137.78612351786785</v>
      </c>
      <c r="F169">
        <v>3.125</v>
      </c>
      <c r="G169">
        <v>0.17250774322401255</v>
      </c>
      <c r="H169">
        <v>52.157697689999999</v>
      </c>
    </row>
    <row r="170" spans="1:8" x14ac:dyDescent="0.25">
      <c r="A170">
        <v>0.62624713894566164</v>
      </c>
      <c r="B170">
        <v>1.1774541087261125E-5</v>
      </c>
      <c r="C170">
        <v>7.3590881795382032E-7</v>
      </c>
      <c r="D170">
        <v>4</v>
      </c>
      <c r="E170">
        <v>112.89004904089859</v>
      </c>
      <c r="F170">
        <v>6.5466448445171848</v>
      </c>
      <c r="G170">
        <v>8.3218841709668243E-2</v>
      </c>
      <c r="H170">
        <v>17.541011820000001</v>
      </c>
    </row>
    <row r="171" spans="1:8" x14ac:dyDescent="0.25">
      <c r="A171">
        <v>0.62624713894566164</v>
      </c>
      <c r="B171">
        <v>1.1774541087261125E-5</v>
      </c>
      <c r="C171">
        <v>7.3590881795382032E-7</v>
      </c>
      <c r="D171">
        <v>4</v>
      </c>
      <c r="E171">
        <v>175.11321976431196</v>
      </c>
      <c r="F171">
        <v>6.5466448445171848</v>
      </c>
      <c r="G171">
        <v>8.5815800173038234E-2</v>
      </c>
      <c r="H171">
        <v>18.088403230000001</v>
      </c>
    </row>
    <row r="172" spans="1:8" x14ac:dyDescent="0.25">
      <c r="A172">
        <v>0.62624713894566164</v>
      </c>
      <c r="B172">
        <v>1.1774541087261125E-5</v>
      </c>
      <c r="C172">
        <v>7.3590881795382032E-7</v>
      </c>
      <c r="D172">
        <v>4</v>
      </c>
      <c r="E172">
        <v>308.79922726714574</v>
      </c>
      <c r="F172">
        <v>6.5466448445171848</v>
      </c>
      <c r="G172">
        <v>8.6642577361304679E-2</v>
      </c>
      <c r="H172">
        <v>18.262672760000001</v>
      </c>
    </row>
    <row r="173" spans="1:8" x14ac:dyDescent="0.25">
      <c r="A173">
        <v>0.62996343871059168</v>
      </c>
      <c r="B173">
        <v>1.32978736702128E-5</v>
      </c>
      <c r="C173">
        <v>1.6289893617021279E-6</v>
      </c>
      <c r="D173">
        <v>2.8571430000000002</v>
      </c>
      <c r="E173">
        <v>363.84024430267067</v>
      </c>
      <c r="F173">
        <v>3.125</v>
      </c>
      <c r="G173">
        <v>0.17540670115074131</v>
      </c>
      <c r="H173">
        <v>64.164834519999999</v>
      </c>
    </row>
    <row r="174" spans="1:8" x14ac:dyDescent="0.25">
      <c r="A174">
        <v>0.62996343871059168</v>
      </c>
      <c r="B174">
        <v>1.32978736702128E-5</v>
      </c>
      <c r="C174">
        <v>1.6289893617021279E-6</v>
      </c>
      <c r="D174">
        <v>2.8571430000000002</v>
      </c>
      <c r="E174">
        <v>206.17745258373145</v>
      </c>
      <c r="F174">
        <v>3.125</v>
      </c>
      <c r="G174">
        <v>0.17754620602021345</v>
      </c>
      <c r="H174">
        <v>64.947478369999999</v>
      </c>
    </row>
    <row r="175" spans="1:8" x14ac:dyDescent="0.25">
      <c r="A175">
        <v>0.62996343871059168</v>
      </c>
      <c r="B175">
        <v>1.32978736702128E-5</v>
      </c>
      <c r="C175">
        <v>1.6289893617021279E-6</v>
      </c>
      <c r="D175">
        <v>2.8571430000000002</v>
      </c>
      <c r="E175">
        <v>132.83111033183175</v>
      </c>
      <c r="F175">
        <v>3.125</v>
      </c>
      <c r="G175">
        <v>0.17759357122768402</v>
      </c>
      <c r="H175">
        <v>64.964804849999993</v>
      </c>
    </row>
    <row r="176" spans="1:8" x14ac:dyDescent="0.25">
      <c r="A176">
        <v>0.63307902720862219</v>
      </c>
      <c r="B176">
        <v>1.2764317443325922E-5</v>
      </c>
      <c r="C176">
        <v>7.3522492000752879E-7</v>
      </c>
      <c r="D176">
        <v>4.1666660000000002</v>
      </c>
      <c r="E176">
        <v>118.87664255064321</v>
      </c>
      <c r="F176">
        <v>4.658385093167702</v>
      </c>
      <c r="G176">
        <v>0.12788131079419382</v>
      </c>
      <c r="H176">
        <v>28.104284889999999</v>
      </c>
    </row>
    <row r="177" spans="1:8" x14ac:dyDescent="0.25">
      <c r="A177">
        <v>0.63307902720862219</v>
      </c>
      <c r="B177">
        <v>1.2764317443325922E-5</v>
      </c>
      <c r="C177">
        <v>7.3522492000752879E-7</v>
      </c>
      <c r="D177">
        <v>4.1666660000000002</v>
      </c>
      <c r="E177">
        <v>184.39952687302542</v>
      </c>
      <c r="F177">
        <v>4.658385093167702</v>
      </c>
      <c r="G177">
        <v>0.12912150586276105</v>
      </c>
      <c r="H177">
        <v>28.37684071</v>
      </c>
    </row>
    <row r="178" spans="1:8" x14ac:dyDescent="0.25">
      <c r="A178">
        <v>0.63307902720862219</v>
      </c>
      <c r="B178">
        <v>1.2764317443325922E-5</v>
      </c>
      <c r="C178">
        <v>7.3522492000752879E-7</v>
      </c>
      <c r="D178">
        <v>4.1666660000000002</v>
      </c>
      <c r="E178">
        <v>325.1749438646458</v>
      </c>
      <c r="F178">
        <v>4.658385093167702</v>
      </c>
      <c r="G178">
        <v>0.12913225053232344</v>
      </c>
      <c r="H178">
        <v>28.37920205</v>
      </c>
    </row>
    <row r="179" spans="1:8" x14ac:dyDescent="0.25">
      <c r="A179">
        <v>0.65852181419156086</v>
      </c>
      <c r="B179">
        <v>3.1166888297872338E-5</v>
      </c>
      <c r="C179">
        <v>1.2466755319148938E-6</v>
      </c>
      <c r="D179">
        <v>5</v>
      </c>
      <c r="E179">
        <v>247.30838166564075</v>
      </c>
      <c r="F179">
        <v>3.125</v>
      </c>
      <c r="G179">
        <v>0.17071512690606802</v>
      </c>
      <c r="H179">
        <v>59.740393910000002</v>
      </c>
    </row>
    <row r="180" spans="1:8" x14ac:dyDescent="0.25">
      <c r="A180">
        <v>0.65852181419156086</v>
      </c>
      <c r="B180">
        <v>3.1166888297872338E-5</v>
      </c>
      <c r="C180">
        <v>1.2466755319148938E-6</v>
      </c>
      <c r="D180">
        <v>5</v>
      </c>
      <c r="E180">
        <v>140.62570499288515</v>
      </c>
      <c r="F180">
        <v>3.125</v>
      </c>
      <c r="G180">
        <v>0.17652917965468523</v>
      </c>
      <c r="H180">
        <v>61.774975189999999</v>
      </c>
    </row>
    <row r="181" spans="1:8" x14ac:dyDescent="0.25">
      <c r="A181">
        <v>0.65852181419156086</v>
      </c>
      <c r="B181">
        <v>3.1166888297872338E-5</v>
      </c>
      <c r="C181">
        <v>1.2466755319148938E-6</v>
      </c>
      <c r="D181">
        <v>5</v>
      </c>
      <c r="E181">
        <v>90.87650270237863</v>
      </c>
      <c r="F181">
        <v>3.125</v>
      </c>
      <c r="G181">
        <v>0.1777121504134874</v>
      </c>
      <c r="H181">
        <v>62.188946350000002</v>
      </c>
    </row>
    <row r="182" spans="1:8" x14ac:dyDescent="0.25">
      <c r="A182">
        <v>0.65852181419156097</v>
      </c>
      <c r="B182">
        <v>1.99468085106383E-5</v>
      </c>
      <c r="C182">
        <v>1.2466755319148938E-6</v>
      </c>
      <c r="D182">
        <v>4</v>
      </c>
      <c r="E182">
        <v>245.5172896805862</v>
      </c>
      <c r="F182">
        <v>3.125</v>
      </c>
      <c r="G182">
        <v>0.17783563187412435</v>
      </c>
      <c r="H182">
        <v>49.785726160000003</v>
      </c>
    </row>
    <row r="183" spans="1:8" x14ac:dyDescent="0.25">
      <c r="A183">
        <v>0.65852181419156097</v>
      </c>
      <c r="B183">
        <v>1.99468085106383E-5</v>
      </c>
      <c r="C183">
        <v>1.2466755319148938E-6</v>
      </c>
      <c r="D183">
        <v>4</v>
      </c>
      <c r="E183">
        <v>90.000451195446516</v>
      </c>
      <c r="F183">
        <v>3.125</v>
      </c>
      <c r="G183">
        <v>0.18066182495451399</v>
      </c>
      <c r="H183" s="1">
        <v>50.576929100000001</v>
      </c>
    </row>
    <row r="184" spans="1:8" x14ac:dyDescent="0.25">
      <c r="A184">
        <v>0.65852181419156097</v>
      </c>
      <c r="B184">
        <v>1.99468085106383E-5</v>
      </c>
      <c r="C184">
        <v>1.2466755319148938E-6</v>
      </c>
      <c r="D184">
        <v>4</v>
      </c>
      <c r="E184">
        <v>139.42840312725963</v>
      </c>
      <c r="F184">
        <v>3.125</v>
      </c>
      <c r="G184">
        <v>0.18096037249468705</v>
      </c>
      <c r="H184">
        <v>50.660508559999997</v>
      </c>
    </row>
    <row r="185" spans="1:8" x14ac:dyDescent="0.25">
      <c r="A185">
        <v>0.65852181419156097</v>
      </c>
      <c r="B185">
        <v>1.1220079787234043E-5</v>
      </c>
      <c r="C185">
        <v>1.2466755319148938E-6</v>
      </c>
      <c r="D185">
        <v>3</v>
      </c>
      <c r="E185">
        <v>89.03101739963067</v>
      </c>
      <c r="F185">
        <v>3.125</v>
      </c>
      <c r="G185">
        <v>0.18309027136715258</v>
      </c>
      <c r="H185">
        <v>38.442586069999997</v>
      </c>
    </row>
    <row r="186" spans="1:8" x14ac:dyDescent="0.25">
      <c r="A186">
        <v>0.65852181419156097</v>
      </c>
      <c r="B186">
        <v>1.1220079787234043E-5</v>
      </c>
      <c r="C186">
        <v>1.2466755319148938E-6</v>
      </c>
      <c r="D186">
        <v>3</v>
      </c>
      <c r="E186">
        <v>243.53527710713902</v>
      </c>
      <c r="F186">
        <v>3.125</v>
      </c>
      <c r="G186">
        <v>0.18362219641085564</v>
      </c>
      <c r="H186">
        <v>38.554271819999997</v>
      </c>
    </row>
    <row r="187" spans="1:8" x14ac:dyDescent="0.25">
      <c r="A187">
        <v>0.65852181419156097</v>
      </c>
      <c r="B187">
        <v>1.1220079787234043E-5</v>
      </c>
      <c r="C187">
        <v>1.2466755319148938E-6</v>
      </c>
      <c r="D187">
        <v>3</v>
      </c>
      <c r="E187">
        <v>138.10347544532968</v>
      </c>
      <c r="F187">
        <v>3.125</v>
      </c>
      <c r="G187">
        <v>0.18464608935363144</v>
      </c>
      <c r="H187">
        <v>38.769253710000001</v>
      </c>
    </row>
    <row r="188" spans="1:8" x14ac:dyDescent="0.25">
      <c r="A188">
        <v>0.6594572144958103</v>
      </c>
      <c r="B188">
        <v>1.1763598720120461E-5</v>
      </c>
      <c r="C188">
        <v>7.3522492000752879E-7</v>
      </c>
      <c r="D188">
        <v>4</v>
      </c>
      <c r="E188">
        <v>118.87664255064323</v>
      </c>
      <c r="F188">
        <v>4.658385093167702</v>
      </c>
      <c r="G188">
        <v>0.13309944123574513</v>
      </c>
      <c r="H188" s="1">
        <v>28.081027500000001</v>
      </c>
    </row>
    <row r="189" spans="1:8" x14ac:dyDescent="0.25">
      <c r="A189">
        <v>0.6594572144958103</v>
      </c>
      <c r="B189">
        <v>1.1763598720120461E-5</v>
      </c>
      <c r="C189">
        <v>7.3522492000752879E-7</v>
      </c>
      <c r="D189">
        <v>4</v>
      </c>
      <c r="E189">
        <v>184.39952687302545</v>
      </c>
      <c r="F189">
        <v>4.658385093167702</v>
      </c>
      <c r="G189">
        <v>0.13459158802882487</v>
      </c>
      <c r="H189">
        <v>28.395837350000001</v>
      </c>
    </row>
    <row r="190" spans="1:8" x14ac:dyDescent="0.25">
      <c r="A190">
        <v>0.6594572144958103</v>
      </c>
      <c r="B190">
        <v>1.1763598720120461E-5</v>
      </c>
      <c r="C190">
        <v>7.3522492000752879E-7</v>
      </c>
      <c r="D190">
        <v>4</v>
      </c>
      <c r="E190">
        <v>325.17494386464585</v>
      </c>
      <c r="F190">
        <v>4.658385093167702</v>
      </c>
      <c r="G190">
        <v>0.1347330922523976</v>
      </c>
      <c r="H190">
        <v>28.4256916</v>
      </c>
    </row>
    <row r="191" spans="1:8" x14ac:dyDescent="0.25">
      <c r="A191">
        <v>0.66799694820870559</v>
      </c>
      <c r="B191">
        <v>6.899145168317064E-6</v>
      </c>
      <c r="C191">
        <v>1.1038632269307305E-6</v>
      </c>
      <c r="D191">
        <v>2.5</v>
      </c>
      <c r="E191">
        <v>75.260032693932388</v>
      </c>
      <c r="F191">
        <v>6.5466448445171848</v>
      </c>
      <c r="G191">
        <v>8.4069730307172921E-2</v>
      </c>
      <c r="H191">
        <v>16.612840869999999</v>
      </c>
    </row>
    <row r="192" spans="1:8" x14ac:dyDescent="0.25">
      <c r="A192">
        <v>0.66799694820870559</v>
      </c>
      <c r="B192">
        <v>1.8397720448845503E-5</v>
      </c>
      <c r="C192">
        <v>7.3590881795382032E-7</v>
      </c>
      <c r="D192">
        <v>5</v>
      </c>
      <c r="E192">
        <v>114.11927714530536</v>
      </c>
      <c r="F192">
        <v>6.5466448445171848</v>
      </c>
      <c r="G192">
        <v>8.5720324775118942E-2</v>
      </c>
      <c r="H192">
        <v>22.585348450000001</v>
      </c>
    </row>
    <row r="193" spans="1:8" x14ac:dyDescent="0.25">
      <c r="A193">
        <v>0.66799694820870559</v>
      </c>
      <c r="B193">
        <v>1.8397720448845503E-5</v>
      </c>
      <c r="C193">
        <v>7.3590881795382032E-7</v>
      </c>
      <c r="D193">
        <v>5</v>
      </c>
      <c r="E193">
        <v>311.31239069211011</v>
      </c>
      <c r="F193">
        <v>6.5466448445171848</v>
      </c>
      <c r="G193">
        <v>8.8010299400089864E-2</v>
      </c>
      <c r="H193">
        <v>23.188704479999998</v>
      </c>
    </row>
    <row r="194" spans="1:8" x14ac:dyDescent="0.25">
      <c r="A194">
        <v>0.66799694820870559</v>
      </c>
      <c r="B194">
        <v>1.8397720448845503E-5</v>
      </c>
      <c r="C194">
        <v>7.3590881795382032E-7</v>
      </c>
      <c r="D194">
        <v>5</v>
      </c>
      <c r="E194">
        <v>176.79320900129139</v>
      </c>
      <c r="F194">
        <v>6.5466448445171848</v>
      </c>
      <c r="G194">
        <v>8.8066337804051376E-2</v>
      </c>
      <c r="H194">
        <v>23.20346932</v>
      </c>
    </row>
    <row r="195" spans="1:8" x14ac:dyDescent="0.25">
      <c r="A195">
        <v>0.66799694820870559</v>
      </c>
      <c r="B195">
        <v>6.899145168317064E-6</v>
      </c>
      <c r="C195">
        <v>1.1038632269307305E-6</v>
      </c>
      <c r="D195">
        <v>2.5</v>
      </c>
      <c r="E195">
        <v>116.74214650954127</v>
      </c>
      <c r="F195">
        <v>6.5466448445171848</v>
      </c>
      <c r="G195">
        <v>9.0907154629845513E-2</v>
      </c>
      <c r="H195">
        <v>17.963969769999999</v>
      </c>
    </row>
    <row r="196" spans="1:8" x14ac:dyDescent="0.25">
      <c r="A196">
        <v>0.66799694820870559</v>
      </c>
      <c r="B196">
        <v>6.899145168317064E-6</v>
      </c>
      <c r="C196">
        <v>1.1038632269307305E-6</v>
      </c>
      <c r="D196">
        <v>2.5</v>
      </c>
      <c r="E196">
        <v>205.86615151143044</v>
      </c>
      <c r="F196">
        <v>6.5466448445171848</v>
      </c>
      <c r="G196">
        <v>9.4885078205473011E-2</v>
      </c>
      <c r="H196">
        <v>18.750038799999999</v>
      </c>
    </row>
    <row r="197" spans="1:8" x14ac:dyDescent="0.25">
      <c r="A197">
        <v>0.67196107968675323</v>
      </c>
      <c r="B197">
        <v>7.48005219414897E-6</v>
      </c>
      <c r="C197">
        <v>1.6289893617021279E-6</v>
      </c>
      <c r="D197">
        <v>2.1428569999999998</v>
      </c>
      <c r="E197">
        <v>362.04610769891599</v>
      </c>
      <c r="F197">
        <v>3.125</v>
      </c>
      <c r="G197">
        <v>0.19117445787084347</v>
      </c>
      <c r="H197">
        <v>52.449575510000003</v>
      </c>
    </row>
    <row r="198" spans="1:8" x14ac:dyDescent="0.25">
      <c r="A198">
        <v>0.67196107968675323</v>
      </c>
      <c r="B198">
        <v>7.48005219414897E-6</v>
      </c>
      <c r="C198">
        <v>1.6289893617021279E-6</v>
      </c>
      <c r="D198">
        <v>2.1428569999999998</v>
      </c>
      <c r="E198">
        <v>131.95356965358818</v>
      </c>
      <c r="F198">
        <v>3.125</v>
      </c>
      <c r="G198">
        <v>0.19125895248931371</v>
      </c>
      <c r="H198">
        <v>52.472756990000001</v>
      </c>
    </row>
    <row r="199" spans="1:8" x14ac:dyDescent="0.25">
      <c r="A199">
        <v>0.67196107968675323</v>
      </c>
      <c r="B199">
        <v>7.48005219414897E-6</v>
      </c>
      <c r="C199">
        <v>1.6289893617021279E-6</v>
      </c>
      <c r="D199">
        <v>2.1428569999999998</v>
      </c>
      <c r="E199">
        <v>204.97811546381402</v>
      </c>
      <c r="F199">
        <v>3.125</v>
      </c>
      <c r="G199">
        <v>0.19211553631741238</v>
      </c>
      <c r="H199">
        <v>52.70776463</v>
      </c>
    </row>
    <row r="200" spans="1:8" x14ac:dyDescent="0.25">
      <c r="A200">
        <v>0.68596022997581163</v>
      </c>
      <c r="B200">
        <v>1.3297872074468089E-5</v>
      </c>
      <c r="C200">
        <v>1.1968085106382979E-6</v>
      </c>
      <c r="D200">
        <v>3.3333333000000001</v>
      </c>
      <c r="E200">
        <v>364.59080640484245</v>
      </c>
      <c r="F200">
        <v>3.125</v>
      </c>
      <c r="G200">
        <v>0.18959238692442446</v>
      </c>
      <c r="H200">
        <v>50.953988719999998</v>
      </c>
    </row>
    <row r="201" spans="1:8" x14ac:dyDescent="0.25">
      <c r="A201">
        <v>0.68596022997581163</v>
      </c>
      <c r="B201">
        <v>1.3297872074468089E-5</v>
      </c>
      <c r="C201">
        <v>1.1968085106382979E-6</v>
      </c>
      <c r="D201">
        <v>3.3333333000000001</v>
      </c>
      <c r="E201">
        <v>133.19822216424475</v>
      </c>
      <c r="F201">
        <v>3.125</v>
      </c>
      <c r="G201">
        <v>0.1918059574511089</v>
      </c>
      <c r="H201">
        <v>51.548897879999998</v>
      </c>
    </row>
    <row r="202" spans="1:8" x14ac:dyDescent="0.25">
      <c r="A202">
        <v>0.68596022997581163</v>
      </c>
      <c r="B202">
        <v>1.3297872074468089E-5</v>
      </c>
      <c r="C202">
        <v>1.1968085106382979E-6</v>
      </c>
      <c r="D202">
        <v>3.3333333000000001</v>
      </c>
      <c r="E202">
        <v>206.67918527680177</v>
      </c>
      <c r="F202">
        <v>3.125</v>
      </c>
      <c r="G202">
        <v>0.19192296147503374</v>
      </c>
      <c r="H202">
        <v>51.58034335</v>
      </c>
    </row>
    <row r="203" spans="1:8" x14ac:dyDescent="0.25">
      <c r="A203">
        <v>0.70342102879553081</v>
      </c>
      <c r="B203">
        <v>6.8927336250705811E-6</v>
      </c>
      <c r="C203">
        <v>1.1028373800112932E-6</v>
      </c>
      <c r="D203">
        <v>2.5</v>
      </c>
      <c r="E203">
        <v>79.251095033762127</v>
      </c>
      <c r="F203">
        <v>4.658385093167702</v>
      </c>
      <c r="G203">
        <v>0.14009636869032041</v>
      </c>
      <c r="H203">
        <v>27.709897380000001</v>
      </c>
    </row>
    <row r="204" spans="1:8" x14ac:dyDescent="0.25">
      <c r="A204">
        <v>0.70342102879553081</v>
      </c>
      <c r="B204">
        <v>6.8927336250705811E-6</v>
      </c>
      <c r="C204">
        <v>1.1028373800112932E-6</v>
      </c>
      <c r="D204">
        <v>2.5</v>
      </c>
      <c r="E204">
        <v>122.93301791535026</v>
      </c>
      <c r="F204">
        <v>4.658385093167702</v>
      </c>
      <c r="G204">
        <v>0.1449171241782182</v>
      </c>
      <c r="H204">
        <v>28.663402749999999</v>
      </c>
    </row>
    <row r="205" spans="1:8" x14ac:dyDescent="0.25">
      <c r="A205">
        <v>0.70342102879553081</v>
      </c>
      <c r="B205">
        <v>6.8927336250705811E-6</v>
      </c>
      <c r="C205">
        <v>1.1028373800112932E-6</v>
      </c>
      <c r="D205">
        <v>2.5</v>
      </c>
      <c r="E205">
        <v>216.78329590976386</v>
      </c>
      <c r="F205">
        <v>4.658385093167702</v>
      </c>
      <c r="G205">
        <v>0.14732110127405759</v>
      </c>
      <c r="H205">
        <v>29.13888944</v>
      </c>
    </row>
    <row r="206" spans="1:8" x14ac:dyDescent="0.25">
      <c r="A206">
        <v>0.70342102879553092</v>
      </c>
      <c r="B206">
        <v>1.8380623000188215E-5</v>
      </c>
      <c r="C206">
        <v>7.3522492000752879E-7</v>
      </c>
      <c r="D206">
        <v>5</v>
      </c>
      <c r="E206">
        <v>120.17105699392005</v>
      </c>
      <c r="F206">
        <v>4.658385093167702</v>
      </c>
      <c r="G206">
        <v>0.13934517944276661</v>
      </c>
      <c r="H206">
        <v>36.74842452</v>
      </c>
    </row>
    <row r="207" spans="1:8" x14ac:dyDescent="0.25">
      <c r="A207">
        <v>0.70342102879553092</v>
      </c>
      <c r="B207">
        <v>1.8380623000188215E-5</v>
      </c>
      <c r="C207">
        <v>7.3522492000752879E-7</v>
      </c>
      <c r="D207">
        <v>5</v>
      </c>
      <c r="E207">
        <v>327.82138110760081</v>
      </c>
      <c r="F207">
        <v>4.658385093167702</v>
      </c>
      <c r="G207">
        <v>0.14000057063075624</v>
      </c>
      <c r="H207">
        <v>36.921265759999997</v>
      </c>
    </row>
    <row r="208" spans="1:8" x14ac:dyDescent="0.25">
      <c r="A208">
        <v>0.70342102879553092</v>
      </c>
      <c r="B208">
        <v>1.8380623000188215E-5</v>
      </c>
      <c r="C208">
        <v>7.3522492000752879E-7</v>
      </c>
      <c r="D208">
        <v>5</v>
      </c>
      <c r="E208">
        <v>186.16860644832957</v>
      </c>
      <c r="F208">
        <v>4.658385093167702</v>
      </c>
      <c r="G208">
        <v>0.1405925133995217</v>
      </c>
      <c r="H208">
        <v>37.077374239999997</v>
      </c>
    </row>
    <row r="209" spans="1:8" x14ac:dyDescent="0.25">
      <c r="A209">
        <v>0.71003081711504956</v>
      </c>
      <c r="B209">
        <v>6.62317847849383E-6</v>
      </c>
      <c r="C209">
        <v>1.4423812831894878E-6</v>
      </c>
      <c r="D209">
        <v>2.1428569999999998</v>
      </c>
      <c r="E209">
        <v>112.28529110784339</v>
      </c>
      <c r="F209">
        <v>6.5466448445171848</v>
      </c>
      <c r="G209">
        <v>9.6611803668857715E-2</v>
      </c>
      <c r="H209">
        <v>29.935083259999999</v>
      </c>
    </row>
    <row r="210" spans="1:8" x14ac:dyDescent="0.25">
      <c r="A210">
        <v>0.71003081711504956</v>
      </c>
      <c r="B210">
        <v>6.62317847849383E-6</v>
      </c>
      <c r="C210">
        <v>1.4423812831894878E-6</v>
      </c>
      <c r="D210">
        <v>2.1428569999999998</v>
      </c>
      <c r="E210">
        <v>174.28669552941329</v>
      </c>
      <c r="F210">
        <v>6.5466448445171848</v>
      </c>
      <c r="G210">
        <v>0.10133227989760871</v>
      </c>
      <c r="H210">
        <v>31.397718709999999</v>
      </c>
    </row>
    <row r="211" spans="1:8" x14ac:dyDescent="0.25">
      <c r="A211">
        <v>0.71003081711504956</v>
      </c>
      <c r="B211">
        <v>6.62317847849383E-6</v>
      </c>
      <c r="C211">
        <v>1.4423812831894878E-6</v>
      </c>
      <c r="D211">
        <v>2.1428569999999998</v>
      </c>
      <c r="E211">
        <v>307.5627964429051</v>
      </c>
      <c r="F211">
        <v>6.5466448445171848</v>
      </c>
      <c r="G211">
        <v>0.10381974552774907</v>
      </c>
      <c r="H211">
        <v>32.168457770000003</v>
      </c>
    </row>
    <row r="212" spans="1:8" x14ac:dyDescent="0.25">
      <c r="A212">
        <v>0.71120367311947352</v>
      </c>
      <c r="B212">
        <v>1.4429110335402261E-5</v>
      </c>
      <c r="C212">
        <v>8.3111702127659595E-7</v>
      </c>
      <c r="D212">
        <v>4.1666660000000002</v>
      </c>
      <c r="E212">
        <v>365.30291566070849</v>
      </c>
      <c r="F212">
        <v>3.125</v>
      </c>
      <c r="G212">
        <v>0.19448797340752264</v>
      </c>
      <c r="H212">
        <v>37.810833670000001</v>
      </c>
    </row>
    <row r="213" spans="1:8" x14ac:dyDescent="0.25">
      <c r="A213">
        <v>0.71120367311947352</v>
      </c>
      <c r="B213">
        <v>1.4429110335402261E-5</v>
      </c>
      <c r="C213">
        <v>8.3111702127659595E-7</v>
      </c>
      <c r="D213">
        <v>4.1666660000000002</v>
      </c>
      <c r="E213">
        <v>133.546526099446</v>
      </c>
      <c r="F213">
        <v>3.125</v>
      </c>
      <c r="G213">
        <v>0.1971274879807576</v>
      </c>
      <c r="H213">
        <v>38.32398749</v>
      </c>
    </row>
    <row r="214" spans="1:8" x14ac:dyDescent="0.25">
      <c r="A214">
        <v>0.71120367311947352</v>
      </c>
      <c r="B214">
        <v>1.4429110335402261E-5</v>
      </c>
      <c r="C214">
        <v>8.3111702127659595E-7</v>
      </c>
      <c r="D214">
        <v>4.1666660000000002</v>
      </c>
      <c r="E214">
        <v>207.15521316799453</v>
      </c>
      <c r="F214">
        <v>3.125</v>
      </c>
      <c r="G214">
        <v>0.1971807598963321</v>
      </c>
      <c r="H214">
        <v>38.334344199999997</v>
      </c>
    </row>
    <row r="215" spans="1:8" x14ac:dyDescent="0.25">
      <c r="A215">
        <v>0.74083704096550607</v>
      </c>
      <c r="B215">
        <v>1.3297872340425535E-5</v>
      </c>
      <c r="C215">
        <v>8.3111702127659595E-7</v>
      </c>
      <c r="D215">
        <v>4</v>
      </c>
      <c r="E215">
        <v>365.30291566070855</v>
      </c>
      <c r="F215">
        <v>3.125</v>
      </c>
      <c r="G215">
        <v>0.20307323628518512</v>
      </c>
      <c r="H215">
        <v>37.900722989999998</v>
      </c>
    </row>
    <row r="216" spans="1:8" x14ac:dyDescent="0.25">
      <c r="A216">
        <v>0.74083704096550607</v>
      </c>
      <c r="B216">
        <v>1.3297872340425535E-5</v>
      </c>
      <c r="C216">
        <v>8.3111702127659595E-7</v>
      </c>
      <c r="D216">
        <v>4</v>
      </c>
      <c r="E216">
        <v>133.546526099446</v>
      </c>
      <c r="F216">
        <v>3.125</v>
      </c>
      <c r="G216">
        <v>0.20524337560517616</v>
      </c>
      <c r="H216">
        <v>38.305748540000003</v>
      </c>
    </row>
    <row r="217" spans="1:8" x14ac:dyDescent="0.25">
      <c r="A217">
        <v>0.74083704096550607</v>
      </c>
      <c r="B217">
        <v>1.3297872340425535E-5</v>
      </c>
      <c r="C217">
        <v>8.3111702127659595E-7</v>
      </c>
      <c r="D217">
        <v>4</v>
      </c>
      <c r="E217">
        <v>207.15521316799456</v>
      </c>
      <c r="F217">
        <v>3.125</v>
      </c>
      <c r="G217" s="1">
        <v>0.20556745662619713</v>
      </c>
      <c r="H217" s="1">
        <v>38.366233639999997</v>
      </c>
    </row>
    <row r="218" spans="1:8" x14ac:dyDescent="0.25">
      <c r="A218">
        <v>0.74221883134300648</v>
      </c>
      <c r="B218">
        <v>9.9347690423765725E-6</v>
      </c>
      <c r="C218">
        <v>1.1038632269307305E-6</v>
      </c>
      <c r="D218">
        <v>3</v>
      </c>
      <c r="E218">
        <v>76.079518096870274</v>
      </c>
      <c r="F218">
        <v>6.5466448445171848</v>
      </c>
      <c r="G218">
        <v>8.8219372198366258E-2</v>
      </c>
      <c r="H218">
        <v>20.919411350000001</v>
      </c>
    </row>
    <row r="219" spans="1:8" x14ac:dyDescent="0.25">
      <c r="A219">
        <v>0.74221883134300648</v>
      </c>
      <c r="B219">
        <v>9.9347690423765725E-6</v>
      </c>
      <c r="C219">
        <v>1.1038632269307305E-6</v>
      </c>
      <c r="D219">
        <v>3</v>
      </c>
      <c r="E219">
        <v>117.86213933419428</v>
      </c>
      <c r="F219">
        <v>6.5466448445171848</v>
      </c>
      <c r="G219">
        <v>9.6177998793488512E-2</v>
      </c>
      <c r="H219">
        <v>22.806636109999999</v>
      </c>
    </row>
    <row r="220" spans="1:8" x14ac:dyDescent="0.25">
      <c r="A220">
        <v>0.74221883134300648</v>
      </c>
      <c r="B220">
        <v>9.9347690423765725E-6</v>
      </c>
      <c r="C220">
        <v>1.1038632269307305E-6</v>
      </c>
      <c r="D220">
        <v>3</v>
      </c>
      <c r="E220">
        <v>207.54159379474012</v>
      </c>
      <c r="F220">
        <v>6.5466448445171848</v>
      </c>
      <c r="G220">
        <v>0.10052874254561894</v>
      </c>
      <c r="H220">
        <v>23.83832559</v>
      </c>
    </row>
    <row r="221" spans="1:8" x14ac:dyDescent="0.25">
      <c r="A221">
        <v>0.74768396650751423</v>
      </c>
      <c r="B221">
        <v>6.6170233977978834E-6</v>
      </c>
      <c r="C221">
        <v>1.4410408432147564E-6</v>
      </c>
      <c r="D221">
        <v>2.1428569999999998</v>
      </c>
      <c r="E221">
        <v>118.23981412113811</v>
      </c>
      <c r="F221">
        <v>4.658385093167702</v>
      </c>
      <c r="G221">
        <v>0.15476984810147826</v>
      </c>
      <c r="H221">
        <v>47.999910180000001</v>
      </c>
    </row>
    <row r="222" spans="1:8" x14ac:dyDescent="0.25">
      <c r="A222">
        <v>0.74768396650751423</v>
      </c>
      <c r="B222">
        <v>6.6170233977978834E-6</v>
      </c>
      <c r="C222">
        <v>1.4410408432147564E-6</v>
      </c>
      <c r="D222">
        <v>2.1428569999999998</v>
      </c>
      <c r="E222">
        <v>183.52917180748821</v>
      </c>
      <c r="F222">
        <v>4.658385093167702</v>
      </c>
      <c r="G222">
        <v>0.15786171384223299</v>
      </c>
      <c r="H222">
        <v>48.958813220000003</v>
      </c>
    </row>
    <row r="223" spans="1:8" x14ac:dyDescent="0.25">
      <c r="A223">
        <v>0.74768396650751423</v>
      </c>
      <c r="B223">
        <v>6.6170233977978834E-6</v>
      </c>
      <c r="C223">
        <v>1.4410408432147564E-6</v>
      </c>
      <c r="D223">
        <v>2.1428569999999998</v>
      </c>
      <c r="E223">
        <v>323.87294473911976</v>
      </c>
      <c r="F223">
        <v>4.658385093167702</v>
      </c>
      <c r="G223">
        <v>0.15913581727752291</v>
      </c>
      <c r="H223">
        <v>49.353960280000003</v>
      </c>
    </row>
    <row r="224" spans="1:8" x14ac:dyDescent="0.25">
      <c r="A224">
        <v>0.75149664188445797</v>
      </c>
      <c r="B224">
        <v>8.1767630085784886E-6</v>
      </c>
      <c r="C224">
        <v>7.3590881795382032E-7</v>
      </c>
      <c r="D224">
        <v>3.3333330000000001</v>
      </c>
      <c r="E224">
        <v>112.89004904089856</v>
      </c>
      <c r="F224">
        <v>6.5466448445171848</v>
      </c>
      <c r="G224">
        <v>9.6139799351449368E-2</v>
      </c>
      <c r="H224">
        <v>16.887093050000001</v>
      </c>
    </row>
    <row r="225" spans="1:8" x14ac:dyDescent="0.25">
      <c r="A225">
        <v>0.75149664188445797</v>
      </c>
      <c r="B225">
        <v>8.1767630085784886E-6</v>
      </c>
      <c r="C225">
        <v>7.3590881795382032E-7</v>
      </c>
      <c r="D225">
        <v>3.3333330000000001</v>
      </c>
      <c r="E225">
        <v>175.11321976431188</v>
      </c>
      <c r="F225">
        <v>6.5466448445171848</v>
      </c>
      <c r="G225">
        <v>0.10124020132294144</v>
      </c>
      <c r="H225">
        <v>17.78298594</v>
      </c>
    </row>
    <row r="226" spans="1:8" x14ac:dyDescent="0.25">
      <c r="A226">
        <v>0.75149664188445797</v>
      </c>
      <c r="B226">
        <v>8.1767630085784886E-6</v>
      </c>
      <c r="C226">
        <v>7.3590881795382032E-7</v>
      </c>
      <c r="D226">
        <v>3.3333330000000001</v>
      </c>
      <c r="E226">
        <v>308.79922726714568</v>
      </c>
      <c r="F226">
        <v>6.5466448445171848</v>
      </c>
      <c r="G226">
        <v>0.10374992768756823</v>
      </c>
      <c r="H226">
        <v>18.22382296</v>
      </c>
    </row>
    <row r="227" spans="1:8" x14ac:dyDescent="0.25">
      <c r="A227">
        <v>0.7533195083054719</v>
      </c>
      <c r="B227">
        <v>6.6955608400931009E-6</v>
      </c>
      <c r="C227">
        <v>8.1449468085106394E-7</v>
      </c>
      <c r="D227">
        <v>2.867143</v>
      </c>
      <c r="E227">
        <v>720.12145193420656</v>
      </c>
      <c r="F227">
        <v>3.125</v>
      </c>
      <c r="G227">
        <v>0.21218658443192082</v>
      </c>
      <c r="H227">
        <v>38.945402870000002</v>
      </c>
    </row>
    <row r="228" spans="1:8" x14ac:dyDescent="0.25">
      <c r="A228">
        <v>0.7533195083054719</v>
      </c>
      <c r="B228">
        <v>6.6955608400931009E-6</v>
      </c>
      <c r="C228">
        <v>8.1449468085106394E-7</v>
      </c>
      <c r="D228">
        <v>2.867143</v>
      </c>
      <c r="E228">
        <v>407.30187116128042</v>
      </c>
      <c r="F228">
        <v>3.125</v>
      </c>
      <c r="G228">
        <v>0.21383201512191488</v>
      </c>
      <c r="H228">
        <v>39.247410469999998</v>
      </c>
    </row>
    <row r="229" spans="1:8" x14ac:dyDescent="0.25">
      <c r="A229">
        <v>0.7533195083054719</v>
      </c>
      <c r="B229">
        <v>6.6955608400931009E-6</v>
      </c>
      <c r="C229">
        <v>8.1449468085106394E-7</v>
      </c>
      <c r="D229">
        <v>2.867143</v>
      </c>
      <c r="E229">
        <v>261.96497589792284</v>
      </c>
      <c r="F229">
        <v>3.125</v>
      </c>
      <c r="G229">
        <v>0.21405348392007206</v>
      </c>
      <c r="H229">
        <v>39.288059560000001</v>
      </c>
    </row>
    <row r="230" spans="1:8" x14ac:dyDescent="0.25">
      <c r="A230">
        <v>0.78157892088392333</v>
      </c>
      <c r="B230">
        <v>9.9255364201016368E-6</v>
      </c>
      <c r="C230">
        <v>1.1028373800112932E-6</v>
      </c>
      <c r="D230">
        <v>3</v>
      </c>
      <c r="E230">
        <v>80.114037995946717</v>
      </c>
      <c r="F230">
        <v>4.658385093167702</v>
      </c>
      <c r="G230">
        <v>0.15147025965205088</v>
      </c>
      <c r="H230">
        <v>35.951470180000001</v>
      </c>
    </row>
    <row r="231" spans="1:8" x14ac:dyDescent="0.25">
      <c r="A231">
        <v>0.78157892088392333</v>
      </c>
      <c r="B231">
        <v>9.9255364201016368E-6</v>
      </c>
      <c r="C231">
        <v>1.1028373800112932E-6</v>
      </c>
      <c r="D231">
        <v>3</v>
      </c>
      <c r="E231">
        <v>124.11240429888639</v>
      </c>
      <c r="F231">
        <v>4.658385093167702</v>
      </c>
      <c r="G231">
        <v>0.15708445619651804</v>
      </c>
      <c r="H231">
        <v>37.283999880000003</v>
      </c>
    </row>
    <row r="232" spans="1:8" x14ac:dyDescent="0.25">
      <c r="A232">
        <v>0.78157892088392333</v>
      </c>
      <c r="B232">
        <v>9.9255364201016368E-6</v>
      </c>
      <c r="C232">
        <v>1.1028373800112932E-6</v>
      </c>
      <c r="D232">
        <v>3</v>
      </c>
      <c r="E232">
        <v>218.54758740506725</v>
      </c>
      <c r="F232">
        <v>4.658385093167702</v>
      </c>
      <c r="G232">
        <v>0.15965155415874366</v>
      </c>
      <c r="H232">
        <v>37.89330065</v>
      </c>
    </row>
    <row r="233" spans="1:8" x14ac:dyDescent="0.25">
      <c r="A233">
        <v>0.79022617702987297</v>
      </c>
      <c r="B233">
        <v>7.7917220744680845E-6</v>
      </c>
      <c r="C233">
        <v>1.2466755319148938E-6</v>
      </c>
      <c r="D233">
        <v>2.5</v>
      </c>
      <c r="E233">
        <v>89.031017399630656</v>
      </c>
      <c r="F233">
        <v>3.125</v>
      </c>
      <c r="G233">
        <v>0.21778749296235866</v>
      </c>
      <c r="H233">
        <v>38.106496049999997</v>
      </c>
    </row>
    <row r="234" spans="1:8" x14ac:dyDescent="0.25">
      <c r="A234">
        <v>0.79022617702987297</v>
      </c>
      <c r="B234">
        <v>7.7917220744680845E-6</v>
      </c>
      <c r="C234">
        <v>1.2466755319148938E-6</v>
      </c>
      <c r="D234">
        <v>2.5</v>
      </c>
      <c r="E234">
        <v>138.10347544532968</v>
      </c>
      <c r="F234">
        <v>3.125</v>
      </c>
      <c r="G234">
        <v>0.22140832578443054</v>
      </c>
      <c r="H234">
        <v>38.740036799999999</v>
      </c>
    </row>
    <row r="235" spans="1:8" x14ac:dyDescent="0.25">
      <c r="A235">
        <v>0.79022617702987297</v>
      </c>
      <c r="B235">
        <v>7.7917220744680845E-6</v>
      </c>
      <c r="C235">
        <v>1.2466755319148938E-6</v>
      </c>
      <c r="D235">
        <v>2.5</v>
      </c>
      <c r="E235">
        <v>243.53527710713897</v>
      </c>
      <c r="F235">
        <v>3.125</v>
      </c>
      <c r="G235">
        <v>0.22183898011444078</v>
      </c>
      <c r="H235">
        <v>38.815388820000003</v>
      </c>
    </row>
    <row r="236" spans="1:8" x14ac:dyDescent="0.25">
      <c r="A236">
        <v>0.79022617702987308</v>
      </c>
      <c r="B236">
        <v>2.0777925531914893E-5</v>
      </c>
      <c r="C236">
        <v>8.3111702127659595E-7</v>
      </c>
      <c r="D236">
        <v>5</v>
      </c>
      <c r="E236">
        <v>368.27593452087928</v>
      </c>
      <c r="F236">
        <v>3.125</v>
      </c>
      <c r="G236">
        <v>0.20933288876523634</v>
      </c>
      <c r="H236">
        <v>48.836247299999997</v>
      </c>
    </row>
    <row r="237" spans="1:8" x14ac:dyDescent="0.25">
      <c r="A237">
        <v>0.79022617702987308</v>
      </c>
      <c r="B237">
        <v>2.0777925531914893E-5</v>
      </c>
      <c r="C237">
        <v>8.3111702127659595E-7</v>
      </c>
      <c r="D237">
        <v>5</v>
      </c>
      <c r="E237">
        <v>209.14260469088939</v>
      </c>
      <c r="F237">
        <v>3.125</v>
      </c>
      <c r="G237">
        <v>0.21441735725173725</v>
      </c>
      <c r="H237">
        <v>50.022426699999997</v>
      </c>
    </row>
    <row r="238" spans="1:8" x14ac:dyDescent="0.25">
      <c r="A238">
        <v>0.79022617702987308</v>
      </c>
      <c r="B238">
        <v>2.0777925531914893E-5</v>
      </c>
      <c r="C238">
        <v>8.3111702127659595E-7</v>
      </c>
      <c r="D238">
        <v>5</v>
      </c>
      <c r="E238">
        <v>135.00067679316976</v>
      </c>
      <c r="F238">
        <v>3.125</v>
      </c>
      <c r="G238">
        <v>0.21521454044343566</v>
      </c>
      <c r="H238">
        <v>50.208405290000002</v>
      </c>
    </row>
    <row r="239" spans="1:8" x14ac:dyDescent="0.25">
      <c r="A239">
        <v>0.79134873652984594</v>
      </c>
      <c r="B239">
        <v>8.1691641440283553E-6</v>
      </c>
      <c r="C239">
        <v>7.3522492000752879E-7</v>
      </c>
      <c r="D239">
        <v>3.3333330000000001</v>
      </c>
      <c r="E239">
        <v>118.87664255064318</v>
      </c>
      <c r="F239">
        <v>4.658385093167702</v>
      </c>
      <c r="G239">
        <v>0.15812434314097301</v>
      </c>
      <c r="H239">
        <v>27.80060246</v>
      </c>
    </row>
    <row r="240" spans="1:8" x14ac:dyDescent="0.25">
      <c r="A240">
        <v>0.79134873652984594</v>
      </c>
      <c r="B240">
        <v>8.1691641440283553E-6</v>
      </c>
      <c r="C240">
        <v>7.3522492000752879E-7</v>
      </c>
      <c r="D240">
        <v>3.3333330000000001</v>
      </c>
      <c r="E240">
        <v>184.39952687302539</v>
      </c>
      <c r="F240">
        <v>4.658385093167702</v>
      </c>
      <c r="G240">
        <v>0.16142834362146075</v>
      </c>
      <c r="H240">
        <v>28.381494700000001</v>
      </c>
    </row>
    <row r="241" spans="1:8" x14ac:dyDescent="0.25">
      <c r="A241">
        <v>0.79134873652984594</v>
      </c>
      <c r="B241">
        <v>8.1691641440283553E-6</v>
      </c>
      <c r="C241">
        <v>7.3522492000752879E-7</v>
      </c>
      <c r="D241">
        <v>3.3333330000000001</v>
      </c>
      <c r="E241">
        <v>325.17494386464585</v>
      </c>
      <c r="F241">
        <v>4.658385093167702</v>
      </c>
      <c r="G241">
        <v>0.16262147354943476</v>
      </c>
      <c r="H241" s="1">
        <v>28.59126462</v>
      </c>
    </row>
    <row r="242" spans="1:8" x14ac:dyDescent="0.25">
      <c r="A242">
        <v>0.80635314510484002</v>
      </c>
      <c r="B242">
        <v>1.038896525930866E-5</v>
      </c>
      <c r="C242">
        <v>8.1449468085106394E-7</v>
      </c>
      <c r="D242">
        <v>3.5714290000000002</v>
      </c>
      <c r="E242">
        <v>724.09221539783175</v>
      </c>
      <c r="F242">
        <v>3.125</v>
      </c>
      <c r="G242">
        <v>0.22319319569391957</v>
      </c>
      <c r="H242">
        <v>51.0283935</v>
      </c>
    </row>
    <row r="243" spans="1:8" x14ac:dyDescent="0.25">
      <c r="A243">
        <v>0.80635314510484002</v>
      </c>
      <c r="B243">
        <v>1.038896525930866E-5</v>
      </c>
      <c r="C243">
        <v>8.1449468085106394E-7</v>
      </c>
      <c r="D243">
        <v>3.5714290000000002</v>
      </c>
      <c r="E243">
        <v>409.95623092762793</v>
      </c>
      <c r="F243">
        <v>3.125</v>
      </c>
      <c r="G243">
        <v>0.2260496918886134</v>
      </c>
      <c r="H243">
        <v>51.68147081</v>
      </c>
    </row>
    <row r="244" spans="1:8" x14ac:dyDescent="0.25">
      <c r="A244">
        <v>0.80635314510484002</v>
      </c>
      <c r="B244">
        <v>1.038896525930866E-5</v>
      </c>
      <c r="C244">
        <v>8.1449468085106394E-7</v>
      </c>
      <c r="D244">
        <v>3.5714290000000002</v>
      </c>
      <c r="E244">
        <v>263.90713930717629</v>
      </c>
      <c r="F244">
        <v>3.125</v>
      </c>
      <c r="G244">
        <v>0.22673672972864384</v>
      </c>
      <c r="H244">
        <v>51.83854745</v>
      </c>
    </row>
    <row r="245" spans="1:8" x14ac:dyDescent="0.25">
      <c r="A245">
        <v>0.82315226773945127</v>
      </c>
      <c r="B245">
        <v>1.99468085106383E-5</v>
      </c>
      <c r="C245">
        <v>1.2466755319148938E-6</v>
      </c>
      <c r="D245">
        <v>4</v>
      </c>
      <c r="E245">
        <v>247.30838166564081</v>
      </c>
      <c r="F245">
        <v>3.125</v>
      </c>
      <c r="G245">
        <v>0.21809807631827152</v>
      </c>
      <c r="H245">
        <v>61.057342609999999</v>
      </c>
    </row>
    <row r="246" spans="1:8" x14ac:dyDescent="0.25">
      <c r="A246">
        <v>0.82315226773945127</v>
      </c>
      <c r="B246">
        <v>1.99468085106383E-5</v>
      </c>
      <c r="C246">
        <v>1.2466755319148938E-6</v>
      </c>
      <c r="D246">
        <v>4</v>
      </c>
      <c r="E246">
        <v>90.876502702378644</v>
      </c>
      <c r="F246">
        <v>3.125</v>
      </c>
      <c r="G246">
        <v>0.22107653323562448</v>
      </c>
      <c r="H246">
        <v>61.891172359999999</v>
      </c>
    </row>
    <row r="247" spans="1:8" x14ac:dyDescent="0.25">
      <c r="A247">
        <v>0.82315226773945127</v>
      </c>
      <c r="B247">
        <v>1.99468085106383E-5</v>
      </c>
      <c r="C247">
        <v>1.2466755319148938E-6</v>
      </c>
      <c r="D247">
        <v>4</v>
      </c>
      <c r="E247">
        <v>140.62570499288518</v>
      </c>
      <c r="F247">
        <v>3.125</v>
      </c>
      <c r="G247">
        <v>0.22216740095456133</v>
      </c>
      <c r="H247">
        <v>62.196564709999997</v>
      </c>
    </row>
    <row r="248" spans="1:8" x14ac:dyDescent="0.25">
      <c r="A248">
        <v>0.83499618526088215</v>
      </c>
      <c r="B248">
        <v>1.1774541087261125E-5</v>
      </c>
      <c r="C248">
        <v>7.3590881795382032E-7</v>
      </c>
      <c r="D248">
        <v>4</v>
      </c>
      <c r="E248">
        <v>114.11927714530539</v>
      </c>
      <c r="F248">
        <v>6.5466448445171848</v>
      </c>
      <c r="G248">
        <v>0.10091757506674781</v>
      </c>
      <c r="H248">
        <v>21.27158154</v>
      </c>
    </row>
    <row r="249" spans="1:8" x14ac:dyDescent="0.25">
      <c r="A249">
        <v>0.83499618526088215</v>
      </c>
      <c r="B249">
        <v>6.6231793615843811E-6</v>
      </c>
      <c r="C249">
        <v>7.3590881795382032E-7</v>
      </c>
      <c r="D249">
        <v>3</v>
      </c>
      <c r="E249">
        <v>112.8900490408986</v>
      </c>
      <c r="F249">
        <v>6.5466448445171848</v>
      </c>
      <c r="G249">
        <v>0.10286438078566122</v>
      </c>
      <c r="H249">
        <v>16.261449469999999</v>
      </c>
    </row>
    <row r="250" spans="1:8" x14ac:dyDescent="0.25">
      <c r="A250">
        <v>0.83499618526088215</v>
      </c>
      <c r="B250">
        <v>1.1774541087261125E-5</v>
      </c>
      <c r="C250">
        <v>7.3590881795382032E-7</v>
      </c>
      <c r="D250">
        <v>4</v>
      </c>
      <c r="E250">
        <v>176.79320900129142</v>
      </c>
      <c r="F250">
        <v>6.5466448445171848</v>
      </c>
      <c r="G250">
        <v>0.10685964111647557</v>
      </c>
      <c r="H250">
        <v>22.52406053</v>
      </c>
    </row>
    <row r="251" spans="1:8" x14ac:dyDescent="0.25">
      <c r="A251">
        <v>0.83499618526088215</v>
      </c>
      <c r="B251">
        <v>1.1774541087261125E-5</v>
      </c>
      <c r="C251">
        <v>7.3590881795382032E-7</v>
      </c>
      <c r="D251">
        <v>4</v>
      </c>
      <c r="E251">
        <v>311.31239069211023</v>
      </c>
      <c r="F251">
        <v>6.5466448445171848</v>
      </c>
      <c r="G251">
        <v>0.10922273647943548</v>
      </c>
      <c r="H251">
        <v>23.022157870000001</v>
      </c>
    </row>
    <row r="252" spans="1:8" x14ac:dyDescent="0.25">
      <c r="A252">
        <v>0.83499618526088215</v>
      </c>
      <c r="B252">
        <v>6.6231793615843811E-6</v>
      </c>
      <c r="C252">
        <v>7.3590881795382032E-7</v>
      </c>
      <c r="D252">
        <v>3</v>
      </c>
      <c r="E252">
        <v>175.11321976431194</v>
      </c>
      <c r="F252">
        <v>6.5466448445171848</v>
      </c>
      <c r="G252">
        <v>0.11030162374764486</v>
      </c>
      <c r="H252">
        <v>17.437175700000001</v>
      </c>
    </row>
    <row r="253" spans="1:8" x14ac:dyDescent="0.25">
      <c r="A253">
        <v>0.83499618526088215</v>
      </c>
      <c r="B253">
        <v>6.6231793615843811E-6</v>
      </c>
      <c r="C253">
        <v>7.3590881795382032E-7</v>
      </c>
      <c r="D253">
        <v>3</v>
      </c>
      <c r="E253">
        <v>308.79922726714574</v>
      </c>
      <c r="F253">
        <v>6.5466448445171848</v>
      </c>
      <c r="G253">
        <v>0.11446402501553968</v>
      </c>
      <c r="H253">
        <v>18.095194320000001</v>
      </c>
    </row>
    <row r="254" spans="1:8" x14ac:dyDescent="0.25">
      <c r="A254">
        <v>0.83995134960844164</v>
      </c>
      <c r="B254">
        <v>7.48005219414897E-6</v>
      </c>
      <c r="C254">
        <v>1.6289893617021279E-6</v>
      </c>
      <c r="D254">
        <v>2.1428569999999998</v>
      </c>
      <c r="E254">
        <v>132.83111033183178</v>
      </c>
      <c r="F254">
        <v>3.125</v>
      </c>
      <c r="G254">
        <v>0.23610337054973662</v>
      </c>
      <c r="H254">
        <v>64.776025520000005</v>
      </c>
    </row>
    <row r="255" spans="1:8" x14ac:dyDescent="0.25">
      <c r="A255">
        <v>0.83995134960844164</v>
      </c>
      <c r="B255">
        <v>7.48005219414897E-6</v>
      </c>
      <c r="C255">
        <v>1.6289893617021279E-6</v>
      </c>
      <c r="D255">
        <v>2.1428569999999998</v>
      </c>
      <c r="E255">
        <v>363.84024430267073</v>
      </c>
      <c r="F255">
        <v>3.125</v>
      </c>
      <c r="G255">
        <v>0.23742265997750858</v>
      </c>
      <c r="H255">
        <v>65.137978529999998</v>
      </c>
    </row>
    <row r="256" spans="1:8" x14ac:dyDescent="0.25">
      <c r="A256">
        <v>0.83995134960844164</v>
      </c>
      <c r="B256">
        <v>7.48005219414897E-6</v>
      </c>
      <c r="C256">
        <v>1.6289893617021279E-6</v>
      </c>
      <c r="D256">
        <v>2.1428569999999998</v>
      </c>
      <c r="E256">
        <v>206.17745258373148</v>
      </c>
      <c r="F256">
        <v>3.125</v>
      </c>
      <c r="G256">
        <v>0.23810889432131987</v>
      </c>
      <c r="H256">
        <v>65.326250020000003</v>
      </c>
    </row>
    <row r="257" spans="1:8" x14ac:dyDescent="0.25">
      <c r="A257">
        <v>0.85203682149117543</v>
      </c>
      <c r="B257">
        <v>9.1988624321493372E-6</v>
      </c>
      <c r="C257">
        <v>7.2119064159474388E-7</v>
      </c>
      <c r="D257">
        <v>3.5714290000000002</v>
      </c>
      <c r="E257">
        <v>224.57058221568676</v>
      </c>
      <c r="F257">
        <v>6.5466448445171848</v>
      </c>
      <c r="G257">
        <v>0.11409265112167204</v>
      </c>
      <c r="H257">
        <v>29.459596019999999</v>
      </c>
    </row>
    <row r="258" spans="1:8" x14ac:dyDescent="0.25">
      <c r="A258">
        <v>0.85203682149117543</v>
      </c>
      <c r="B258">
        <v>9.1988624321493372E-6</v>
      </c>
      <c r="C258">
        <v>7.2119064159474388E-7</v>
      </c>
      <c r="D258">
        <v>3.5714290000000002</v>
      </c>
      <c r="E258">
        <v>348.57339105882653</v>
      </c>
      <c r="F258">
        <v>6.5466448445171848</v>
      </c>
      <c r="G258">
        <v>0.11657192873010538</v>
      </c>
      <c r="H258">
        <v>30.099764480000001</v>
      </c>
    </row>
    <row r="259" spans="1:8" x14ac:dyDescent="0.25">
      <c r="A259">
        <v>0.85203682149117543</v>
      </c>
      <c r="B259">
        <v>9.1988624321493372E-6</v>
      </c>
      <c r="C259">
        <v>7.2119064159474388E-7</v>
      </c>
      <c r="D259">
        <v>3.5714290000000002</v>
      </c>
      <c r="E259">
        <v>615.12559288581008</v>
      </c>
      <c r="F259">
        <v>6.5466448445171848</v>
      </c>
      <c r="G259">
        <v>0.11687282089258029</v>
      </c>
      <c r="H259">
        <v>30.177457140000001</v>
      </c>
    </row>
    <row r="260" spans="1:8" x14ac:dyDescent="0.25">
      <c r="A260">
        <v>0.87802908558874804</v>
      </c>
      <c r="B260">
        <v>1.1220079787234043E-5</v>
      </c>
      <c r="C260">
        <v>1.2466755319148938E-6</v>
      </c>
      <c r="D260">
        <v>3</v>
      </c>
      <c r="E260">
        <v>90.00045119544653</v>
      </c>
      <c r="F260">
        <v>3.125</v>
      </c>
      <c r="G260">
        <v>0.23755808767320544</v>
      </c>
      <c r="H260">
        <v>49.878932200000001</v>
      </c>
    </row>
    <row r="261" spans="1:8" x14ac:dyDescent="0.25">
      <c r="A261">
        <v>0.87802908558874804</v>
      </c>
      <c r="B261">
        <v>1.1220079787234043E-5</v>
      </c>
      <c r="C261">
        <v>1.2466755319148938E-6</v>
      </c>
      <c r="D261">
        <v>3</v>
      </c>
      <c r="E261">
        <v>245.5172896805862</v>
      </c>
      <c r="F261">
        <v>3.125</v>
      </c>
      <c r="G261">
        <v>0.24076270829163257</v>
      </c>
      <c r="H261">
        <v>50.551791020000003</v>
      </c>
    </row>
    <row r="262" spans="1:8" x14ac:dyDescent="0.25">
      <c r="A262">
        <v>0.87802908558874804</v>
      </c>
      <c r="B262">
        <v>1.1220079787234043E-5</v>
      </c>
      <c r="C262">
        <v>1.2466755319148938E-6</v>
      </c>
      <c r="D262">
        <v>3</v>
      </c>
      <c r="E262">
        <v>139.4284031272596</v>
      </c>
      <c r="F262">
        <v>3.125</v>
      </c>
      <c r="G262">
        <v>0.24130291499330447</v>
      </c>
      <c r="H262">
        <v>50.665215629999999</v>
      </c>
    </row>
    <row r="263" spans="1:8" x14ac:dyDescent="0.25">
      <c r="A263">
        <v>0.87927628599441376</v>
      </c>
      <c r="B263">
        <v>1.1763598720120461E-5</v>
      </c>
      <c r="C263">
        <v>7.3522492000752879E-7</v>
      </c>
      <c r="D263">
        <v>4</v>
      </c>
      <c r="E263">
        <v>120.17105699392008</v>
      </c>
      <c r="F263">
        <v>4.658385093167702</v>
      </c>
      <c r="G263">
        <v>0.17100780567544283</v>
      </c>
      <c r="H263">
        <v>36.078850889999998</v>
      </c>
    </row>
    <row r="264" spans="1:8" x14ac:dyDescent="0.25">
      <c r="A264">
        <v>0.87927628599441376</v>
      </c>
      <c r="B264">
        <v>6.6170242800677579E-6</v>
      </c>
      <c r="C264">
        <v>7.3522492000752879E-7</v>
      </c>
      <c r="D264">
        <v>3</v>
      </c>
      <c r="E264">
        <v>118.87664255064323</v>
      </c>
      <c r="F264">
        <v>4.658385093167702</v>
      </c>
      <c r="G264">
        <v>0.17342603849223726</v>
      </c>
      <c r="H264">
        <v>27.44178325</v>
      </c>
    </row>
    <row r="265" spans="1:8" x14ac:dyDescent="0.25">
      <c r="A265">
        <v>0.87927628599441376</v>
      </c>
      <c r="B265">
        <v>1.1763598720120461E-5</v>
      </c>
      <c r="C265">
        <v>7.3522492000752879E-7</v>
      </c>
      <c r="D265">
        <v>4</v>
      </c>
      <c r="E265">
        <v>186.1686064483296</v>
      </c>
      <c r="F265">
        <v>4.658385093167702</v>
      </c>
      <c r="G265">
        <v>0.17488636381744749</v>
      </c>
      <c r="H265">
        <v>36.897140559999997</v>
      </c>
    </row>
    <row r="266" spans="1:8" x14ac:dyDescent="0.25">
      <c r="A266">
        <v>0.87927628599441376</v>
      </c>
      <c r="B266">
        <v>1.1763598720120461E-5</v>
      </c>
      <c r="C266">
        <v>7.3522492000752879E-7</v>
      </c>
      <c r="D266">
        <v>4</v>
      </c>
      <c r="E266">
        <v>327.82138110760093</v>
      </c>
      <c r="F266">
        <v>4.658385093167702</v>
      </c>
      <c r="G266">
        <v>0.17582102864259694</v>
      </c>
      <c r="H266">
        <v>37.094334089999997</v>
      </c>
    </row>
    <row r="267" spans="1:8" x14ac:dyDescent="0.25">
      <c r="A267">
        <v>0.87927628599441376</v>
      </c>
      <c r="B267">
        <v>6.6170242800677579E-6</v>
      </c>
      <c r="C267">
        <v>7.3522492000752879E-7</v>
      </c>
      <c r="D267">
        <v>3</v>
      </c>
      <c r="E267">
        <v>184.39952687302542</v>
      </c>
      <c r="F267">
        <v>4.658385093167702</v>
      </c>
      <c r="G267">
        <v>0.17853777166379556</v>
      </c>
      <c r="H267">
        <v>28.250629920000002</v>
      </c>
    </row>
    <row r="268" spans="1:8" x14ac:dyDescent="0.25">
      <c r="A268">
        <v>0.87927628599441376</v>
      </c>
      <c r="B268">
        <v>6.6170242800677579E-6</v>
      </c>
      <c r="C268">
        <v>7.3522492000752879E-7</v>
      </c>
      <c r="D268">
        <v>3</v>
      </c>
      <c r="E268">
        <v>325.17494386464585</v>
      </c>
      <c r="F268">
        <v>4.658385093167702</v>
      </c>
      <c r="G268">
        <v>0.18090683695400542</v>
      </c>
      <c r="H268">
        <v>28.625495059999999</v>
      </c>
    </row>
    <row r="269" spans="1:8" x14ac:dyDescent="0.25">
      <c r="A269">
        <v>0.88900453805906099</v>
      </c>
      <c r="B269">
        <v>9.2346317228133305E-6</v>
      </c>
      <c r="C269">
        <v>8.3111702127659595E-7</v>
      </c>
      <c r="D269">
        <v>3.3333330000000001</v>
      </c>
      <c r="E269">
        <v>133.54652609944597</v>
      </c>
      <c r="F269">
        <v>3.125</v>
      </c>
      <c r="G269">
        <v>0.24462787268389286</v>
      </c>
      <c r="H269">
        <v>38.046915490000004</v>
      </c>
    </row>
    <row r="270" spans="1:8" x14ac:dyDescent="0.25">
      <c r="A270">
        <v>0.88900453805906099</v>
      </c>
      <c r="B270">
        <v>9.2346317228133305E-6</v>
      </c>
      <c r="C270">
        <v>8.3111702127659595E-7</v>
      </c>
      <c r="D270">
        <v>3.3333330000000001</v>
      </c>
      <c r="E270">
        <v>365.30291566070855</v>
      </c>
      <c r="F270">
        <v>3.125</v>
      </c>
      <c r="G270">
        <v>0.24545655515638648</v>
      </c>
      <c r="H270" s="1">
        <v>38.175800279999997</v>
      </c>
    </row>
    <row r="271" spans="1:8" x14ac:dyDescent="0.25">
      <c r="A271">
        <v>0.88900453805906099</v>
      </c>
      <c r="B271">
        <v>9.2346317228133305E-6</v>
      </c>
      <c r="C271">
        <v>8.3111702127659595E-7</v>
      </c>
      <c r="D271">
        <v>3.3333330000000001</v>
      </c>
      <c r="E271">
        <v>207.15521316799448</v>
      </c>
      <c r="F271">
        <v>3.125</v>
      </c>
      <c r="G271">
        <v>0.24666604152255875</v>
      </c>
      <c r="H271">
        <v>38.36391141</v>
      </c>
    </row>
    <row r="272" spans="1:8" x14ac:dyDescent="0.25">
      <c r="A272">
        <v>0.89722059232782869</v>
      </c>
      <c r="B272">
        <v>9.190313705769E-6</v>
      </c>
      <c r="C272">
        <v>7.205204216073782E-7</v>
      </c>
      <c r="D272">
        <v>3.5714290000000002</v>
      </c>
      <c r="E272">
        <v>236.47962824227619</v>
      </c>
      <c r="F272">
        <v>4.658385093167702</v>
      </c>
      <c r="G272">
        <v>0.18262045811758276</v>
      </c>
      <c r="H272">
        <v>47.197862559999997</v>
      </c>
    </row>
    <row r="273" spans="1:8" x14ac:dyDescent="0.25">
      <c r="A273">
        <v>0.89722059232782869</v>
      </c>
      <c r="B273">
        <v>9.190313705769E-6</v>
      </c>
      <c r="C273">
        <v>7.205204216073782E-7</v>
      </c>
      <c r="D273">
        <v>3.5714290000000002</v>
      </c>
      <c r="E273">
        <v>647.74588947823941</v>
      </c>
      <c r="F273">
        <v>4.658385093167702</v>
      </c>
      <c r="G273">
        <v>0.18345489593581982</v>
      </c>
      <c r="H273">
        <v>47.413521209999999</v>
      </c>
    </row>
    <row r="274" spans="1:8" x14ac:dyDescent="0.25">
      <c r="A274">
        <v>0.89722059232782869</v>
      </c>
      <c r="B274">
        <v>9.190313705769E-6</v>
      </c>
      <c r="C274">
        <v>7.205204216073782E-7</v>
      </c>
      <c r="D274">
        <v>3.5714290000000002</v>
      </c>
      <c r="E274">
        <v>367.05834361497642</v>
      </c>
      <c r="F274">
        <v>4.658385093167702</v>
      </c>
      <c r="G274">
        <v>0.18388150051060903</v>
      </c>
      <c r="H274">
        <v>47.523776239999997</v>
      </c>
    </row>
    <row r="275" spans="1:8" x14ac:dyDescent="0.25">
      <c r="A275">
        <v>0.91461363082161251</v>
      </c>
      <c r="B275">
        <v>7.4800531914893613E-6</v>
      </c>
      <c r="C275">
        <v>1.1968085106382979E-6</v>
      </c>
      <c r="D275">
        <v>2.5</v>
      </c>
      <c r="E275">
        <v>133.19822216424475</v>
      </c>
      <c r="F275">
        <v>3.125</v>
      </c>
      <c r="G275">
        <v>0.25353107483226062</v>
      </c>
      <c r="H275">
        <v>51.103395550000002</v>
      </c>
    </row>
    <row r="276" spans="1:8" x14ac:dyDescent="0.25">
      <c r="A276">
        <v>0.91461363082161251</v>
      </c>
      <c r="B276">
        <v>7.4800531914893613E-6</v>
      </c>
      <c r="C276">
        <v>1.1968085106382979E-6</v>
      </c>
      <c r="D276">
        <v>2.5</v>
      </c>
      <c r="E276">
        <v>364.59080640484245</v>
      </c>
      <c r="F276">
        <v>3.125</v>
      </c>
      <c r="G276">
        <v>0.25583750358038188</v>
      </c>
      <c r="H276">
        <v>51.568294539999997</v>
      </c>
    </row>
    <row r="277" spans="1:8" x14ac:dyDescent="0.25">
      <c r="A277">
        <v>0.91461363082161251</v>
      </c>
      <c r="B277">
        <v>7.4800531914893613E-6</v>
      </c>
      <c r="C277">
        <v>1.1968085106382979E-6</v>
      </c>
      <c r="D277">
        <v>2.5</v>
      </c>
      <c r="E277">
        <v>206.67918527680177</v>
      </c>
      <c r="F277">
        <v>3.125</v>
      </c>
      <c r="G277">
        <v>0.25625274674052151</v>
      </c>
      <c r="H277">
        <v>51.651993689999998</v>
      </c>
    </row>
    <row r="278" spans="1:8" x14ac:dyDescent="0.25">
      <c r="A278">
        <v>0.98778272128734135</v>
      </c>
      <c r="B278">
        <v>2.0777925531914893E-5</v>
      </c>
      <c r="C278">
        <v>8.3111702127659595E-7</v>
      </c>
      <c r="D278">
        <v>5</v>
      </c>
      <c r="E278">
        <v>370.96257249846116</v>
      </c>
      <c r="F278">
        <v>3.125</v>
      </c>
      <c r="G278">
        <v>0.25498438127126827</v>
      </c>
      <c r="H278">
        <v>59.486497200000002</v>
      </c>
    </row>
    <row r="279" spans="1:8" x14ac:dyDescent="0.25">
      <c r="A279">
        <v>0.98778272128734135</v>
      </c>
      <c r="B279">
        <v>2.0777925531914893E-5</v>
      </c>
      <c r="C279">
        <v>8.3111702127659595E-7</v>
      </c>
      <c r="D279">
        <v>5</v>
      </c>
      <c r="E279">
        <v>210.93855748932774</v>
      </c>
      <c r="F279">
        <v>3.125</v>
      </c>
      <c r="G279">
        <v>0.2618545614895737</v>
      </c>
      <c r="H279">
        <v>61.089273630000001</v>
      </c>
    </row>
    <row r="280" spans="1:8" x14ac:dyDescent="0.25">
      <c r="A280">
        <v>0.98778272128734135</v>
      </c>
      <c r="B280">
        <v>2.0777925531914893E-5</v>
      </c>
      <c r="C280">
        <v>8.3111702127659595E-7</v>
      </c>
      <c r="D280">
        <v>5</v>
      </c>
      <c r="E280">
        <v>136.31475405356795</v>
      </c>
      <c r="F280">
        <v>3.125</v>
      </c>
      <c r="G280">
        <v>0.26225608879329249</v>
      </c>
      <c r="H280">
        <v>61.182947810000002</v>
      </c>
    </row>
    <row r="281" spans="1:8" x14ac:dyDescent="0.25">
      <c r="A281">
        <v>0.98778272128734146</v>
      </c>
      <c r="B281">
        <v>1.3297872340425535E-5</v>
      </c>
      <c r="C281">
        <v>8.3111702127659595E-7</v>
      </c>
      <c r="D281">
        <v>4</v>
      </c>
      <c r="E281">
        <v>368.27593452087933</v>
      </c>
      <c r="F281">
        <v>3.125</v>
      </c>
      <c r="G281">
        <v>0.2649290791954404</v>
      </c>
      <c r="H281">
        <v>49.445233780000002</v>
      </c>
    </row>
    <row r="282" spans="1:8" x14ac:dyDescent="0.25">
      <c r="A282">
        <v>0.98778272128734146</v>
      </c>
      <c r="B282">
        <v>1.3297872340425535E-5</v>
      </c>
      <c r="C282">
        <v>8.3111702127659595E-7</v>
      </c>
      <c r="D282">
        <v>4</v>
      </c>
      <c r="E282">
        <v>135.00067679316979</v>
      </c>
      <c r="F282">
        <v>3.125</v>
      </c>
      <c r="G282" s="1">
        <v>0.26627285796410149</v>
      </c>
      <c r="H282">
        <v>49.696030919999998</v>
      </c>
    </row>
    <row r="283" spans="1:8" x14ac:dyDescent="0.25">
      <c r="A283">
        <v>0.98778272128734146</v>
      </c>
      <c r="B283">
        <v>1.3297872340425535E-5</v>
      </c>
      <c r="C283">
        <v>8.3111702127659595E-7</v>
      </c>
      <c r="D283">
        <v>4</v>
      </c>
      <c r="E283">
        <v>209.14260469088941</v>
      </c>
      <c r="F283">
        <v>3.125</v>
      </c>
      <c r="G283">
        <v>0.26798775660160029</v>
      </c>
      <c r="H283">
        <v>50.016092290000003</v>
      </c>
    </row>
    <row r="284" spans="1:8" x14ac:dyDescent="0.25">
      <c r="A284">
        <v>0.98778272128734157</v>
      </c>
      <c r="B284">
        <v>7.4800531914893613E-6</v>
      </c>
      <c r="C284">
        <v>8.3111702127659595E-7</v>
      </c>
      <c r="D284">
        <v>3</v>
      </c>
      <c r="E284">
        <v>133.54652609944603</v>
      </c>
      <c r="F284">
        <v>3.125</v>
      </c>
      <c r="G284">
        <v>0.26952708061101177</v>
      </c>
      <c r="H284">
        <v>37.727538869999997</v>
      </c>
    </row>
    <row r="285" spans="1:8" x14ac:dyDescent="0.25">
      <c r="A285">
        <v>0.98778272128734157</v>
      </c>
      <c r="B285">
        <v>7.4800531914893613E-6</v>
      </c>
      <c r="C285">
        <v>8.3111702127659595E-7</v>
      </c>
      <c r="D285">
        <v>3</v>
      </c>
      <c r="E285">
        <v>365.30291566070855</v>
      </c>
      <c r="F285">
        <v>3.125</v>
      </c>
      <c r="G285">
        <v>0.27301055110098488</v>
      </c>
      <c r="H285">
        <v>38.215143930000004</v>
      </c>
    </row>
    <row r="286" spans="1:8" x14ac:dyDescent="0.25">
      <c r="A286">
        <v>0.98778272128734157</v>
      </c>
      <c r="B286">
        <v>7.4800531914893613E-6</v>
      </c>
      <c r="C286">
        <v>8.3111702127659595E-7</v>
      </c>
      <c r="D286">
        <v>3</v>
      </c>
      <c r="E286">
        <v>207.15521316799456</v>
      </c>
      <c r="F286">
        <v>3.125</v>
      </c>
      <c r="G286">
        <v>0.27306509235264947</v>
      </c>
      <c r="H286">
        <v>38.222778439999999</v>
      </c>
    </row>
    <row r="287" spans="1:8" x14ac:dyDescent="0.25">
      <c r="A287">
        <v>1.0019954223130583</v>
      </c>
      <c r="B287">
        <v>4.5994301122113757E-6</v>
      </c>
      <c r="C287">
        <v>7.3590881795382032E-7</v>
      </c>
      <c r="D287">
        <v>2.5</v>
      </c>
      <c r="E287">
        <v>112.89004904089857</v>
      </c>
      <c r="F287">
        <v>6.5466448445171848</v>
      </c>
      <c r="G287">
        <v>0.10991809829609969</v>
      </c>
      <c r="H287">
        <v>14.48045465</v>
      </c>
    </row>
    <row r="288" spans="1:8" x14ac:dyDescent="0.25">
      <c r="A288">
        <v>1.0019954223130583</v>
      </c>
      <c r="B288">
        <v>9.1988602244227514E-6</v>
      </c>
      <c r="C288">
        <v>3.6795440897691016E-7</v>
      </c>
      <c r="D288">
        <v>5</v>
      </c>
      <c r="E288">
        <v>225.78009808179715</v>
      </c>
      <c r="F288">
        <v>6.5466448445171848</v>
      </c>
      <c r="G288">
        <v>0.12323397223195511</v>
      </c>
      <c r="H288">
        <v>16.234669029999999</v>
      </c>
    </row>
    <row r="289" spans="1:8" x14ac:dyDescent="0.25">
      <c r="A289">
        <v>1.0019954223130583</v>
      </c>
      <c r="B289">
        <v>4.5994301122113757E-6</v>
      </c>
      <c r="C289">
        <v>7.3590881795382032E-7</v>
      </c>
      <c r="D289">
        <v>2.5</v>
      </c>
      <c r="E289">
        <v>175.11321976431191</v>
      </c>
      <c r="F289">
        <v>6.5466448445171848</v>
      </c>
      <c r="G289">
        <v>0.12397203724588829</v>
      </c>
      <c r="H289">
        <v>16.33190067</v>
      </c>
    </row>
    <row r="290" spans="1:8" x14ac:dyDescent="0.25">
      <c r="A290">
        <v>1.0019954223130583</v>
      </c>
      <c r="B290">
        <v>9.1988602244227514E-6</v>
      </c>
      <c r="C290">
        <v>3.6795440897691016E-7</v>
      </c>
      <c r="D290">
        <v>5</v>
      </c>
      <c r="E290">
        <v>350.22643952862381</v>
      </c>
      <c r="F290">
        <v>6.5466448445171848</v>
      </c>
      <c r="G290">
        <v>0.12762167795545104</v>
      </c>
      <c r="H290">
        <v>16.812699169999998</v>
      </c>
    </row>
    <row r="291" spans="1:8" x14ac:dyDescent="0.25">
      <c r="A291">
        <v>1.0019954223130583</v>
      </c>
      <c r="B291">
        <v>9.1988602244227514E-6</v>
      </c>
      <c r="C291">
        <v>3.6795440897691016E-7</v>
      </c>
      <c r="D291">
        <v>5</v>
      </c>
      <c r="E291">
        <v>617.59845453429125</v>
      </c>
      <c r="F291">
        <v>6.5466448445171848</v>
      </c>
      <c r="G291">
        <v>0.1286764818370906</v>
      </c>
      <c r="H291">
        <v>16.951657539999999</v>
      </c>
    </row>
    <row r="292" spans="1:8" x14ac:dyDescent="0.25">
      <c r="A292">
        <v>1.0019954223130583</v>
      </c>
      <c r="B292">
        <v>4.5994301122113757E-6</v>
      </c>
      <c r="C292">
        <v>7.3590881795382032E-7</v>
      </c>
      <c r="D292">
        <v>2.5</v>
      </c>
      <c r="E292">
        <v>308.79922726714562</v>
      </c>
      <c r="F292">
        <v>6.5466448445171848</v>
      </c>
      <c r="G292">
        <v>0.13308783355631645</v>
      </c>
      <c r="H292">
        <v>17.53280277</v>
      </c>
    </row>
    <row r="293" spans="1:8" x14ac:dyDescent="0.25">
      <c r="A293">
        <v>1.0032597404293342</v>
      </c>
      <c r="B293">
        <v>3.7750144591090596E-6</v>
      </c>
      <c r="C293">
        <v>8.1449468085106394E-7</v>
      </c>
      <c r="D293">
        <v>2.152857</v>
      </c>
      <c r="E293">
        <v>261.96497589792284</v>
      </c>
      <c r="F293">
        <v>3.125</v>
      </c>
      <c r="G293">
        <v>0.28340846972474576</v>
      </c>
      <c r="H293">
        <v>39.058623439999998</v>
      </c>
    </row>
    <row r="294" spans="1:8" x14ac:dyDescent="0.25">
      <c r="A294">
        <v>1.0032597404293342</v>
      </c>
      <c r="B294">
        <v>3.7750144591090596E-6</v>
      </c>
      <c r="C294">
        <v>8.1449468085106394E-7</v>
      </c>
      <c r="D294">
        <v>2.152857</v>
      </c>
      <c r="E294">
        <v>720.12145193420656</v>
      </c>
      <c r="F294">
        <v>3.125</v>
      </c>
      <c r="G294">
        <v>0.28449703184228442</v>
      </c>
      <c r="H294" s="1">
        <v>39.208646260000002</v>
      </c>
    </row>
    <row r="295" spans="1:8" x14ac:dyDescent="0.25">
      <c r="A295">
        <v>1.0032597404293342</v>
      </c>
      <c r="B295">
        <v>3.7750144591090596E-6</v>
      </c>
      <c r="C295">
        <v>8.1449468085106394E-7</v>
      </c>
      <c r="D295">
        <v>2.152857</v>
      </c>
      <c r="E295">
        <v>407.30187116128036</v>
      </c>
      <c r="F295">
        <v>3.125</v>
      </c>
      <c r="G295">
        <v>0.28488594908446369</v>
      </c>
      <c r="H295">
        <v>39.262245829999998</v>
      </c>
    </row>
    <row r="296" spans="1:8" x14ac:dyDescent="0.25">
      <c r="A296">
        <v>1.00794143138105</v>
      </c>
      <c r="B296">
        <v>1.038896525930866E-5</v>
      </c>
      <c r="C296">
        <v>8.1449468085106394E-7</v>
      </c>
      <c r="D296">
        <v>3.5714290000000002</v>
      </c>
      <c r="E296">
        <v>727.68048860534122</v>
      </c>
      <c r="F296">
        <v>3.125</v>
      </c>
      <c r="G296">
        <v>0.27555233201152501</v>
      </c>
      <c r="H296">
        <v>62.99920024</v>
      </c>
    </row>
    <row r="297" spans="1:8" x14ac:dyDescent="0.25">
      <c r="A297">
        <v>1.00794143138105</v>
      </c>
      <c r="B297">
        <v>1.038896525930866E-5</v>
      </c>
      <c r="C297">
        <v>8.1449468085106394E-7</v>
      </c>
      <c r="D297">
        <v>3.5714290000000002</v>
      </c>
      <c r="E297">
        <v>412.35490516746285</v>
      </c>
      <c r="F297">
        <v>3.125</v>
      </c>
      <c r="G297" s="1">
        <v>0.27910396568183193</v>
      </c>
      <c r="H297">
        <v>63.811205999999999</v>
      </c>
    </row>
    <row r="298" spans="1:8" x14ac:dyDescent="0.25">
      <c r="A298">
        <v>1.00794143138105</v>
      </c>
      <c r="B298">
        <v>1.038896525930866E-5</v>
      </c>
      <c r="C298">
        <v>8.1449468085106394E-7</v>
      </c>
      <c r="D298">
        <v>3.5714290000000002</v>
      </c>
      <c r="E298">
        <v>265.66222066366345</v>
      </c>
      <c r="F298">
        <v>3.125</v>
      </c>
      <c r="G298">
        <v>0.27938485618530773</v>
      </c>
      <c r="H298">
        <v>63.875425659999998</v>
      </c>
    </row>
    <row r="299" spans="1:8" x14ac:dyDescent="0.25">
      <c r="A299">
        <v>1.0079415019369466</v>
      </c>
      <c r="B299">
        <v>6.6489368351063999E-6</v>
      </c>
      <c r="C299">
        <v>8.1449468085106394E-7</v>
      </c>
      <c r="D299">
        <v>2.8571430000000002</v>
      </c>
      <c r="E299">
        <v>724.09221539783175</v>
      </c>
      <c r="F299">
        <v>3.125</v>
      </c>
      <c r="G299">
        <v>0.28097821157027258</v>
      </c>
      <c r="H299">
        <v>51.391766480000001</v>
      </c>
    </row>
    <row r="300" spans="1:8" x14ac:dyDescent="0.25">
      <c r="A300">
        <v>1.0079415019369466</v>
      </c>
      <c r="B300">
        <v>6.6489368351063999E-6</v>
      </c>
      <c r="C300">
        <v>8.1449468085106394E-7</v>
      </c>
      <c r="D300">
        <v>2.8571430000000002</v>
      </c>
      <c r="E300">
        <v>263.90713930717624</v>
      </c>
      <c r="F300">
        <v>3.125</v>
      </c>
      <c r="G300">
        <v>0.28208895155708985</v>
      </c>
      <c r="H300">
        <v>51.59492419</v>
      </c>
    </row>
    <row r="301" spans="1:8" x14ac:dyDescent="0.25">
      <c r="A301">
        <v>1.0079415019369466</v>
      </c>
      <c r="B301">
        <v>6.6489368351063999E-6</v>
      </c>
      <c r="C301">
        <v>8.1449468085106394E-7</v>
      </c>
      <c r="D301">
        <v>2.8571430000000002</v>
      </c>
      <c r="E301">
        <v>409.95623092762798</v>
      </c>
      <c r="F301">
        <v>3.125</v>
      </c>
      <c r="G301">
        <v>0.28276360516710497</v>
      </c>
      <c r="H301">
        <v>51.718320380000002</v>
      </c>
    </row>
    <row r="302" spans="1:8" x14ac:dyDescent="0.25">
      <c r="A302">
        <v>1.0551315431932964</v>
      </c>
      <c r="B302">
        <v>4.5951557500470538E-6</v>
      </c>
      <c r="C302">
        <v>7.3522492000752879E-7</v>
      </c>
      <c r="D302">
        <v>2.5</v>
      </c>
      <c r="E302">
        <v>118.87664255064321</v>
      </c>
      <c r="F302">
        <v>4.658385093167702</v>
      </c>
      <c r="G302">
        <v>0.1990254417037694</v>
      </c>
      <c r="H302">
        <v>26.24371884</v>
      </c>
    </row>
    <row r="303" spans="1:8" x14ac:dyDescent="0.25">
      <c r="A303">
        <v>1.0551315431932964</v>
      </c>
      <c r="B303">
        <v>9.1903115000941076E-6</v>
      </c>
      <c r="C303">
        <v>3.676124600037644E-7</v>
      </c>
      <c r="D303">
        <v>5</v>
      </c>
      <c r="E303">
        <v>237.75328510128642</v>
      </c>
      <c r="F303">
        <v>4.658385093167702</v>
      </c>
      <c r="G303">
        <v>0.20650776268906518</v>
      </c>
      <c r="H303">
        <v>27.230346109999999</v>
      </c>
    </row>
    <row r="304" spans="1:8" x14ac:dyDescent="0.25">
      <c r="A304">
        <v>1.0551315431932964</v>
      </c>
      <c r="B304">
        <v>9.1903115000941076E-6</v>
      </c>
      <c r="C304">
        <v>3.676124600037644E-7</v>
      </c>
      <c r="D304">
        <v>5</v>
      </c>
      <c r="E304">
        <v>650.34988772929159</v>
      </c>
      <c r="F304">
        <v>4.658385093167702</v>
      </c>
      <c r="G304">
        <v>0.20908852868429861</v>
      </c>
      <c r="H304">
        <v>27.570648819999999</v>
      </c>
    </row>
    <row r="305" spans="1:8" x14ac:dyDescent="0.25">
      <c r="A305">
        <v>1.0551315431932964</v>
      </c>
      <c r="B305">
        <v>9.1903115000941076E-6</v>
      </c>
      <c r="C305">
        <v>3.676124600037644E-7</v>
      </c>
      <c r="D305">
        <v>5</v>
      </c>
      <c r="E305">
        <v>368.79905374605084</v>
      </c>
      <c r="F305">
        <v>4.658385093167702</v>
      </c>
      <c r="G305">
        <v>0.20915182626300893</v>
      </c>
      <c r="H305">
        <v>27.57899531</v>
      </c>
    </row>
    <row r="306" spans="1:8" x14ac:dyDescent="0.25">
      <c r="A306">
        <v>1.0551315431932964</v>
      </c>
      <c r="B306">
        <v>4.5951557500470538E-6</v>
      </c>
      <c r="C306">
        <v>7.3522492000752879E-7</v>
      </c>
      <c r="D306">
        <v>2.5</v>
      </c>
      <c r="E306">
        <v>184.39952687302542</v>
      </c>
      <c r="F306">
        <v>4.658385093167702</v>
      </c>
      <c r="G306">
        <v>0.20941488817564227</v>
      </c>
      <c r="H306">
        <v>27.613682950000001</v>
      </c>
    </row>
    <row r="307" spans="1:8" x14ac:dyDescent="0.25">
      <c r="A307">
        <v>1.0551315431932964</v>
      </c>
      <c r="B307">
        <v>4.5951557500470538E-6</v>
      </c>
      <c r="C307">
        <v>7.3522492000752879E-7</v>
      </c>
      <c r="D307">
        <v>2.5</v>
      </c>
      <c r="E307">
        <v>325.1749438646458</v>
      </c>
      <c r="F307">
        <v>4.658385093167702</v>
      </c>
      <c r="G307">
        <v>0.21564193131630632</v>
      </c>
      <c r="H307">
        <v>28.434787870000001</v>
      </c>
    </row>
    <row r="308" spans="1:8" x14ac:dyDescent="0.25">
      <c r="A308">
        <v>1.0650461014171875</v>
      </c>
      <c r="B308">
        <v>5.8872711323576311E-6</v>
      </c>
      <c r="C308">
        <v>7.2119064159474388E-7</v>
      </c>
      <c r="D308">
        <v>2.8571430000000002</v>
      </c>
      <c r="E308">
        <v>224.57058221568678</v>
      </c>
      <c r="F308">
        <v>6.5466448445171848</v>
      </c>
      <c r="G308">
        <v>0.13297754074067145</v>
      </c>
      <c r="H308">
        <v>27.468653360000001</v>
      </c>
    </row>
    <row r="309" spans="1:8" x14ac:dyDescent="0.25">
      <c r="A309">
        <v>1.0650461014171875</v>
      </c>
      <c r="B309">
        <v>5.8872711323576311E-6</v>
      </c>
      <c r="C309">
        <v>7.2119064159474388E-7</v>
      </c>
      <c r="D309">
        <v>2.8571430000000002</v>
      </c>
      <c r="E309">
        <v>348.57339105882659</v>
      </c>
      <c r="F309">
        <v>6.5466448445171848</v>
      </c>
      <c r="G309">
        <v>0.13969142607928295</v>
      </c>
      <c r="H309">
        <v>28.855514540000001</v>
      </c>
    </row>
    <row r="310" spans="1:8" x14ac:dyDescent="0.25">
      <c r="A310">
        <v>1.0650461014171875</v>
      </c>
      <c r="B310">
        <v>5.8872711323576311E-6</v>
      </c>
      <c r="C310">
        <v>7.2119064159474388E-7</v>
      </c>
      <c r="D310">
        <v>2.8571430000000002</v>
      </c>
      <c r="E310">
        <v>615.12559288581008</v>
      </c>
      <c r="F310">
        <v>6.5466448445171848</v>
      </c>
      <c r="G310">
        <v>0.14305070238404849</v>
      </c>
      <c r="H310">
        <v>29.549427179999999</v>
      </c>
    </row>
    <row r="311" spans="1:8" x14ac:dyDescent="0.25">
      <c r="A311">
        <v>1.0975363569859351</v>
      </c>
      <c r="B311">
        <v>1.1220079787234043E-5</v>
      </c>
      <c r="C311">
        <v>1.2466755319148938E-6</v>
      </c>
      <c r="D311">
        <v>3</v>
      </c>
      <c r="E311">
        <v>90.876502702378659</v>
      </c>
      <c r="F311">
        <v>3.125</v>
      </c>
      <c r="G311">
        <v>0.28528836091486071</v>
      </c>
      <c r="H311">
        <v>59.900628730000001</v>
      </c>
    </row>
    <row r="312" spans="1:8" x14ac:dyDescent="0.25">
      <c r="A312">
        <v>1.0975363569859351</v>
      </c>
      <c r="B312">
        <v>1.1220079787234043E-5</v>
      </c>
      <c r="C312">
        <v>1.2466755319148938E-6</v>
      </c>
      <c r="D312">
        <v>3</v>
      </c>
      <c r="E312">
        <v>140.62570499288518</v>
      </c>
      <c r="F312">
        <v>3.125</v>
      </c>
      <c r="G312">
        <v>0.29227206919692561</v>
      </c>
      <c r="H312">
        <v>61.366964459999998</v>
      </c>
    </row>
    <row r="313" spans="1:8" x14ac:dyDescent="0.25">
      <c r="A313">
        <v>1.0975363569859351</v>
      </c>
      <c r="B313">
        <v>1.1220079787234043E-5</v>
      </c>
      <c r="C313">
        <v>1.2466755319148938E-6</v>
      </c>
      <c r="D313">
        <v>3</v>
      </c>
      <c r="E313">
        <v>247.30838166564078</v>
      </c>
      <c r="F313">
        <v>3.125</v>
      </c>
      <c r="G313">
        <v>0.29302569788125093</v>
      </c>
      <c r="H313">
        <v>61.525200259999998</v>
      </c>
    </row>
    <row r="314" spans="1:8" x14ac:dyDescent="0.25">
      <c r="A314">
        <v>1.097536374546517</v>
      </c>
      <c r="B314">
        <v>1.038896243351064E-5</v>
      </c>
      <c r="C314">
        <v>5.9840425531914893E-7</v>
      </c>
      <c r="D314">
        <v>4.1666666000000001</v>
      </c>
      <c r="E314">
        <v>729.18161280968479</v>
      </c>
      <c r="F314">
        <v>3.125</v>
      </c>
      <c r="G314">
        <v>0.29642304878383569</v>
      </c>
      <c r="H314">
        <v>49.79081979</v>
      </c>
    </row>
    <row r="315" spans="1:8" x14ac:dyDescent="0.25">
      <c r="A315">
        <v>1.097536374546517</v>
      </c>
      <c r="B315">
        <v>1.038896243351064E-5</v>
      </c>
      <c r="C315">
        <v>5.9840425531914893E-7</v>
      </c>
      <c r="D315">
        <v>4.1666666000000001</v>
      </c>
      <c r="E315">
        <v>266.39644432848945</v>
      </c>
      <c r="F315">
        <v>3.125</v>
      </c>
      <c r="G315">
        <v>0.300151487293224</v>
      </c>
      <c r="H315">
        <v>50.417093659999999</v>
      </c>
    </row>
    <row r="316" spans="1:8" x14ac:dyDescent="0.25">
      <c r="A316">
        <v>1.097536374546517</v>
      </c>
      <c r="B316">
        <v>1.038896243351064E-5</v>
      </c>
      <c r="C316">
        <v>5.9840425531914893E-7</v>
      </c>
      <c r="D316">
        <v>4.1666666000000001</v>
      </c>
      <c r="E316">
        <v>413.35837055360355</v>
      </c>
      <c r="F316">
        <v>3.125</v>
      </c>
      <c r="G316">
        <v>0.30020397444346292</v>
      </c>
      <c r="H316">
        <v>50.425910039999998</v>
      </c>
    </row>
    <row r="317" spans="1:8" x14ac:dyDescent="0.25">
      <c r="A317">
        <v>1.1133282470145096</v>
      </c>
      <c r="B317">
        <v>6.6231793615843811E-6</v>
      </c>
      <c r="C317">
        <v>7.3590881795382032E-7</v>
      </c>
      <c r="D317">
        <v>3</v>
      </c>
      <c r="E317">
        <v>114.1192771453054</v>
      </c>
      <c r="F317">
        <v>6.5466448445171848</v>
      </c>
      <c r="G317">
        <v>0.10845636778283159</v>
      </c>
      <c r="H317">
        <v>17.14546601</v>
      </c>
    </row>
    <row r="318" spans="1:8" x14ac:dyDescent="0.25">
      <c r="A318">
        <v>1.1133282470145096</v>
      </c>
      <c r="B318">
        <v>6.6231793615843811E-6</v>
      </c>
      <c r="C318">
        <v>7.3590881795382032E-7</v>
      </c>
      <c r="D318">
        <v>3</v>
      </c>
      <c r="E318">
        <v>176.79320900129142</v>
      </c>
      <c r="F318">
        <v>6.5466448445171848</v>
      </c>
      <c r="G318">
        <v>0.12559224946080186</v>
      </c>
      <c r="H318">
        <v>19.854414160000001</v>
      </c>
    </row>
    <row r="319" spans="1:8" x14ac:dyDescent="0.25">
      <c r="A319">
        <v>1.1133282470145096</v>
      </c>
      <c r="B319">
        <v>6.6231793615843811E-6</v>
      </c>
      <c r="C319">
        <v>7.3590881795382032E-7</v>
      </c>
      <c r="D319">
        <v>3</v>
      </c>
      <c r="E319">
        <v>311.31239069211023</v>
      </c>
      <c r="F319">
        <v>6.5466448445171848</v>
      </c>
      <c r="G319">
        <v>0.13650699057593291</v>
      </c>
      <c r="H319">
        <v>21.57988521</v>
      </c>
    </row>
    <row r="320" spans="1:8" x14ac:dyDescent="0.25">
      <c r="A320">
        <v>1.1215258189165838</v>
      </c>
      <c r="B320">
        <v>5.8817999482401808E-6</v>
      </c>
      <c r="C320">
        <v>7.205204216073782E-7</v>
      </c>
      <c r="D320">
        <v>2.8571430000000002</v>
      </c>
      <c r="E320">
        <v>236.47962824227622</v>
      </c>
      <c r="F320">
        <v>4.658385093167702</v>
      </c>
      <c r="G320">
        <v>0.22311458030011119</v>
      </c>
      <c r="H320">
        <v>46.130781480000003</v>
      </c>
    </row>
    <row r="321" spans="1:8" x14ac:dyDescent="0.25">
      <c r="A321">
        <v>1.1215258189165838</v>
      </c>
      <c r="B321">
        <v>5.8817999482401808E-6</v>
      </c>
      <c r="C321">
        <v>7.205204216073782E-7</v>
      </c>
      <c r="D321">
        <v>2.8571430000000002</v>
      </c>
      <c r="E321">
        <v>367.05834361497648</v>
      </c>
      <c r="F321">
        <v>4.658385093167702</v>
      </c>
      <c r="G321">
        <v>0.22767435377118367</v>
      </c>
      <c r="H321">
        <v>47.073552290000002</v>
      </c>
    </row>
    <row r="322" spans="1:8" x14ac:dyDescent="0.25">
      <c r="A322">
        <v>1.1215258189165838</v>
      </c>
      <c r="B322">
        <v>5.8817999482401808E-6</v>
      </c>
      <c r="C322">
        <v>7.205204216073782E-7</v>
      </c>
      <c r="D322">
        <v>2.8571430000000002</v>
      </c>
      <c r="E322">
        <v>647.74588947823941</v>
      </c>
      <c r="F322">
        <v>4.658385093167702</v>
      </c>
      <c r="G322">
        <v>0.22946164216003773</v>
      </c>
      <c r="H322">
        <v>47.443088920000001</v>
      </c>
    </row>
    <row r="323" spans="1:8" x14ac:dyDescent="0.25">
      <c r="A323">
        <v>1.1723683813258852</v>
      </c>
      <c r="B323">
        <v>6.6170242800677579E-6</v>
      </c>
      <c r="C323">
        <v>7.3522492000752879E-7</v>
      </c>
      <c r="D323">
        <v>3</v>
      </c>
      <c r="E323">
        <v>120.17105699392008</v>
      </c>
      <c r="F323">
        <v>4.658385093167702</v>
      </c>
      <c r="G323">
        <v>0.2100222107109492</v>
      </c>
      <c r="H323">
        <v>33.232518220000003</v>
      </c>
    </row>
    <row r="324" spans="1:8" x14ac:dyDescent="0.25">
      <c r="A324">
        <v>1.1723683813258852</v>
      </c>
      <c r="B324">
        <v>6.6170242800677579E-6</v>
      </c>
      <c r="C324">
        <v>7.3522492000752879E-7</v>
      </c>
      <c r="D324">
        <v>3</v>
      </c>
      <c r="E324">
        <v>186.1686064483296</v>
      </c>
      <c r="F324">
        <v>4.658385093167702</v>
      </c>
      <c r="G324">
        <v>0.2227193363497624</v>
      </c>
      <c r="H324">
        <v>35.241626959999998</v>
      </c>
    </row>
    <row r="325" spans="1:8" x14ac:dyDescent="0.25">
      <c r="A325">
        <v>1.1723683813258852</v>
      </c>
      <c r="B325">
        <v>6.6170242800677579E-6</v>
      </c>
      <c r="C325">
        <v>7.3522492000752879E-7</v>
      </c>
      <c r="D325">
        <v>3</v>
      </c>
      <c r="E325">
        <v>327.82138110760087</v>
      </c>
      <c r="F325">
        <v>4.658385093167702</v>
      </c>
      <c r="G325">
        <v>0.23022086476495593</v>
      </c>
      <c r="H325">
        <v>36.42861894</v>
      </c>
    </row>
    <row r="326" spans="1:8" x14ac:dyDescent="0.25">
      <c r="A326">
        <v>1.1853392655448096</v>
      </c>
      <c r="B326">
        <v>5.1944813829787233E-6</v>
      </c>
      <c r="C326">
        <v>8.3111702127659595E-7</v>
      </c>
      <c r="D326">
        <v>2.5</v>
      </c>
      <c r="E326">
        <v>133.546526099446</v>
      </c>
      <c r="F326">
        <v>3.125</v>
      </c>
      <c r="G326">
        <v>0.315015025231764</v>
      </c>
      <c r="H326">
        <v>36.74566325</v>
      </c>
    </row>
    <row r="327" spans="1:8" x14ac:dyDescent="0.25">
      <c r="A327">
        <v>1.1853392655448096</v>
      </c>
      <c r="B327">
        <v>1.0388962765957447E-5</v>
      </c>
      <c r="C327">
        <v>4.1555851063829797E-7</v>
      </c>
      <c r="D327">
        <v>5</v>
      </c>
      <c r="E327">
        <v>730.60583132141699</v>
      </c>
      <c r="F327">
        <v>3.125</v>
      </c>
      <c r="G327">
        <v>0.31571377449886756</v>
      </c>
      <c r="H327">
        <v>36.82717049</v>
      </c>
    </row>
    <row r="328" spans="1:8" x14ac:dyDescent="0.25">
      <c r="A328">
        <v>1.1853392655448096</v>
      </c>
      <c r="B328">
        <v>1.0388962765957447E-5</v>
      </c>
      <c r="C328">
        <v>4.1555851063829797E-7</v>
      </c>
      <c r="D328">
        <v>5</v>
      </c>
      <c r="E328">
        <v>267.093052198892</v>
      </c>
      <c r="F328">
        <v>3.125</v>
      </c>
      <c r="G328">
        <v>0.31920619847241538</v>
      </c>
      <c r="H328">
        <v>37.234552440000002</v>
      </c>
    </row>
    <row r="329" spans="1:8" x14ac:dyDescent="0.25">
      <c r="A329">
        <v>1.1853392655448096</v>
      </c>
      <c r="B329">
        <v>1.0388962765957447E-5</v>
      </c>
      <c r="C329">
        <v>4.1555851063829797E-7</v>
      </c>
      <c r="D329">
        <v>5</v>
      </c>
      <c r="E329">
        <v>414.31042633598901</v>
      </c>
      <c r="F329">
        <v>3.125</v>
      </c>
      <c r="G329">
        <v>0.31967507956509694</v>
      </c>
      <c r="H329" s="1">
        <v>37.289246169999998</v>
      </c>
    </row>
    <row r="330" spans="1:8" x14ac:dyDescent="0.25">
      <c r="A330">
        <v>1.1853392655448096</v>
      </c>
      <c r="B330">
        <v>5.1944813829787233E-6</v>
      </c>
      <c r="C330">
        <v>8.3111702127659595E-7</v>
      </c>
      <c r="D330">
        <v>2.5</v>
      </c>
      <c r="E330">
        <v>207.1552131679945</v>
      </c>
      <c r="F330">
        <v>3.125</v>
      </c>
      <c r="G330">
        <v>0.32251672270553139</v>
      </c>
      <c r="H330">
        <v>37.620716270000003</v>
      </c>
    </row>
    <row r="331" spans="1:8" x14ac:dyDescent="0.25">
      <c r="A331">
        <v>1.1853392655448096</v>
      </c>
      <c r="B331">
        <v>5.1944813829787233E-6</v>
      </c>
      <c r="C331">
        <v>8.3111702127659595E-7</v>
      </c>
      <c r="D331">
        <v>2.5</v>
      </c>
      <c r="E331">
        <v>365.30291566070849</v>
      </c>
      <c r="F331">
        <v>3.125</v>
      </c>
      <c r="G331">
        <v>0.32558097787520157</v>
      </c>
      <c r="H331">
        <v>37.978153470000002</v>
      </c>
    </row>
    <row r="332" spans="1:8" x14ac:dyDescent="0.25">
      <c r="A332">
        <v>1.2023946991588219</v>
      </c>
      <c r="B332">
        <v>6.3880953338803584E-6</v>
      </c>
      <c r="C332">
        <v>3.6795440897691016E-7</v>
      </c>
      <c r="D332">
        <v>4.1666660000000002</v>
      </c>
      <c r="E332">
        <v>225.78009808179715</v>
      </c>
      <c r="F332">
        <v>6.5466448445171848</v>
      </c>
      <c r="G332">
        <v>0.13207622391392829</v>
      </c>
      <c r="H332">
        <v>14.49960997</v>
      </c>
    </row>
    <row r="333" spans="1:8" x14ac:dyDescent="0.25">
      <c r="A333">
        <v>1.2023946991588219</v>
      </c>
      <c r="B333">
        <v>6.3880953338803584E-6</v>
      </c>
      <c r="C333">
        <v>3.6795440897691016E-7</v>
      </c>
      <c r="D333">
        <v>4.1666660000000002</v>
      </c>
      <c r="E333">
        <v>350.22643952862381</v>
      </c>
      <c r="F333">
        <v>6.5466448445171848</v>
      </c>
      <c r="G333">
        <v>0.14195815598396291</v>
      </c>
      <c r="H333">
        <v>15.58446958</v>
      </c>
    </row>
    <row r="334" spans="1:8" x14ac:dyDescent="0.25">
      <c r="A334">
        <v>1.2023946991588219</v>
      </c>
      <c r="B334">
        <v>6.3880953338803584E-6</v>
      </c>
      <c r="C334">
        <v>3.6795440897691016E-7</v>
      </c>
      <c r="D334">
        <v>4.1666660000000002</v>
      </c>
      <c r="E334">
        <v>617.59845453429136</v>
      </c>
      <c r="F334">
        <v>6.5466448445171848</v>
      </c>
      <c r="G334">
        <v>0.14717951595313467</v>
      </c>
      <c r="H334">
        <v>16.157681629999999</v>
      </c>
    </row>
    <row r="335" spans="1:8" x14ac:dyDescent="0.25">
      <c r="A335">
        <v>1.2347284016091769</v>
      </c>
      <c r="B335">
        <v>1.3297872340425535E-5</v>
      </c>
      <c r="C335">
        <v>8.3111702127659595E-7</v>
      </c>
      <c r="D335">
        <v>4</v>
      </c>
      <c r="E335">
        <v>136.31475405356798</v>
      </c>
      <c r="F335">
        <v>3.125</v>
      </c>
      <c r="G335">
        <v>0.31900965977776607</v>
      </c>
      <c r="H335">
        <v>59.538602760000003</v>
      </c>
    </row>
    <row r="336" spans="1:8" x14ac:dyDescent="0.25">
      <c r="A336">
        <v>1.2347284016091769</v>
      </c>
      <c r="B336">
        <v>1.3297872340425535E-5</v>
      </c>
      <c r="C336">
        <v>8.3111702127659595E-7</v>
      </c>
      <c r="D336">
        <v>4</v>
      </c>
      <c r="E336">
        <v>370.96257249846121</v>
      </c>
      <c r="F336">
        <v>3.125</v>
      </c>
      <c r="G336">
        <v>0.32007389620895049</v>
      </c>
      <c r="H336">
        <v>59.737227310000002</v>
      </c>
    </row>
    <row r="337" spans="1:8" x14ac:dyDescent="0.25">
      <c r="A337">
        <v>1.2347284016091769</v>
      </c>
      <c r="B337">
        <v>1.3297872340425535E-5</v>
      </c>
      <c r="C337">
        <v>8.3111702127659595E-7</v>
      </c>
      <c r="D337">
        <v>4</v>
      </c>
      <c r="E337">
        <v>210.93855748932776</v>
      </c>
      <c r="F337">
        <v>3.125</v>
      </c>
      <c r="G337">
        <v>0.32308800465869281</v>
      </c>
      <c r="H337">
        <v>60.299767660000001</v>
      </c>
    </row>
    <row r="338" spans="1:8" x14ac:dyDescent="0.25">
      <c r="A338">
        <v>1.2524942778913233</v>
      </c>
      <c r="B338">
        <v>5.8872705436305626E-6</v>
      </c>
      <c r="C338">
        <v>3.6795440897691016E-7</v>
      </c>
      <c r="D338">
        <v>4</v>
      </c>
      <c r="E338">
        <v>225.78009808179718</v>
      </c>
      <c r="F338">
        <v>6.5466448445171848</v>
      </c>
      <c r="G338">
        <v>0.131880896378891</v>
      </c>
      <c r="H338">
        <v>13.899042059999999</v>
      </c>
    </row>
    <row r="339" spans="1:8" x14ac:dyDescent="0.25">
      <c r="A339">
        <v>1.2524942778913233</v>
      </c>
      <c r="B339">
        <v>5.8872705436305626E-6</v>
      </c>
      <c r="C339">
        <v>3.6795440897691016E-7</v>
      </c>
      <c r="D339">
        <v>4</v>
      </c>
      <c r="E339">
        <v>350.22643952862393</v>
      </c>
      <c r="F339">
        <v>6.5466448445171848</v>
      </c>
      <c r="G339">
        <v>0.14357677914997932</v>
      </c>
      <c r="H339">
        <v>15.13168129</v>
      </c>
    </row>
    <row r="340" spans="1:8" x14ac:dyDescent="0.25">
      <c r="A340">
        <v>1.2524942778913233</v>
      </c>
      <c r="B340">
        <v>5.8872705436305626E-6</v>
      </c>
      <c r="C340">
        <v>3.6795440897691016E-7</v>
      </c>
      <c r="D340">
        <v>4</v>
      </c>
      <c r="E340">
        <v>617.59845453429148</v>
      </c>
      <c r="F340">
        <v>6.5466448445171848</v>
      </c>
      <c r="G340">
        <v>0.1502361869094837</v>
      </c>
      <c r="H340">
        <v>15.833522049999999</v>
      </c>
    </row>
    <row r="341" spans="1:8" x14ac:dyDescent="0.25">
      <c r="A341">
        <v>1.2599268774211834</v>
      </c>
      <c r="B341">
        <v>6.6489368351063999E-6</v>
      </c>
      <c r="C341">
        <v>8.1449468085106394E-7</v>
      </c>
      <c r="D341">
        <v>2.8571430000000002</v>
      </c>
      <c r="E341">
        <v>265.6622206636635</v>
      </c>
      <c r="F341">
        <v>3.125</v>
      </c>
      <c r="G341">
        <v>0.34265772853478987</v>
      </c>
      <c r="H341">
        <v>62.673137070000003</v>
      </c>
    </row>
    <row r="342" spans="1:8" x14ac:dyDescent="0.25">
      <c r="A342">
        <v>1.2599268774211834</v>
      </c>
      <c r="B342">
        <v>6.6489368351063999E-6</v>
      </c>
      <c r="C342">
        <v>8.1449468085106394E-7</v>
      </c>
      <c r="D342">
        <v>2.8571430000000002</v>
      </c>
      <c r="E342">
        <v>727.68048860534134</v>
      </c>
      <c r="F342">
        <v>3.125</v>
      </c>
      <c r="G342">
        <v>0.34363285234349406</v>
      </c>
      <c r="H342">
        <v>62.851490169999998</v>
      </c>
    </row>
    <row r="343" spans="1:8" x14ac:dyDescent="0.25">
      <c r="A343">
        <v>1.2599268774211834</v>
      </c>
      <c r="B343">
        <v>6.6489368351063999E-6</v>
      </c>
      <c r="C343">
        <v>8.1449468085106394E-7</v>
      </c>
      <c r="D343">
        <v>2.8571430000000002</v>
      </c>
      <c r="E343">
        <v>412.3549051674629</v>
      </c>
      <c r="F343">
        <v>3.125</v>
      </c>
      <c r="G343">
        <v>0.34500729419349918</v>
      </c>
      <c r="H343">
        <v>63.10287975</v>
      </c>
    </row>
    <row r="344" spans="1:8" x14ac:dyDescent="0.25">
      <c r="A344">
        <v>1.2661580544172444</v>
      </c>
      <c r="B344">
        <v>6.382158721662961E-6</v>
      </c>
      <c r="C344">
        <v>3.676124600037644E-7</v>
      </c>
      <c r="D344">
        <v>4.1666660000000002</v>
      </c>
      <c r="E344">
        <v>237.75328510128642</v>
      </c>
      <c r="F344">
        <v>4.658385093167702</v>
      </c>
      <c r="G344">
        <v>0.23707911149371214</v>
      </c>
      <c r="H344">
        <v>26.051261319999998</v>
      </c>
    </row>
    <row r="345" spans="1:8" x14ac:dyDescent="0.25">
      <c r="A345">
        <v>1.2661580544172444</v>
      </c>
      <c r="B345">
        <v>6.382158721662961E-6</v>
      </c>
      <c r="C345">
        <v>3.676124600037644E-7</v>
      </c>
      <c r="D345">
        <v>4.1666660000000002</v>
      </c>
      <c r="E345">
        <v>368.79905374605084</v>
      </c>
      <c r="F345">
        <v>4.658385093167702</v>
      </c>
      <c r="G345">
        <v>0.24409406096563604</v>
      </c>
      <c r="H345">
        <v>26.822093809999998</v>
      </c>
    </row>
    <row r="346" spans="1:8" x14ac:dyDescent="0.25">
      <c r="A346">
        <v>1.2661580544172444</v>
      </c>
      <c r="B346">
        <v>6.382158721662961E-6</v>
      </c>
      <c r="C346">
        <v>3.676124600037644E-7</v>
      </c>
      <c r="D346">
        <v>4.1666660000000002</v>
      </c>
      <c r="E346">
        <v>650.34988772929159</v>
      </c>
      <c r="F346">
        <v>4.658385093167702</v>
      </c>
      <c r="G346">
        <v>0.24721290863792261</v>
      </c>
      <c r="H346">
        <v>27.16480606</v>
      </c>
    </row>
    <row r="347" spans="1:8" x14ac:dyDescent="0.25">
      <c r="A347">
        <v>1.3170436283831222</v>
      </c>
      <c r="B347">
        <v>7.4800531914893613E-6</v>
      </c>
      <c r="C347">
        <v>8.3111702127659595E-7</v>
      </c>
      <c r="D347">
        <v>3</v>
      </c>
      <c r="E347">
        <v>135.00067679316979</v>
      </c>
      <c r="F347">
        <v>3.125</v>
      </c>
      <c r="G347">
        <v>0.33897130652651486</v>
      </c>
      <c r="H347">
        <v>47.448119550000001</v>
      </c>
    </row>
    <row r="348" spans="1:8" x14ac:dyDescent="0.25">
      <c r="A348">
        <v>1.3170436283831222</v>
      </c>
      <c r="B348">
        <v>7.4800531914893613E-6</v>
      </c>
      <c r="C348">
        <v>8.3111702127659595E-7</v>
      </c>
      <c r="D348">
        <v>3</v>
      </c>
      <c r="E348">
        <v>209.14260469088944</v>
      </c>
      <c r="F348">
        <v>3.125</v>
      </c>
      <c r="G348">
        <v>0.34739792130013009</v>
      </c>
      <c r="H348">
        <v>48.62765014</v>
      </c>
    </row>
    <row r="349" spans="1:8" x14ac:dyDescent="0.25">
      <c r="A349">
        <v>1.3170436283831222</v>
      </c>
      <c r="B349">
        <v>7.4800531914893613E-6</v>
      </c>
      <c r="C349">
        <v>8.3111702127659595E-7</v>
      </c>
      <c r="D349">
        <v>3</v>
      </c>
      <c r="E349">
        <v>368.27593452087933</v>
      </c>
      <c r="F349">
        <v>3.125</v>
      </c>
      <c r="G349">
        <v>0.34992143944215909</v>
      </c>
      <c r="H349">
        <v>48.980884140000001</v>
      </c>
    </row>
    <row r="350" spans="1:8" x14ac:dyDescent="0.25">
      <c r="A350">
        <v>1.3189144289916206</v>
      </c>
      <c r="B350">
        <v>5.8817993600602304E-6</v>
      </c>
      <c r="C350">
        <v>3.676124600037644E-7</v>
      </c>
      <c r="D350">
        <v>4</v>
      </c>
      <c r="E350">
        <v>237.75328510128645</v>
      </c>
      <c r="F350">
        <v>4.658385093167702</v>
      </c>
      <c r="G350" s="1">
        <v>0.24270746193581594</v>
      </c>
      <c r="H350">
        <v>25.602943369999998</v>
      </c>
    </row>
    <row r="351" spans="1:8" x14ac:dyDescent="0.25">
      <c r="A351">
        <v>1.3189144289916206</v>
      </c>
      <c r="B351">
        <v>5.8817993600602304E-6</v>
      </c>
      <c r="C351">
        <v>3.676124600037644E-7</v>
      </c>
      <c r="D351">
        <v>4</v>
      </c>
      <c r="E351">
        <v>368.7990537460509</v>
      </c>
      <c r="F351">
        <v>4.658385093167702</v>
      </c>
      <c r="G351">
        <v>0.25115209595359406</v>
      </c>
      <c r="H351">
        <v>26.493758530000001</v>
      </c>
    </row>
    <row r="352" spans="1:8" x14ac:dyDescent="0.25">
      <c r="A352">
        <v>1.3189144289916206</v>
      </c>
      <c r="B352">
        <v>5.8817993600602304E-6</v>
      </c>
      <c r="C352">
        <v>3.676124600037644E-7</v>
      </c>
      <c r="D352">
        <v>4</v>
      </c>
      <c r="E352">
        <v>650.34988772929171</v>
      </c>
      <c r="F352">
        <v>4.658385093167702</v>
      </c>
      <c r="G352">
        <v>0.25538507465287624</v>
      </c>
      <c r="H352">
        <v>26.9402908</v>
      </c>
    </row>
    <row r="353" spans="1:8" x14ac:dyDescent="0.25">
      <c r="A353">
        <v>1.3359938964174112</v>
      </c>
      <c r="B353">
        <v>9.1988602244227514E-6</v>
      </c>
      <c r="C353">
        <v>3.6795440897691016E-7</v>
      </c>
      <c r="D353">
        <v>5</v>
      </c>
      <c r="E353">
        <v>228.23855429061072</v>
      </c>
      <c r="F353">
        <v>6.5466448445171848</v>
      </c>
      <c r="G353">
        <v>0.12625270484052156</v>
      </c>
      <c r="H353">
        <v>16.63235259</v>
      </c>
    </row>
    <row r="354" spans="1:8" x14ac:dyDescent="0.25">
      <c r="A354">
        <v>1.3359938964174112</v>
      </c>
      <c r="B354">
        <v>9.1988602244227514E-6</v>
      </c>
      <c r="C354">
        <v>3.6795440897691016E-7</v>
      </c>
      <c r="D354">
        <v>5</v>
      </c>
      <c r="E354">
        <v>353.58641800258277</v>
      </c>
      <c r="F354">
        <v>6.5466448445171848</v>
      </c>
      <c r="G354">
        <v>0.13849289718441266</v>
      </c>
      <c r="H354">
        <v>18.244858199999999</v>
      </c>
    </row>
    <row r="355" spans="1:8" x14ac:dyDescent="0.25">
      <c r="A355">
        <v>1.3359938964174112</v>
      </c>
      <c r="B355">
        <v>9.1988602244227514E-6</v>
      </c>
      <c r="C355">
        <v>3.6795440897691016E-7</v>
      </c>
      <c r="D355">
        <v>5</v>
      </c>
      <c r="E355">
        <v>622.62478138422023</v>
      </c>
      <c r="F355">
        <v>6.5466448445171848</v>
      </c>
      <c r="G355">
        <v>0.14380205405842819</v>
      </c>
      <c r="H355">
        <v>18.944279009999999</v>
      </c>
    </row>
    <row r="356" spans="1:8" x14ac:dyDescent="0.25">
      <c r="A356">
        <v>1.3439221593735065</v>
      </c>
      <c r="B356">
        <v>3.740026097074485E-6</v>
      </c>
      <c r="C356">
        <v>8.1449468085106394E-7</v>
      </c>
      <c r="D356">
        <v>2.1428569999999998</v>
      </c>
      <c r="E356">
        <v>263.90713930717635</v>
      </c>
      <c r="F356">
        <v>3.125</v>
      </c>
      <c r="G356">
        <v>0.36449463608858862</v>
      </c>
      <c r="H356">
        <v>50.000374399999998</v>
      </c>
    </row>
    <row r="357" spans="1:8" x14ac:dyDescent="0.25">
      <c r="A357">
        <v>1.3439221593735065</v>
      </c>
      <c r="B357">
        <v>3.740026097074485E-6</v>
      </c>
      <c r="C357">
        <v>8.1449468085106394E-7</v>
      </c>
      <c r="D357">
        <v>2.1428569999999998</v>
      </c>
      <c r="E357">
        <v>409.95623092762804</v>
      </c>
      <c r="F357">
        <v>3.125</v>
      </c>
      <c r="G357">
        <v>0.36919044838064752</v>
      </c>
      <c r="H357">
        <v>50.64453305</v>
      </c>
    </row>
    <row r="358" spans="1:8" x14ac:dyDescent="0.25">
      <c r="A358">
        <v>1.3439221593735065</v>
      </c>
      <c r="B358">
        <v>3.740026097074485E-6</v>
      </c>
      <c r="C358">
        <v>8.1449468085106394E-7</v>
      </c>
      <c r="D358">
        <v>2.1428569999999998</v>
      </c>
      <c r="E358">
        <v>724.09221539783198</v>
      </c>
      <c r="F358">
        <v>3.125</v>
      </c>
      <c r="G358">
        <v>0.37060506501701146</v>
      </c>
      <c r="H358">
        <v>50.838586280000001</v>
      </c>
    </row>
    <row r="359" spans="1:8" x14ac:dyDescent="0.25">
      <c r="A359">
        <v>1.3719204599516233</v>
      </c>
      <c r="B359">
        <v>6.6489360372340447E-6</v>
      </c>
      <c r="C359">
        <v>5.9840425531914893E-7</v>
      </c>
      <c r="D359">
        <v>3.3333333000000001</v>
      </c>
      <c r="E359">
        <v>266.39644432848951</v>
      </c>
      <c r="F359">
        <v>3.125</v>
      </c>
      <c r="G359">
        <v>0.36451659849691304</v>
      </c>
      <c r="H359">
        <v>48.982912630000001</v>
      </c>
    </row>
    <row r="360" spans="1:8" x14ac:dyDescent="0.25">
      <c r="A360">
        <v>1.3719204599516233</v>
      </c>
      <c r="B360">
        <v>6.6489360372340447E-6</v>
      </c>
      <c r="C360">
        <v>5.9840425531914893E-7</v>
      </c>
      <c r="D360">
        <v>3.3333333000000001</v>
      </c>
      <c r="E360">
        <v>729.18161280968491</v>
      </c>
      <c r="F360">
        <v>3.125</v>
      </c>
      <c r="G360">
        <v>0.36696594060772691</v>
      </c>
      <c r="H360">
        <v>49.31204966</v>
      </c>
    </row>
    <row r="361" spans="1:8" x14ac:dyDescent="0.25">
      <c r="A361">
        <v>1.3719204599516233</v>
      </c>
      <c r="B361">
        <v>6.6489360372340447E-6</v>
      </c>
      <c r="C361">
        <v>5.9840425531914893E-7</v>
      </c>
      <c r="D361">
        <v>3.3333333000000001</v>
      </c>
      <c r="E361">
        <v>413.35837055360355</v>
      </c>
      <c r="F361">
        <v>3.125</v>
      </c>
      <c r="G361">
        <v>0.36793239554875323</v>
      </c>
      <c r="H361">
        <v>49.441919679999998</v>
      </c>
    </row>
    <row r="362" spans="1:8" x14ac:dyDescent="0.25">
      <c r="A362">
        <v>1.4068420575910618</v>
      </c>
      <c r="B362">
        <v>9.1903115000941076E-6</v>
      </c>
      <c r="C362">
        <v>3.676124600037644E-7</v>
      </c>
      <c r="D362">
        <v>5</v>
      </c>
      <c r="E362">
        <v>240.34211398784009</v>
      </c>
      <c r="F362">
        <v>4.658385093167702</v>
      </c>
      <c r="G362">
        <v>0.24649714455697494</v>
      </c>
      <c r="H362">
        <v>32.503391030000003</v>
      </c>
    </row>
    <row r="363" spans="1:8" x14ac:dyDescent="0.25">
      <c r="A363">
        <v>1.4068420575910618</v>
      </c>
      <c r="B363">
        <v>9.1903115000941076E-6</v>
      </c>
      <c r="C363">
        <v>3.676124600037644E-7</v>
      </c>
      <c r="D363">
        <v>5</v>
      </c>
      <c r="E363">
        <v>372.33721289665914</v>
      </c>
      <c r="F363">
        <v>4.658385093167702</v>
      </c>
      <c r="G363">
        <v>0.25509004213504027</v>
      </c>
      <c r="H363">
        <v>33.63646018</v>
      </c>
    </row>
    <row r="364" spans="1:8" x14ac:dyDescent="0.25">
      <c r="A364">
        <v>1.4068420575910618</v>
      </c>
      <c r="B364">
        <v>9.1903115000941076E-6</v>
      </c>
      <c r="C364">
        <v>3.676124600037644E-7</v>
      </c>
      <c r="D364">
        <v>5</v>
      </c>
      <c r="E364">
        <v>655.64276221520163</v>
      </c>
      <c r="F364">
        <v>4.658385093167702</v>
      </c>
      <c r="G364">
        <v>0.25771915300790954</v>
      </c>
      <c r="H364">
        <v>33.9831377</v>
      </c>
    </row>
    <row r="365" spans="1:8" x14ac:dyDescent="0.25">
      <c r="A365">
        <v>1.4200616342300991</v>
      </c>
      <c r="B365">
        <v>3.311589239246915E-6</v>
      </c>
      <c r="C365">
        <v>7.2119064159474388E-7</v>
      </c>
      <c r="D365">
        <v>2.1428569999999998</v>
      </c>
      <c r="E365">
        <v>224.57058221568678</v>
      </c>
      <c r="F365">
        <v>6.5466448445171848</v>
      </c>
      <c r="G365">
        <v>0.12765828424965589</v>
      </c>
      <c r="H365">
        <v>19.77740412</v>
      </c>
    </row>
    <row r="366" spans="1:8" x14ac:dyDescent="0.25">
      <c r="A366">
        <v>1.4200616342300991</v>
      </c>
      <c r="B366">
        <v>3.311589239246915E-6</v>
      </c>
      <c r="C366">
        <v>7.2119064159474388E-7</v>
      </c>
      <c r="D366">
        <v>2.1428569999999998</v>
      </c>
      <c r="E366">
        <v>348.57339105882659</v>
      </c>
      <c r="F366">
        <v>6.5466448445171848</v>
      </c>
      <c r="G366">
        <v>0.14846941646663361</v>
      </c>
      <c r="H366">
        <v>23.001559719999999</v>
      </c>
    </row>
    <row r="367" spans="1:8" x14ac:dyDescent="0.25">
      <c r="A367">
        <v>1.4200616342300991</v>
      </c>
      <c r="B367">
        <v>3.311589239246915E-6</v>
      </c>
      <c r="C367">
        <v>7.2119064159474388E-7</v>
      </c>
      <c r="D367">
        <v>2.1428569999999998</v>
      </c>
      <c r="E367">
        <v>615.12559288581019</v>
      </c>
      <c r="F367">
        <v>6.5466448445171848</v>
      </c>
      <c r="G367">
        <v>0.16310885453206336</v>
      </c>
      <c r="H367">
        <v>25.269568289999999</v>
      </c>
    </row>
    <row r="368" spans="1:8" x14ac:dyDescent="0.25">
      <c r="A368">
        <v>1.422407346238947</v>
      </c>
      <c r="B368">
        <v>7.2145551677011307E-6</v>
      </c>
      <c r="C368">
        <v>4.1555851063829797E-7</v>
      </c>
      <c r="D368">
        <v>4.1666660000000002</v>
      </c>
      <c r="E368">
        <v>267.093052198892</v>
      </c>
      <c r="F368">
        <v>3.125</v>
      </c>
      <c r="G368">
        <v>0.37163333786710312</v>
      </c>
      <c r="H368">
        <v>36.125026339999998</v>
      </c>
    </row>
    <row r="369" spans="1:8" x14ac:dyDescent="0.25">
      <c r="A369">
        <v>1.422407346238947</v>
      </c>
      <c r="B369">
        <v>7.2145551677011307E-6</v>
      </c>
      <c r="C369">
        <v>4.1555851063829797E-7</v>
      </c>
      <c r="D369">
        <v>4.1666660000000002</v>
      </c>
      <c r="E369">
        <v>730.60583132141699</v>
      </c>
      <c r="F369">
        <v>3.125</v>
      </c>
      <c r="G369">
        <v>0.37407010466442181</v>
      </c>
      <c r="H369">
        <v>36.361894929999998</v>
      </c>
    </row>
    <row r="370" spans="1:8" x14ac:dyDescent="0.25">
      <c r="A370">
        <v>1.422407346238947</v>
      </c>
      <c r="B370">
        <v>7.2145551677011307E-6</v>
      </c>
      <c r="C370">
        <v>4.1555851063829797E-7</v>
      </c>
      <c r="D370">
        <v>4.1666660000000002</v>
      </c>
      <c r="E370">
        <v>414.31042633598906</v>
      </c>
      <c r="F370">
        <v>3.125</v>
      </c>
      <c r="G370">
        <v>0.37530054466276486</v>
      </c>
      <c r="H370">
        <v>36.481501199999997</v>
      </c>
    </row>
    <row r="371" spans="1:8" x14ac:dyDescent="0.25">
      <c r="A371">
        <v>1.4816740819310121</v>
      </c>
      <c r="B371">
        <v>6.6489361702127676E-6</v>
      </c>
      <c r="C371">
        <v>4.1555851063829797E-7</v>
      </c>
      <c r="D371">
        <v>4</v>
      </c>
      <c r="E371">
        <v>267.093052198892</v>
      </c>
      <c r="F371">
        <v>3.125</v>
      </c>
      <c r="G371">
        <v>0.3831013811865801</v>
      </c>
      <c r="H371">
        <v>35.750204189999998</v>
      </c>
    </row>
    <row r="372" spans="1:8" x14ac:dyDescent="0.25">
      <c r="A372">
        <v>1.4816740819310121</v>
      </c>
      <c r="B372">
        <v>6.6489361702127676E-6</v>
      </c>
      <c r="C372">
        <v>4.1555851063829797E-7</v>
      </c>
      <c r="D372">
        <v>4</v>
      </c>
      <c r="E372">
        <v>730.6058313214171</v>
      </c>
      <c r="F372">
        <v>3.125</v>
      </c>
      <c r="G372">
        <v>0.38739672823862864</v>
      </c>
      <c r="H372">
        <v>36.151036820000002</v>
      </c>
    </row>
    <row r="373" spans="1:8" x14ac:dyDescent="0.25">
      <c r="A373">
        <v>1.4816740819310121</v>
      </c>
      <c r="B373">
        <v>6.6489361702127676E-6</v>
      </c>
      <c r="C373">
        <v>4.1555851063829797E-7</v>
      </c>
      <c r="D373">
        <v>4</v>
      </c>
      <c r="E373">
        <v>414.31042633598912</v>
      </c>
      <c r="F373">
        <v>3.125</v>
      </c>
      <c r="G373">
        <v>0.3877733278190153</v>
      </c>
      <c r="H373">
        <v>36.186180290000003</v>
      </c>
    </row>
    <row r="374" spans="1:8" x14ac:dyDescent="0.25">
      <c r="A374">
        <v>1.4953679330150285</v>
      </c>
      <c r="B374">
        <v>3.3085116988989417E-6</v>
      </c>
      <c r="C374">
        <v>7.205204216073782E-7</v>
      </c>
      <c r="D374">
        <v>2.1428569999999998</v>
      </c>
      <c r="E374">
        <v>236.47962824227622</v>
      </c>
      <c r="F374">
        <v>4.658385093167702</v>
      </c>
      <c r="G374">
        <v>0.26039916212182179</v>
      </c>
      <c r="H374">
        <v>40.37975273</v>
      </c>
    </row>
    <row r="375" spans="1:8" x14ac:dyDescent="0.25">
      <c r="A375">
        <v>1.4953679330150285</v>
      </c>
      <c r="B375">
        <v>3.3085116988989417E-6</v>
      </c>
      <c r="C375">
        <v>7.205204216073782E-7</v>
      </c>
      <c r="D375">
        <v>2.1428569999999998</v>
      </c>
      <c r="E375">
        <v>367.05834361497642</v>
      </c>
      <c r="F375">
        <v>4.658385093167702</v>
      </c>
      <c r="G375">
        <v>0.27596555758248886</v>
      </c>
      <c r="H375">
        <v>42.793613030000003</v>
      </c>
    </row>
    <row r="376" spans="1:8" x14ac:dyDescent="0.25">
      <c r="A376">
        <v>1.4953679330150285</v>
      </c>
      <c r="B376">
        <v>3.3085116988989417E-6</v>
      </c>
      <c r="C376">
        <v>7.205204216073782E-7</v>
      </c>
      <c r="D376">
        <v>2.1428569999999998</v>
      </c>
      <c r="E376">
        <v>647.74588947823952</v>
      </c>
      <c r="F376">
        <v>4.658385093167702</v>
      </c>
      <c r="G376">
        <v>0.28651504323852661</v>
      </c>
      <c r="H376">
        <v>44.429507780000002</v>
      </c>
    </row>
    <row r="385" spans="8:8" x14ac:dyDescent="0.25">
      <c r="H385" s="1"/>
    </row>
    <row r="406" spans="8:8" x14ac:dyDescent="0.25">
      <c r="H406" s="1"/>
    </row>
    <row r="413" spans="8:8" x14ac:dyDescent="0.25">
      <c r="H413" s="1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AD433"/>
  <sheetViews>
    <sheetView tabSelected="1" workbookViewId="0">
      <selection activeCell="E37" sqref="E37"/>
    </sheetView>
  </sheetViews>
  <sheetFormatPr defaultRowHeight="15" x14ac:dyDescent="0.25"/>
  <cols>
    <col min="1" max="19" width="9.140625" style="1"/>
    <col min="20" max="21" width="12" style="1" bestFit="1" customWidth="1"/>
    <col min="22" max="22" width="12.140625" style="1" customWidth="1"/>
    <col min="23" max="16384" width="9.140625" style="1"/>
  </cols>
  <sheetData>
    <row r="1" spans="1:30" x14ac:dyDescent="0.25">
      <c r="A1" s="1" t="s">
        <v>6</v>
      </c>
      <c r="B1" s="1" t="s">
        <v>0</v>
      </c>
      <c r="C1" s="1" t="s">
        <v>1</v>
      </c>
      <c r="D1" s="1" t="s">
        <v>7</v>
      </c>
      <c r="E1" s="1" t="s">
        <v>2</v>
      </c>
      <c r="F1" s="1" t="s">
        <v>3</v>
      </c>
      <c r="G1" s="1" t="s">
        <v>4</v>
      </c>
      <c r="H1" s="1" t="s">
        <v>5</v>
      </c>
      <c r="I1" s="1" t="s">
        <v>10</v>
      </c>
      <c r="J1" s="1" t="s">
        <v>9</v>
      </c>
      <c r="K1" s="1" t="s">
        <v>8</v>
      </c>
      <c r="L1" s="1" t="s">
        <v>11</v>
      </c>
      <c r="M1" s="1" t="s">
        <v>16</v>
      </c>
      <c r="N1" s="1" t="s">
        <v>12</v>
      </c>
      <c r="O1" s="1" t="s">
        <v>13</v>
      </c>
      <c r="P1" s="1" t="s">
        <v>14</v>
      </c>
      <c r="Q1" s="1" t="s">
        <v>19</v>
      </c>
      <c r="R1" s="1" t="s">
        <v>20</v>
      </c>
      <c r="S1" s="1" t="s">
        <v>15</v>
      </c>
      <c r="T1" s="1" t="s">
        <v>17</v>
      </c>
      <c r="U1" s="1" t="s">
        <v>18</v>
      </c>
      <c r="V1" s="1" t="s">
        <v>23</v>
      </c>
      <c r="W1" s="1" t="s">
        <v>21</v>
      </c>
      <c r="X1" s="1" t="s">
        <v>13</v>
      </c>
      <c r="Y1" s="1" t="s">
        <v>22</v>
      </c>
      <c r="Z1" s="1" t="s">
        <v>5</v>
      </c>
    </row>
    <row r="2" spans="1:30" x14ac:dyDescent="0.25">
      <c r="A2" s="1">
        <v>25</v>
      </c>
      <c r="B2" s="1">
        <v>0.3</v>
      </c>
      <c r="C2" s="1">
        <v>3</v>
      </c>
      <c r="D2" s="1">
        <f t="shared" ref="D2:D65" si="0">C2*A2/1000</f>
        <v>7.4999999999999997E-2</v>
      </c>
      <c r="E2" s="1">
        <v>10</v>
      </c>
      <c r="F2" s="1">
        <v>0.5</v>
      </c>
      <c r="G2" s="1">
        <v>75</v>
      </c>
      <c r="H2" s="1">
        <v>32.425132470000001</v>
      </c>
      <c r="I2" s="1">
        <f t="shared" ref="I2:I65" si="1">A2/1000</f>
        <v>2.5000000000000001E-2</v>
      </c>
      <c r="J2" s="1">
        <f t="shared" ref="J2:J65" si="2">D2</f>
        <v>7.4999999999999997E-2</v>
      </c>
      <c r="K2" s="1">
        <f t="shared" ref="K2:K65" si="3">B2/1000</f>
        <v>2.9999999999999997E-4</v>
      </c>
      <c r="L2" s="1">
        <f t="shared" ref="L2:L65" si="4">PI()*I2^2*J2/4*(1-0.36)*7900</f>
        <v>0.18613936472519524</v>
      </c>
      <c r="M2" s="1">
        <f t="shared" ref="M2:M65" si="5">G2/3600</f>
        <v>2.0833333333333332E-2</v>
      </c>
      <c r="N2" s="1">
        <v>235</v>
      </c>
      <c r="O2" s="1">
        <f>3.2</f>
        <v>3.2</v>
      </c>
      <c r="P2" s="1">
        <v>4148</v>
      </c>
      <c r="Q2" s="1">
        <f>[1]!HeatTransferArea(I2,D2,0.36,K2)</f>
        <v>0.47123889803846908</v>
      </c>
      <c r="R2" s="1">
        <f>[1]!Convection(I2,M2,1000,9*10^-4,K2,0.6,0.36,7)</f>
        <v>33909.243146205263</v>
      </c>
      <c r="S2" s="1">
        <f t="shared" ref="S2:S65" si="6">M2*P2/(2*F2*L2*N2)</f>
        <v>1.9755654425746831</v>
      </c>
      <c r="T2" s="1">
        <f t="shared" ref="T2:T65" si="7">J2^2*F2/(N2*O2)</f>
        <v>3.7400265957446807E-6</v>
      </c>
      <c r="U2" s="1">
        <f t="shared" ref="U2:U65" si="8">I2^2*F2/(N2*O2)</f>
        <v>4.1555851063829797E-7</v>
      </c>
      <c r="V2" s="1">
        <f t="shared" ref="V2:V65" si="9">C2</f>
        <v>3</v>
      </c>
      <c r="W2" s="1">
        <f t="shared" ref="W2:W65" si="10">R2*Q2/(F2*L2*N2)</f>
        <v>730.6058313214171</v>
      </c>
      <c r="X2" s="1">
        <f t="shared" ref="X2:X65" si="11">E2/O2</f>
        <v>3.125</v>
      </c>
      <c r="Y2" s="1">
        <f t="shared" ref="Y2:Y65" si="12">H2/(L2*F2*N2*O2)</f>
        <v>0.46329294487925476</v>
      </c>
      <c r="Z2" s="1">
        <v>32.425132470000001</v>
      </c>
    </row>
    <row r="3" spans="1:30" x14ac:dyDescent="0.25">
      <c r="A3" s="1">
        <v>25</v>
      </c>
      <c r="B3" s="1">
        <v>0.3</v>
      </c>
      <c r="C3" s="1">
        <v>3</v>
      </c>
      <c r="D3" s="1">
        <f t="shared" si="0"/>
        <v>7.4999999999999997E-2</v>
      </c>
      <c r="E3" s="1">
        <v>10</v>
      </c>
      <c r="F3" s="1">
        <v>1</v>
      </c>
      <c r="G3" s="1">
        <v>75</v>
      </c>
      <c r="H3" s="1">
        <v>38.215143930000004</v>
      </c>
      <c r="I3" s="1">
        <f t="shared" si="1"/>
        <v>2.5000000000000001E-2</v>
      </c>
      <c r="J3" s="1">
        <f t="shared" si="2"/>
        <v>7.4999999999999997E-2</v>
      </c>
      <c r="K3" s="1">
        <f t="shared" si="3"/>
        <v>2.9999999999999997E-4</v>
      </c>
      <c r="L3" s="1">
        <f t="shared" si="4"/>
        <v>0.18613936472519524</v>
      </c>
      <c r="M3" s="1">
        <f t="shared" si="5"/>
        <v>2.0833333333333332E-2</v>
      </c>
      <c r="N3" s="1">
        <v>235</v>
      </c>
      <c r="O3" s="1">
        <f t="shared" ref="O3:O66" si="13">3.2</f>
        <v>3.2</v>
      </c>
      <c r="P3" s="1">
        <v>4148</v>
      </c>
      <c r="Q3" s="1">
        <f>[1]!HeatTransferArea(I3,D3,0.36,K3)</f>
        <v>0.47123889803846908</v>
      </c>
      <c r="R3" s="1">
        <f>[1]!Convection(I3,M3,1000,9*10^-4,K3,0.6,0.36,7)</f>
        <v>33909.243146205263</v>
      </c>
      <c r="S3" s="1">
        <f t="shared" si="6"/>
        <v>0.98778272128734157</v>
      </c>
      <c r="T3" s="1">
        <f t="shared" si="7"/>
        <v>7.4800531914893613E-6</v>
      </c>
      <c r="U3" s="1">
        <f t="shared" si="8"/>
        <v>8.3111702127659595E-7</v>
      </c>
      <c r="V3" s="1">
        <f t="shared" si="9"/>
        <v>3</v>
      </c>
      <c r="W3" s="1">
        <f t="shared" si="10"/>
        <v>365.30291566070855</v>
      </c>
      <c r="X3" s="1">
        <f t="shared" si="11"/>
        <v>3.125</v>
      </c>
      <c r="Y3" s="1">
        <f t="shared" si="12"/>
        <v>0.27301055110098488</v>
      </c>
      <c r="Z3" s="1">
        <v>38.215143930000004</v>
      </c>
    </row>
    <row r="4" spans="1:30" x14ac:dyDescent="0.25">
      <c r="A4" s="1">
        <v>25</v>
      </c>
      <c r="B4" s="1">
        <v>0.3</v>
      </c>
      <c r="C4" s="1">
        <v>3</v>
      </c>
      <c r="D4" s="1">
        <f t="shared" si="0"/>
        <v>7.4999999999999997E-2</v>
      </c>
      <c r="E4" s="1">
        <v>10</v>
      </c>
      <c r="F4" s="1">
        <v>1.5</v>
      </c>
      <c r="G4" s="1">
        <v>75</v>
      </c>
      <c r="H4" s="1">
        <v>38.554271819999997</v>
      </c>
      <c r="I4" s="1">
        <f t="shared" si="1"/>
        <v>2.5000000000000001E-2</v>
      </c>
      <c r="J4" s="1">
        <f t="shared" si="2"/>
        <v>7.4999999999999997E-2</v>
      </c>
      <c r="K4" s="1">
        <f t="shared" si="3"/>
        <v>2.9999999999999997E-4</v>
      </c>
      <c r="L4" s="1">
        <f t="shared" si="4"/>
        <v>0.18613936472519524</v>
      </c>
      <c r="M4" s="1">
        <f t="shared" si="5"/>
        <v>2.0833333333333332E-2</v>
      </c>
      <c r="N4" s="1">
        <v>235</v>
      </c>
      <c r="O4" s="1">
        <f t="shared" si="13"/>
        <v>3.2</v>
      </c>
      <c r="P4" s="1">
        <v>4148</v>
      </c>
      <c r="Q4" s="1">
        <f>[1]!HeatTransferArea(I4,D4,0.36,K4)</f>
        <v>0.47123889803846908</v>
      </c>
      <c r="R4" s="1">
        <f>[1]!Convection(I4,M4,1000,9*10^-4,K4,0.6,0.36,7)</f>
        <v>33909.243146205263</v>
      </c>
      <c r="S4" s="1">
        <f t="shared" si="6"/>
        <v>0.65852181419156097</v>
      </c>
      <c r="T4" s="1">
        <f t="shared" si="7"/>
        <v>1.1220079787234043E-5</v>
      </c>
      <c r="U4" s="1">
        <f t="shared" si="8"/>
        <v>1.2466755319148938E-6</v>
      </c>
      <c r="V4" s="1">
        <f t="shared" si="9"/>
        <v>3</v>
      </c>
      <c r="W4" s="1">
        <f t="shared" si="10"/>
        <v>243.53527710713902</v>
      </c>
      <c r="X4" s="1">
        <f t="shared" si="11"/>
        <v>3.125</v>
      </c>
      <c r="Y4" s="1">
        <f t="shared" si="12"/>
        <v>0.18362219641085564</v>
      </c>
      <c r="Z4" s="1">
        <v>38.554271819999997</v>
      </c>
      <c r="AD4" s="1">
        <v>0.87135487801248201</v>
      </c>
    </row>
    <row r="5" spans="1:30" x14ac:dyDescent="0.25">
      <c r="A5" s="1">
        <v>25</v>
      </c>
      <c r="B5" s="1">
        <v>0.3</v>
      </c>
      <c r="C5" s="1">
        <v>4</v>
      </c>
      <c r="D5" s="1">
        <f t="shared" si="0"/>
        <v>0.1</v>
      </c>
      <c r="E5" s="1">
        <v>10</v>
      </c>
      <c r="F5" s="1">
        <v>0.5</v>
      </c>
      <c r="G5" s="1">
        <v>75</v>
      </c>
      <c r="H5" s="1">
        <v>36.151036820000002</v>
      </c>
      <c r="I5" s="1">
        <f t="shared" si="1"/>
        <v>2.5000000000000001E-2</v>
      </c>
      <c r="J5" s="1">
        <f t="shared" si="2"/>
        <v>0.1</v>
      </c>
      <c r="K5" s="1">
        <f t="shared" si="3"/>
        <v>2.9999999999999997E-4</v>
      </c>
      <c r="L5" s="1">
        <f t="shared" si="4"/>
        <v>0.24818581963359368</v>
      </c>
      <c r="M5" s="1">
        <f t="shared" si="5"/>
        <v>2.0833333333333332E-2</v>
      </c>
      <c r="N5" s="1">
        <v>235</v>
      </c>
      <c r="O5" s="1">
        <f t="shared" si="13"/>
        <v>3.2</v>
      </c>
      <c r="P5" s="1">
        <v>4148</v>
      </c>
      <c r="Q5" s="1">
        <f>[1]!HeatTransferArea(I5,D5,0.36,K5)</f>
        <v>0.62831853071795885</v>
      </c>
      <c r="R5" s="1">
        <f>[1]!Convection(I5,M5,1000,9*10^-4,K5,0.6,0.36,7)</f>
        <v>33909.243146205263</v>
      </c>
      <c r="S5" s="1">
        <f t="shared" si="6"/>
        <v>1.4816740819310121</v>
      </c>
      <c r="T5" s="1">
        <f t="shared" si="7"/>
        <v>6.6489361702127676E-6</v>
      </c>
      <c r="U5" s="1">
        <f t="shared" si="8"/>
        <v>4.1555851063829797E-7</v>
      </c>
      <c r="V5" s="1">
        <f t="shared" si="9"/>
        <v>4</v>
      </c>
      <c r="W5" s="1">
        <f t="shared" si="10"/>
        <v>730.6058313214171</v>
      </c>
      <c r="X5" s="1">
        <f t="shared" si="11"/>
        <v>3.125</v>
      </c>
      <c r="Y5" s="1">
        <f t="shared" si="12"/>
        <v>0.38739672823862864</v>
      </c>
      <c r="Z5" s="1">
        <v>36.151036820000002</v>
      </c>
    </row>
    <row r="6" spans="1:30" x14ac:dyDescent="0.25">
      <c r="A6" s="1">
        <v>25</v>
      </c>
      <c r="B6" s="1">
        <v>0.3</v>
      </c>
      <c r="C6" s="1">
        <v>4</v>
      </c>
      <c r="D6" s="1">
        <f t="shared" si="0"/>
        <v>0.1</v>
      </c>
      <c r="E6" s="1">
        <v>10</v>
      </c>
      <c r="F6" s="1">
        <v>1</v>
      </c>
      <c r="G6" s="1">
        <v>75</v>
      </c>
      <c r="H6" s="1">
        <v>37.900722989999998</v>
      </c>
      <c r="I6" s="1">
        <f t="shared" si="1"/>
        <v>2.5000000000000001E-2</v>
      </c>
      <c r="J6" s="1">
        <f t="shared" si="2"/>
        <v>0.1</v>
      </c>
      <c r="K6" s="1">
        <f t="shared" si="3"/>
        <v>2.9999999999999997E-4</v>
      </c>
      <c r="L6" s="1">
        <f t="shared" si="4"/>
        <v>0.24818581963359368</v>
      </c>
      <c r="M6" s="1">
        <f t="shared" si="5"/>
        <v>2.0833333333333332E-2</v>
      </c>
      <c r="N6" s="1">
        <v>235</v>
      </c>
      <c r="O6" s="1">
        <f t="shared" si="13"/>
        <v>3.2</v>
      </c>
      <c r="P6" s="1">
        <v>4148</v>
      </c>
      <c r="Q6" s="1">
        <f>[1]!HeatTransferArea(I6,D6,0.36,K6)</f>
        <v>0.62831853071795885</v>
      </c>
      <c r="R6" s="1">
        <f>[1]!Convection(I6,M6,1000,9*10^-4,K6,0.6,0.36,7)</f>
        <v>33909.243146205263</v>
      </c>
      <c r="S6" s="1">
        <f t="shared" si="6"/>
        <v>0.74083704096550607</v>
      </c>
      <c r="T6" s="1">
        <f t="shared" si="7"/>
        <v>1.3297872340425535E-5</v>
      </c>
      <c r="U6" s="1">
        <f t="shared" si="8"/>
        <v>8.3111702127659595E-7</v>
      </c>
      <c r="V6" s="1">
        <f t="shared" si="9"/>
        <v>4</v>
      </c>
      <c r="W6" s="1">
        <f t="shared" si="10"/>
        <v>365.30291566070855</v>
      </c>
      <c r="X6" s="1">
        <f t="shared" si="11"/>
        <v>3.125</v>
      </c>
      <c r="Y6" s="1">
        <f t="shared" si="12"/>
        <v>0.20307323628518512</v>
      </c>
      <c r="Z6" s="1">
        <v>37.900722989999998</v>
      </c>
    </row>
    <row r="7" spans="1:30" x14ac:dyDescent="0.25">
      <c r="A7" s="1">
        <v>25</v>
      </c>
      <c r="B7" s="1">
        <v>0.3</v>
      </c>
      <c r="C7" s="1">
        <v>4</v>
      </c>
      <c r="D7" s="1">
        <f t="shared" si="0"/>
        <v>0.1</v>
      </c>
      <c r="E7" s="1">
        <v>10</v>
      </c>
      <c r="F7" s="1">
        <v>1.5</v>
      </c>
      <c r="G7" s="1">
        <v>75</v>
      </c>
      <c r="H7" s="1">
        <v>37.831675590000003</v>
      </c>
      <c r="I7" s="1">
        <f t="shared" si="1"/>
        <v>2.5000000000000001E-2</v>
      </c>
      <c r="J7" s="1">
        <f t="shared" si="2"/>
        <v>0.1</v>
      </c>
      <c r="K7" s="1">
        <f t="shared" si="3"/>
        <v>2.9999999999999997E-4</v>
      </c>
      <c r="L7" s="1">
        <f t="shared" si="4"/>
        <v>0.24818581963359368</v>
      </c>
      <c r="M7" s="1">
        <f t="shared" si="5"/>
        <v>2.0833333333333332E-2</v>
      </c>
      <c r="N7" s="1">
        <v>235</v>
      </c>
      <c r="O7" s="1">
        <f t="shared" si="13"/>
        <v>3.2</v>
      </c>
      <c r="P7" s="1">
        <v>4148</v>
      </c>
      <c r="Q7" s="1">
        <f>[1]!HeatTransferArea(I7,D7,0.36,K7)</f>
        <v>0.62831853071795885</v>
      </c>
      <c r="R7" s="1">
        <f>[1]!Convection(I7,M7,1000,9*10^-4,K7,0.6,0.36,7)</f>
        <v>33909.243146205263</v>
      </c>
      <c r="S7" s="1">
        <f t="shared" si="6"/>
        <v>0.49389136064367067</v>
      </c>
      <c r="T7" s="1">
        <f t="shared" si="7"/>
        <v>1.99468085106383E-5</v>
      </c>
      <c r="U7" s="1">
        <f t="shared" si="8"/>
        <v>1.2466755319148938E-6</v>
      </c>
      <c r="V7" s="1">
        <f t="shared" si="9"/>
        <v>4</v>
      </c>
      <c r="W7" s="1">
        <f t="shared" si="10"/>
        <v>243.53527710713902</v>
      </c>
      <c r="X7" s="1">
        <f t="shared" si="11"/>
        <v>3.125</v>
      </c>
      <c r="Y7" s="1">
        <f t="shared" si="12"/>
        <v>0.13513551879875879</v>
      </c>
      <c r="Z7" s="1">
        <v>37.831675590000003</v>
      </c>
    </row>
    <row r="8" spans="1:30" x14ac:dyDescent="0.25">
      <c r="A8" s="1">
        <v>25</v>
      </c>
      <c r="B8" s="1">
        <v>0.3</v>
      </c>
      <c r="C8" s="1">
        <v>5</v>
      </c>
      <c r="D8" s="1">
        <f t="shared" si="0"/>
        <v>0.125</v>
      </c>
      <c r="E8" s="1">
        <v>10</v>
      </c>
      <c r="F8" s="1">
        <v>0.5</v>
      </c>
      <c r="G8" s="1">
        <v>75</v>
      </c>
      <c r="H8" s="1">
        <v>36.82717049</v>
      </c>
      <c r="I8" s="1">
        <f t="shared" si="1"/>
        <v>2.5000000000000001E-2</v>
      </c>
      <c r="J8" s="1">
        <f t="shared" si="2"/>
        <v>0.125</v>
      </c>
      <c r="K8" s="1">
        <f t="shared" si="3"/>
        <v>2.9999999999999997E-4</v>
      </c>
      <c r="L8" s="1">
        <f t="shared" si="4"/>
        <v>0.31023227454199215</v>
      </c>
      <c r="M8" s="1">
        <f t="shared" si="5"/>
        <v>2.0833333333333332E-2</v>
      </c>
      <c r="N8" s="1">
        <v>235</v>
      </c>
      <c r="O8" s="1">
        <f t="shared" si="13"/>
        <v>3.2</v>
      </c>
      <c r="P8" s="1">
        <v>4148</v>
      </c>
      <c r="Q8" s="1">
        <f>[1]!HeatTransferArea(I8,D8,0.36,K8)</f>
        <v>0.7853981633974485</v>
      </c>
      <c r="R8" s="1">
        <f>[1]!Convection(I8,M8,1000,9*10^-4,K8,0.6,0.36,7)</f>
        <v>33909.243146205263</v>
      </c>
      <c r="S8" s="1">
        <f t="shared" si="6"/>
        <v>1.1853392655448096</v>
      </c>
      <c r="T8" s="1">
        <f t="shared" si="7"/>
        <v>1.0388962765957447E-5</v>
      </c>
      <c r="U8" s="1">
        <f t="shared" si="8"/>
        <v>4.1555851063829797E-7</v>
      </c>
      <c r="V8" s="1">
        <f t="shared" si="9"/>
        <v>5</v>
      </c>
      <c r="W8" s="1">
        <f t="shared" si="10"/>
        <v>730.60583132141699</v>
      </c>
      <c r="X8" s="1">
        <f t="shared" si="11"/>
        <v>3.125</v>
      </c>
      <c r="Y8" s="1">
        <f t="shared" si="12"/>
        <v>0.31571377449886756</v>
      </c>
      <c r="Z8" s="1">
        <v>36.82717049</v>
      </c>
    </row>
    <row r="9" spans="1:30" x14ac:dyDescent="0.25">
      <c r="A9" s="1">
        <v>25</v>
      </c>
      <c r="B9" s="1">
        <v>0.3</v>
      </c>
      <c r="C9" s="1">
        <v>5</v>
      </c>
      <c r="D9" s="1">
        <f t="shared" si="0"/>
        <v>0.125</v>
      </c>
      <c r="E9" s="1">
        <v>10</v>
      </c>
      <c r="F9" s="1">
        <v>1</v>
      </c>
      <c r="G9" s="1">
        <v>75</v>
      </c>
      <c r="H9" s="1">
        <v>37.310720349999997</v>
      </c>
      <c r="I9" s="1">
        <f t="shared" si="1"/>
        <v>2.5000000000000001E-2</v>
      </c>
      <c r="J9" s="1">
        <f t="shared" si="2"/>
        <v>0.125</v>
      </c>
      <c r="K9" s="1">
        <f t="shared" si="3"/>
        <v>2.9999999999999997E-4</v>
      </c>
      <c r="L9" s="1">
        <f t="shared" si="4"/>
        <v>0.31023227454199215</v>
      </c>
      <c r="M9" s="1">
        <f t="shared" si="5"/>
        <v>2.0833333333333332E-2</v>
      </c>
      <c r="N9" s="1">
        <v>235</v>
      </c>
      <c r="O9" s="1">
        <f t="shared" si="13"/>
        <v>3.2</v>
      </c>
      <c r="P9" s="1">
        <v>4148</v>
      </c>
      <c r="Q9" s="1">
        <f>[1]!HeatTransferArea(I9,D9,0.36,K9)</f>
        <v>0.7853981633974485</v>
      </c>
      <c r="R9" s="1">
        <f>[1]!Convection(I9,M9,1000,9*10^-4,K9,0.6,0.36,7)</f>
        <v>33909.243146205263</v>
      </c>
      <c r="S9" s="1">
        <f t="shared" si="6"/>
        <v>0.59266963277240481</v>
      </c>
      <c r="T9" s="1">
        <f t="shared" si="7"/>
        <v>2.0777925531914893E-5</v>
      </c>
      <c r="U9" s="1">
        <f t="shared" si="8"/>
        <v>8.3111702127659595E-7</v>
      </c>
      <c r="V9" s="1">
        <f t="shared" si="9"/>
        <v>5</v>
      </c>
      <c r="W9" s="1">
        <f t="shared" si="10"/>
        <v>365.30291566070849</v>
      </c>
      <c r="X9" s="1">
        <f t="shared" si="11"/>
        <v>3.125</v>
      </c>
      <c r="Y9" s="1">
        <f t="shared" si="12"/>
        <v>0.15992958723463155</v>
      </c>
      <c r="Z9" s="1">
        <v>37.310720349999997</v>
      </c>
    </row>
    <row r="10" spans="1:30" x14ac:dyDescent="0.25">
      <c r="A10" s="1">
        <v>25</v>
      </c>
      <c r="B10" s="1">
        <v>0.3</v>
      </c>
      <c r="C10" s="1">
        <v>5</v>
      </c>
      <c r="D10" s="1">
        <f t="shared" si="0"/>
        <v>0.125</v>
      </c>
      <c r="E10" s="1">
        <v>10</v>
      </c>
      <c r="F10" s="1">
        <v>1.5</v>
      </c>
      <c r="G10" s="1">
        <v>75</v>
      </c>
      <c r="H10" s="1">
        <v>37.080914440000001</v>
      </c>
      <c r="I10" s="1">
        <f t="shared" si="1"/>
        <v>2.5000000000000001E-2</v>
      </c>
      <c r="J10" s="1">
        <f t="shared" si="2"/>
        <v>0.125</v>
      </c>
      <c r="K10" s="1">
        <f t="shared" si="3"/>
        <v>2.9999999999999997E-4</v>
      </c>
      <c r="L10" s="1">
        <f t="shared" si="4"/>
        <v>0.31023227454199215</v>
      </c>
      <c r="M10" s="1">
        <f t="shared" si="5"/>
        <v>2.0833333333333332E-2</v>
      </c>
      <c r="N10" s="1">
        <v>235</v>
      </c>
      <c r="O10" s="1">
        <f t="shared" si="13"/>
        <v>3.2</v>
      </c>
      <c r="P10" s="1">
        <v>4148</v>
      </c>
      <c r="Q10" s="1">
        <f>[1]!HeatTransferArea(I10,D10,0.36,K10)</f>
        <v>0.7853981633974485</v>
      </c>
      <c r="R10" s="1">
        <f>[1]!Convection(I10,M10,1000,9*10^-4,K10,0.6,0.36,7)</f>
        <v>33909.243146205263</v>
      </c>
      <c r="S10" s="1">
        <f t="shared" si="6"/>
        <v>0.39511308851493648</v>
      </c>
      <c r="T10" s="1">
        <f t="shared" si="7"/>
        <v>3.1166888297872338E-5</v>
      </c>
      <c r="U10" s="1">
        <f t="shared" si="8"/>
        <v>1.2466755319148938E-6</v>
      </c>
      <c r="V10" s="1">
        <f t="shared" si="9"/>
        <v>5</v>
      </c>
      <c r="W10" s="1">
        <f t="shared" si="10"/>
        <v>243.53527710713897</v>
      </c>
      <c r="X10" s="1">
        <f t="shared" si="11"/>
        <v>3.125</v>
      </c>
      <c r="Y10" s="1">
        <f t="shared" si="12"/>
        <v>0.10596302769537012</v>
      </c>
      <c r="Z10" s="1">
        <v>37.080914440000001</v>
      </c>
    </row>
    <row r="11" spans="1:30" x14ac:dyDescent="0.25">
      <c r="A11" s="1">
        <v>25</v>
      </c>
      <c r="B11" s="1">
        <v>0.4</v>
      </c>
      <c r="C11" s="1">
        <v>3</v>
      </c>
      <c r="D11" s="1">
        <f t="shared" si="0"/>
        <v>7.4999999999999997E-2</v>
      </c>
      <c r="E11" s="1">
        <v>10</v>
      </c>
      <c r="F11" s="1">
        <v>0.5</v>
      </c>
      <c r="G11" s="1">
        <v>75</v>
      </c>
      <c r="H11" s="1">
        <v>31.67409348</v>
      </c>
      <c r="I11" s="1">
        <f t="shared" si="1"/>
        <v>2.5000000000000001E-2</v>
      </c>
      <c r="J11" s="1">
        <f t="shared" si="2"/>
        <v>7.4999999999999997E-2</v>
      </c>
      <c r="K11" s="1">
        <f t="shared" si="3"/>
        <v>4.0000000000000002E-4</v>
      </c>
      <c r="L11" s="1">
        <f t="shared" si="4"/>
        <v>0.18613936472519524</v>
      </c>
      <c r="M11" s="1">
        <f t="shared" si="5"/>
        <v>2.0833333333333332E-2</v>
      </c>
      <c r="N11" s="1">
        <v>235</v>
      </c>
      <c r="O11" s="1">
        <f t="shared" si="13"/>
        <v>3.2</v>
      </c>
      <c r="P11" s="1">
        <v>4148</v>
      </c>
      <c r="Q11" s="1">
        <f>[1]!HeatTransferArea(I11,D11,0.36,K11)</f>
        <v>0.35342917352885178</v>
      </c>
      <c r="R11" s="1">
        <f>[1]!Convection(I11,M11,1000,9*10^-4,K11,0.6,0.36,7)</f>
        <v>25638.910216425455</v>
      </c>
      <c r="S11" s="1">
        <f t="shared" si="6"/>
        <v>1.9755654425746831</v>
      </c>
      <c r="T11" s="1">
        <f t="shared" si="7"/>
        <v>3.7400265957446807E-6</v>
      </c>
      <c r="U11" s="1">
        <f t="shared" si="8"/>
        <v>4.1555851063829797E-7</v>
      </c>
      <c r="V11" s="1">
        <f t="shared" si="9"/>
        <v>3</v>
      </c>
      <c r="W11" s="1">
        <f t="shared" si="10"/>
        <v>414.31042633598912</v>
      </c>
      <c r="X11" s="1">
        <f t="shared" si="11"/>
        <v>3.125</v>
      </c>
      <c r="Y11" s="1">
        <f t="shared" si="12"/>
        <v>0.45256203836042497</v>
      </c>
      <c r="Z11" s="1">
        <v>31.67409348</v>
      </c>
    </row>
    <row r="12" spans="1:30" x14ac:dyDescent="0.25">
      <c r="A12" s="1">
        <v>25</v>
      </c>
      <c r="B12" s="1">
        <v>0.4</v>
      </c>
      <c r="C12" s="1">
        <v>3</v>
      </c>
      <c r="D12" s="1">
        <f t="shared" si="0"/>
        <v>7.4999999999999997E-2</v>
      </c>
      <c r="E12" s="1">
        <v>10</v>
      </c>
      <c r="F12" s="1">
        <v>1</v>
      </c>
      <c r="G12" s="1">
        <v>75</v>
      </c>
      <c r="H12" s="1">
        <v>38.222778439999999</v>
      </c>
      <c r="I12" s="1">
        <f t="shared" si="1"/>
        <v>2.5000000000000001E-2</v>
      </c>
      <c r="J12" s="1">
        <f t="shared" si="2"/>
        <v>7.4999999999999997E-2</v>
      </c>
      <c r="K12" s="1">
        <f t="shared" si="3"/>
        <v>4.0000000000000002E-4</v>
      </c>
      <c r="L12" s="1">
        <f t="shared" si="4"/>
        <v>0.18613936472519524</v>
      </c>
      <c r="M12" s="1">
        <f t="shared" si="5"/>
        <v>2.0833333333333332E-2</v>
      </c>
      <c r="N12" s="1">
        <v>235</v>
      </c>
      <c r="O12" s="1">
        <f t="shared" si="13"/>
        <v>3.2</v>
      </c>
      <c r="P12" s="1">
        <v>4148</v>
      </c>
      <c r="Q12" s="1">
        <f>[1]!HeatTransferArea(I12,D12,0.36,K12)</f>
        <v>0.35342917352885178</v>
      </c>
      <c r="R12" s="1">
        <f>[1]!Convection(I12,M12,1000,9*10^-4,K12,0.6,0.36,7)</f>
        <v>25638.910216425455</v>
      </c>
      <c r="S12" s="1">
        <f t="shared" si="6"/>
        <v>0.98778272128734157</v>
      </c>
      <c r="T12" s="1">
        <f t="shared" si="7"/>
        <v>7.4800531914893613E-6</v>
      </c>
      <c r="U12" s="1">
        <f t="shared" si="8"/>
        <v>8.3111702127659595E-7</v>
      </c>
      <c r="V12" s="1">
        <f t="shared" si="9"/>
        <v>3</v>
      </c>
      <c r="W12" s="1">
        <f t="shared" si="10"/>
        <v>207.15521316799456</v>
      </c>
      <c r="X12" s="1">
        <f t="shared" si="11"/>
        <v>3.125</v>
      </c>
      <c r="Y12" s="1">
        <f t="shared" si="12"/>
        <v>0.27306509235264947</v>
      </c>
      <c r="Z12" s="1">
        <v>38.222778439999999</v>
      </c>
    </row>
    <row r="13" spans="1:30" x14ac:dyDescent="0.25">
      <c r="A13" s="1">
        <v>25</v>
      </c>
      <c r="B13" s="1">
        <v>0.4</v>
      </c>
      <c r="C13" s="1">
        <v>3</v>
      </c>
      <c r="D13" s="1">
        <f t="shared" si="0"/>
        <v>7.4999999999999997E-2</v>
      </c>
      <c r="E13" s="1">
        <v>10</v>
      </c>
      <c r="F13" s="1">
        <v>1.5</v>
      </c>
      <c r="G13" s="1">
        <v>75</v>
      </c>
      <c r="H13" s="1">
        <v>38.769253710000001</v>
      </c>
      <c r="I13" s="1">
        <f t="shared" si="1"/>
        <v>2.5000000000000001E-2</v>
      </c>
      <c r="J13" s="1">
        <f t="shared" si="2"/>
        <v>7.4999999999999997E-2</v>
      </c>
      <c r="K13" s="1">
        <f t="shared" si="3"/>
        <v>4.0000000000000002E-4</v>
      </c>
      <c r="L13" s="1">
        <f t="shared" si="4"/>
        <v>0.18613936472519524</v>
      </c>
      <c r="M13" s="1">
        <f t="shared" si="5"/>
        <v>2.0833333333333332E-2</v>
      </c>
      <c r="N13" s="1">
        <v>235</v>
      </c>
      <c r="O13" s="1">
        <f t="shared" si="13"/>
        <v>3.2</v>
      </c>
      <c r="P13" s="1">
        <v>4148</v>
      </c>
      <c r="Q13" s="1">
        <f>[1]!HeatTransferArea(I13,D13,0.36,K13)</f>
        <v>0.35342917352885178</v>
      </c>
      <c r="R13" s="1">
        <f>[1]!Convection(I13,M13,1000,9*10^-4,K13,0.6,0.36,7)</f>
        <v>25638.910216425455</v>
      </c>
      <c r="S13" s="1">
        <f t="shared" si="6"/>
        <v>0.65852181419156097</v>
      </c>
      <c r="T13" s="1">
        <f t="shared" si="7"/>
        <v>1.1220079787234043E-5</v>
      </c>
      <c r="U13" s="1">
        <f t="shared" si="8"/>
        <v>1.2466755319148938E-6</v>
      </c>
      <c r="V13" s="1">
        <f t="shared" si="9"/>
        <v>3</v>
      </c>
      <c r="W13" s="1">
        <f t="shared" si="10"/>
        <v>138.10347544532968</v>
      </c>
      <c r="X13" s="1">
        <f t="shared" si="11"/>
        <v>3.125</v>
      </c>
      <c r="Y13" s="1">
        <f t="shared" si="12"/>
        <v>0.18464608935363144</v>
      </c>
      <c r="Z13" s="1">
        <v>38.769253710000001</v>
      </c>
    </row>
    <row r="14" spans="1:30" x14ac:dyDescent="0.25">
      <c r="A14" s="1">
        <v>25</v>
      </c>
      <c r="B14" s="1">
        <v>0.4</v>
      </c>
      <c r="C14" s="1">
        <v>4</v>
      </c>
      <c r="D14" s="1">
        <f t="shared" si="0"/>
        <v>0.1</v>
      </c>
      <c r="E14" s="1">
        <v>10</v>
      </c>
      <c r="F14" s="1">
        <v>0.5</v>
      </c>
      <c r="G14" s="1">
        <v>75</v>
      </c>
      <c r="H14" s="1">
        <v>36.186180290000003</v>
      </c>
      <c r="I14" s="1">
        <f t="shared" si="1"/>
        <v>2.5000000000000001E-2</v>
      </c>
      <c r="J14" s="1">
        <f t="shared" si="2"/>
        <v>0.1</v>
      </c>
      <c r="K14" s="1">
        <f t="shared" si="3"/>
        <v>4.0000000000000002E-4</v>
      </c>
      <c r="L14" s="1">
        <f t="shared" si="4"/>
        <v>0.24818581963359368</v>
      </c>
      <c r="M14" s="1">
        <f t="shared" si="5"/>
        <v>2.0833333333333332E-2</v>
      </c>
      <c r="N14" s="1">
        <v>235</v>
      </c>
      <c r="O14" s="1">
        <f t="shared" si="13"/>
        <v>3.2</v>
      </c>
      <c r="P14" s="1">
        <v>4148</v>
      </c>
      <c r="Q14" s="1">
        <f>[1]!HeatTransferArea(I14,D14,0.36,K14)</f>
        <v>0.47123889803846908</v>
      </c>
      <c r="R14" s="1">
        <f>[1]!Convection(I14,M14,1000,9*10^-4,K14,0.6,0.36,7)</f>
        <v>25638.910216425455</v>
      </c>
      <c r="S14" s="1">
        <f t="shared" si="6"/>
        <v>1.4816740819310121</v>
      </c>
      <c r="T14" s="1">
        <f t="shared" si="7"/>
        <v>6.6489361702127676E-6</v>
      </c>
      <c r="U14" s="1">
        <f t="shared" si="8"/>
        <v>4.1555851063829797E-7</v>
      </c>
      <c r="V14" s="1">
        <f t="shared" si="9"/>
        <v>4</v>
      </c>
      <c r="W14" s="1">
        <f t="shared" si="10"/>
        <v>414.31042633598912</v>
      </c>
      <c r="X14" s="1">
        <f t="shared" si="11"/>
        <v>3.125</v>
      </c>
      <c r="Y14" s="1">
        <f t="shared" si="12"/>
        <v>0.3877733278190153</v>
      </c>
      <c r="Z14" s="1">
        <v>36.186180290000003</v>
      </c>
    </row>
    <row r="15" spans="1:30" x14ac:dyDescent="0.25">
      <c r="A15" s="1">
        <v>25</v>
      </c>
      <c r="B15" s="1">
        <v>0.4</v>
      </c>
      <c r="C15" s="1">
        <v>4</v>
      </c>
      <c r="D15" s="1">
        <f t="shared" si="0"/>
        <v>0.1</v>
      </c>
      <c r="E15" s="1">
        <v>10</v>
      </c>
      <c r="F15" s="1">
        <v>1</v>
      </c>
      <c r="G15" s="1">
        <v>75</v>
      </c>
      <c r="H15" s="1">
        <v>38.366233639999997</v>
      </c>
      <c r="I15" s="1">
        <f t="shared" si="1"/>
        <v>2.5000000000000001E-2</v>
      </c>
      <c r="J15" s="1">
        <f t="shared" si="2"/>
        <v>0.1</v>
      </c>
      <c r="K15" s="1">
        <f t="shared" si="3"/>
        <v>4.0000000000000002E-4</v>
      </c>
      <c r="L15" s="1">
        <f t="shared" si="4"/>
        <v>0.24818581963359368</v>
      </c>
      <c r="M15" s="1">
        <f t="shared" si="5"/>
        <v>2.0833333333333332E-2</v>
      </c>
      <c r="N15" s="1">
        <v>235</v>
      </c>
      <c r="O15" s="1">
        <f t="shared" si="13"/>
        <v>3.2</v>
      </c>
      <c r="P15" s="1">
        <v>4148</v>
      </c>
      <c r="Q15" s="1">
        <f>[1]!HeatTransferArea(I15,D15,0.36,K15)</f>
        <v>0.47123889803846908</v>
      </c>
      <c r="R15" s="1">
        <f>[1]!Convection(I15,M15,1000,9*10^-4,K15,0.6,0.36,7)</f>
        <v>25638.910216425455</v>
      </c>
      <c r="S15" s="1">
        <f t="shared" si="6"/>
        <v>0.74083704096550607</v>
      </c>
      <c r="T15" s="1">
        <f t="shared" si="7"/>
        <v>1.3297872340425535E-5</v>
      </c>
      <c r="U15" s="1">
        <f t="shared" si="8"/>
        <v>8.3111702127659595E-7</v>
      </c>
      <c r="V15" s="1">
        <f t="shared" si="9"/>
        <v>4</v>
      </c>
      <c r="W15" s="1">
        <f t="shared" si="10"/>
        <v>207.15521316799456</v>
      </c>
      <c r="X15" s="1">
        <f t="shared" si="11"/>
        <v>3.125</v>
      </c>
      <c r="Y15" s="1">
        <f t="shared" si="12"/>
        <v>0.20556745662619713</v>
      </c>
      <c r="Z15" s="1">
        <v>38.366233639999997</v>
      </c>
    </row>
    <row r="16" spans="1:30" x14ac:dyDescent="0.25">
      <c r="A16" s="1">
        <v>25</v>
      </c>
      <c r="B16" s="1">
        <v>0.4</v>
      </c>
      <c r="C16" s="1">
        <v>4</v>
      </c>
      <c r="D16" s="1">
        <f t="shared" si="0"/>
        <v>0.1</v>
      </c>
      <c r="E16" s="1">
        <v>10</v>
      </c>
      <c r="F16" s="1">
        <v>1.5</v>
      </c>
      <c r="G16" s="1">
        <v>75</v>
      </c>
      <c r="H16" s="1">
        <v>38.423028459999998</v>
      </c>
      <c r="I16" s="1">
        <f t="shared" si="1"/>
        <v>2.5000000000000001E-2</v>
      </c>
      <c r="J16" s="1">
        <f t="shared" si="2"/>
        <v>0.1</v>
      </c>
      <c r="K16" s="1">
        <f t="shared" si="3"/>
        <v>4.0000000000000002E-4</v>
      </c>
      <c r="L16" s="1">
        <f t="shared" si="4"/>
        <v>0.24818581963359368</v>
      </c>
      <c r="M16" s="1">
        <f t="shared" si="5"/>
        <v>2.0833333333333332E-2</v>
      </c>
      <c r="N16" s="1">
        <v>235</v>
      </c>
      <c r="O16" s="1">
        <f t="shared" si="13"/>
        <v>3.2</v>
      </c>
      <c r="P16" s="1">
        <v>4148</v>
      </c>
      <c r="Q16" s="1">
        <f>[1]!HeatTransferArea(I16,D16,0.36,K16)</f>
        <v>0.47123889803846908</v>
      </c>
      <c r="R16" s="1">
        <f>[1]!Convection(I16,M16,1000,9*10^-4,K16,0.6,0.36,7)</f>
        <v>25638.910216425455</v>
      </c>
      <c r="S16" s="1">
        <f t="shared" si="6"/>
        <v>0.49389136064367067</v>
      </c>
      <c r="T16" s="1">
        <f t="shared" si="7"/>
        <v>1.99468085106383E-5</v>
      </c>
      <c r="U16" s="1">
        <f t="shared" si="8"/>
        <v>1.2466755319148938E-6</v>
      </c>
      <c r="V16" s="1">
        <f t="shared" si="9"/>
        <v>4</v>
      </c>
      <c r="W16" s="1">
        <f t="shared" si="10"/>
        <v>138.10347544532971</v>
      </c>
      <c r="X16" s="1">
        <f t="shared" si="11"/>
        <v>3.125</v>
      </c>
      <c r="Y16" s="1">
        <f t="shared" si="12"/>
        <v>0.13724784334252568</v>
      </c>
      <c r="Z16" s="1">
        <v>38.423028459999998</v>
      </c>
    </row>
    <row r="17" spans="1:26" x14ac:dyDescent="0.25">
      <c r="A17" s="1">
        <v>25</v>
      </c>
      <c r="B17" s="1">
        <v>0.4</v>
      </c>
      <c r="C17" s="1">
        <v>5</v>
      </c>
      <c r="D17" s="1">
        <f t="shared" si="0"/>
        <v>0.125</v>
      </c>
      <c r="E17" s="1">
        <v>10</v>
      </c>
      <c r="F17" s="1">
        <v>0.5</v>
      </c>
      <c r="G17" s="1">
        <v>75</v>
      </c>
      <c r="H17" s="1">
        <v>37.289246169999998</v>
      </c>
      <c r="I17" s="1">
        <f t="shared" si="1"/>
        <v>2.5000000000000001E-2</v>
      </c>
      <c r="J17" s="1">
        <f t="shared" si="2"/>
        <v>0.125</v>
      </c>
      <c r="K17" s="1">
        <f t="shared" si="3"/>
        <v>4.0000000000000002E-4</v>
      </c>
      <c r="L17" s="1">
        <f t="shared" si="4"/>
        <v>0.31023227454199215</v>
      </c>
      <c r="M17" s="1">
        <f t="shared" si="5"/>
        <v>2.0833333333333332E-2</v>
      </c>
      <c r="N17" s="1">
        <v>235</v>
      </c>
      <c r="O17" s="1">
        <f t="shared" si="13"/>
        <v>3.2</v>
      </c>
      <c r="P17" s="1">
        <v>4148</v>
      </c>
      <c r="Q17" s="1">
        <f>[1]!HeatTransferArea(I17,D17,0.36,K17)</f>
        <v>0.58904862254808632</v>
      </c>
      <c r="R17" s="1">
        <f>[1]!Convection(I17,M17,1000,9*10^-4,K17,0.6,0.36,7)</f>
        <v>25638.910216425455</v>
      </c>
      <c r="S17" s="1">
        <f t="shared" si="6"/>
        <v>1.1853392655448096</v>
      </c>
      <c r="T17" s="1">
        <f t="shared" si="7"/>
        <v>1.0388962765957447E-5</v>
      </c>
      <c r="U17" s="1">
        <f t="shared" si="8"/>
        <v>4.1555851063829797E-7</v>
      </c>
      <c r="V17" s="1">
        <f t="shared" si="9"/>
        <v>5</v>
      </c>
      <c r="W17" s="1">
        <f t="shared" si="10"/>
        <v>414.31042633598901</v>
      </c>
      <c r="X17" s="1">
        <f t="shared" si="11"/>
        <v>3.125</v>
      </c>
      <c r="Y17" s="1">
        <f t="shared" si="12"/>
        <v>0.31967507956509694</v>
      </c>
      <c r="Z17" s="1">
        <v>37.289246169999998</v>
      </c>
    </row>
    <row r="18" spans="1:26" x14ac:dyDescent="0.25">
      <c r="A18" s="1">
        <v>25</v>
      </c>
      <c r="B18" s="1">
        <v>0.4</v>
      </c>
      <c r="C18" s="1">
        <v>5</v>
      </c>
      <c r="D18" s="1">
        <f t="shared" si="0"/>
        <v>0.125</v>
      </c>
      <c r="E18" s="1">
        <v>10</v>
      </c>
      <c r="F18" s="1">
        <v>1</v>
      </c>
      <c r="G18" s="1">
        <v>75</v>
      </c>
      <c r="H18" s="1">
        <v>38.083088629999999</v>
      </c>
      <c r="I18" s="1">
        <f t="shared" si="1"/>
        <v>2.5000000000000001E-2</v>
      </c>
      <c r="J18" s="1">
        <f t="shared" si="2"/>
        <v>0.125</v>
      </c>
      <c r="K18" s="1">
        <f t="shared" si="3"/>
        <v>4.0000000000000002E-4</v>
      </c>
      <c r="L18" s="1">
        <f t="shared" si="4"/>
        <v>0.31023227454199215</v>
      </c>
      <c r="M18" s="1">
        <f t="shared" si="5"/>
        <v>2.0833333333333332E-2</v>
      </c>
      <c r="N18" s="1">
        <v>235</v>
      </c>
      <c r="O18" s="1">
        <f t="shared" si="13"/>
        <v>3.2</v>
      </c>
      <c r="P18" s="1">
        <v>4148</v>
      </c>
      <c r="Q18" s="1">
        <f>[1]!HeatTransferArea(I18,D18,0.36,K18)</f>
        <v>0.58904862254808632</v>
      </c>
      <c r="R18" s="1">
        <f>[1]!Convection(I18,M18,1000,9*10^-4,K18,0.6,0.36,7)</f>
        <v>25638.910216425455</v>
      </c>
      <c r="S18" s="1">
        <f t="shared" si="6"/>
        <v>0.59266963277240481</v>
      </c>
      <c r="T18" s="1">
        <f t="shared" si="7"/>
        <v>2.0777925531914893E-5</v>
      </c>
      <c r="U18" s="1">
        <f t="shared" si="8"/>
        <v>8.3111702127659595E-7</v>
      </c>
      <c r="V18" s="1">
        <f t="shared" si="9"/>
        <v>5</v>
      </c>
      <c r="W18" s="1">
        <f t="shared" si="10"/>
        <v>207.1552131679945</v>
      </c>
      <c r="X18" s="1">
        <f t="shared" si="11"/>
        <v>3.125</v>
      </c>
      <c r="Y18" s="1">
        <f t="shared" si="12"/>
        <v>0.16324028558231229</v>
      </c>
      <c r="Z18" s="1">
        <v>38.083088629999999</v>
      </c>
    </row>
    <row r="19" spans="1:26" x14ac:dyDescent="0.25">
      <c r="A19" s="1">
        <v>25</v>
      </c>
      <c r="B19" s="1">
        <v>0.4</v>
      </c>
      <c r="C19" s="1">
        <v>5</v>
      </c>
      <c r="D19" s="1">
        <f t="shared" si="0"/>
        <v>0.125</v>
      </c>
      <c r="E19" s="1">
        <v>10</v>
      </c>
      <c r="F19" s="1">
        <v>1.5</v>
      </c>
      <c r="G19" s="1">
        <v>75</v>
      </c>
      <c r="H19" s="1">
        <v>37.941428119999998</v>
      </c>
      <c r="I19" s="1">
        <f t="shared" si="1"/>
        <v>2.5000000000000001E-2</v>
      </c>
      <c r="J19" s="1">
        <f t="shared" si="2"/>
        <v>0.125</v>
      </c>
      <c r="K19" s="1">
        <f t="shared" si="3"/>
        <v>4.0000000000000002E-4</v>
      </c>
      <c r="L19" s="1">
        <f t="shared" si="4"/>
        <v>0.31023227454199215</v>
      </c>
      <c r="M19" s="1">
        <f t="shared" si="5"/>
        <v>2.0833333333333332E-2</v>
      </c>
      <c r="N19" s="1">
        <v>235</v>
      </c>
      <c r="O19" s="1">
        <f t="shared" si="13"/>
        <v>3.2</v>
      </c>
      <c r="P19" s="1">
        <v>4148</v>
      </c>
      <c r="Q19" s="1">
        <f>[1]!HeatTransferArea(I19,D19,0.36,K19)</f>
        <v>0.58904862254808632</v>
      </c>
      <c r="R19" s="1">
        <f>[1]!Convection(I19,M19,1000,9*10^-4,K19,0.6,0.36,7)</f>
        <v>25638.910216425455</v>
      </c>
      <c r="S19" s="1">
        <f t="shared" si="6"/>
        <v>0.39511308851493648</v>
      </c>
      <c r="T19" s="1">
        <f t="shared" si="7"/>
        <v>3.1166888297872338E-5</v>
      </c>
      <c r="U19" s="1">
        <f t="shared" si="8"/>
        <v>1.2466755319148938E-6</v>
      </c>
      <c r="V19" s="1">
        <f t="shared" si="9"/>
        <v>5</v>
      </c>
      <c r="W19" s="1">
        <f t="shared" si="10"/>
        <v>138.10347544532968</v>
      </c>
      <c r="X19" s="1">
        <f t="shared" si="11"/>
        <v>3.125</v>
      </c>
      <c r="Y19" s="1">
        <f t="shared" si="12"/>
        <v>0.10842204566413208</v>
      </c>
      <c r="Z19" s="1">
        <v>37.941428119999998</v>
      </c>
    </row>
    <row r="20" spans="1:26" x14ac:dyDescent="0.25">
      <c r="A20" s="1">
        <v>25</v>
      </c>
      <c r="B20" s="1">
        <v>0.5</v>
      </c>
      <c r="C20" s="1">
        <v>3</v>
      </c>
      <c r="D20" s="1">
        <f t="shared" si="0"/>
        <v>7.4999999999999997E-2</v>
      </c>
      <c r="E20" s="1">
        <v>10</v>
      </c>
      <c r="F20" s="1">
        <v>0.5</v>
      </c>
      <c r="G20" s="1">
        <v>75</v>
      </c>
      <c r="H20" s="1">
        <v>30.4429613</v>
      </c>
      <c r="I20" s="1">
        <f t="shared" si="1"/>
        <v>2.5000000000000001E-2</v>
      </c>
      <c r="J20" s="1">
        <f t="shared" si="2"/>
        <v>7.4999999999999997E-2</v>
      </c>
      <c r="K20" s="1">
        <f t="shared" si="3"/>
        <v>5.0000000000000001E-4</v>
      </c>
      <c r="L20" s="1">
        <f t="shared" si="4"/>
        <v>0.18613936472519524</v>
      </c>
      <c r="M20" s="1">
        <f t="shared" si="5"/>
        <v>2.0833333333333332E-2</v>
      </c>
      <c r="N20" s="1">
        <v>235</v>
      </c>
      <c r="O20" s="1">
        <f t="shared" si="13"/>
        <v>3.2</v>
      </c>
      <c r="P20" s="1">
        <v>4148</v>
      </c>
      <c r="Q20" s="1">
        <f>[1]!HeatTransferArea(I20,D20,0.36,K20)</f>
        <v>0.28274333882308145</v>
      </c>
      <c r="R20" s="1">
        <f>[1]!Convection(I20,M20,1000,9*10^-4,K20,0.6,0.36,7)</f>
        <v>20660.760475301788</v>
      </c>
      <c r="S20" s="1">
        <f t="shared" si="6"/>
        <v>1.9755654425746831</v>
      </c>
      <c r="T20" s="1">
        <f t="shared" si="7"/>
        <v>3.7400265957446807E-6</v>
      </c>
      <c r="U20" s="1">
        <f t="shared" si="8"/>
        <v>4.1555851063829797E-7</v>
      </c>
      <c r="V20" s="1">
        <f t="shared" si="9"/>
        <v>3</v>
      </c>
      <c r="W20" s="1">
        <f t="shared" si="10"/>
        <v>267.09305219889205</v>
      </c>
      <c r="X20" s="1">
        <f t="shared" si="11"/>
        <v>3.125</v>
      </c>
      <c r="Y20" s="1">
        <f t="shared" si="12"/>
        <v>0.43497152107462722</v>
      </c>
      <c r="Z20" s="1">
        <v>30.4429613</v>
      </c>
    </row>
    <row r="21" spans="1:26" x14ac:dyDescent="0.25">
      <c r="A21" s="1">
        <v>25</v>
      </c>
      <c r="B21" s="1">
        <v>0.5</v>
      </c>
      <c r="C21" s="1">
        <v>3</v>
      </c>
      <c r="D21" s="1">
        <f t="shared" si="0"/>
        <v>7.4999999999999997E-2</v>
      </c>
      <c r="E21" s="1">
        <v>10</v>
      </c>
      <c r="F21" s="1">
        <v>1</v>
      </c>
      <c r="G21" s="1">
        <v>75</v>
      </c>
      <c r="H21" s="1">
        <v>37.727538869999997</v>
      </c>
      <c r="I21" s="1">
        <f t="shared" si="1"/>
        <v>2.5000000000000001E-2</v>
      </c>
      <c r="J21" s="1">
        <f t="shared" si="2"/>
        <v>7.4999999999999997E-2</v>
      </c>
      <c r="K21" s="1">
        <f t="shared" si="3"/>
        <v>5.0000000000000001E-4</v>
      </c>
      <c r="L21" s="1">
        <f t="shared" si="4"/>
        <v>0.18613936472519524</v>
      </c>
      <c r="M21" s="1">
        <f t="shared" si="5"/>
        <v>2.0833333333333332E-2</v>
      </c>
      <c r="N21" s="1">
        <v>235</v>
      </c>
      <c r="O21" s="1">
        <f t="shared" si="13"/>
        <v>3.2</v>
      </c>
      <c r="P21" s="1">
        <v>4148</v>
      </c>
      <c r="Q21" s="1">
        <f>[1]!HeatTransferArea(I21,D21,0.36,K21)</f>
        <v>0.28274333882308145</v>
      </c>
      <c r="R21" s="1">
        <f>[1]!Convection(I21,M21,1000,9*10^-4,K21,0.6,0.36,7)</f>
        <v>20660.760475301788</v>
      </c>
      <c r="S21" s="1">
        <f t="shared" si="6"/>
        <v>0.98778272128734157</v>
      </c>
      <c r="T21" s="1">
        <f t="shared" si="7"/>
        <v>7.4800531914893613E-6</v>
      </c>
      <c r="U21" s="1">
        <f t="shared" si="8"/>
        <v>8.3111702127659595E-7</v>
      </c>
      <c r="V21" s="1">
        <f t="shared" si="9"/>
        <v>3</v>
      </c>
      <c r="W21" s="1">
        <f t="shared" si="10"/>
        <v>133.54652609944603</v>
      </c>
      <c r="X21" s="1">
        <f t="shared" si="11"/>
        <v>3.125</v>
      </c>
      <c r="Y21" s="1">
        <f t="shared" si="12"/>
        <v>0.26952708061101177</v>
      </c>
      <c r="Z21" s="1">
        <v>37.727538869999997</v>
      </c>
    </row>
    <row r="22" spans="1:26" x14ac:dyDescent="0.25">
      <c r="A22" s="1">
        <v>25</v>
      </c>
      <c r="B22" s="1">
        <v>0.5</v>
      </c>
      <c r="C22" s="1">
        <v>3</v>
      </c>
      <c r="D22" s="1">
        <f t="shared" si="0"/>
        <v>7.4999999999999997E-2</v>
      </c>
      <c r="E22" s="1">
        <v>10</v>
      </c>
      <c r="F22" s="1">
        <v>1.5</v>
      </c>
      <c r="G22" s="1">
        <v>75</v>
      </c>
      <c r="H22" s="1">
        <v>38.442586069999997</v>
      </c>
      <c r="I22" s="1">
        <f t="shared" si="1"/>
        <v>2.5000000000000001E-2</v>
      </c>
      <c r="J22" s="1">
        <f t="shared" si="2"/>
        <v>7.4999999999999997E-2</v>
      </c>
      <c r="K22" s="1">
        <f t="shared" si="3"/>
        <v>5.0000000000000001E-4</v>
      </c>
      <c r="L22" s="1">
        <f t="shared" si="4"/>
        <v>0.18613936472519524</v>
      </c>
      <c r="M22" s="1">
        <f t="shared" si="5"/>
        <v>2.0833333333333332E-2</v>
      </c>
      <c r="N22" s="1">
        <v>235</v>
      </c>
      <c r="O22" s="1">
        <f t="shared" si="13"/>
        <v>3.2</v>
      </c>
      <c r="P22" s="1">
        <v>4148</v>
      </c>
      <c r="Q22" s="1">
        <f>[1]!HeatTransferArea(I22,D22,0.36,K22)</f>
        <v>0.28274333882308145</v>
      </c>
      <c r="R22" s="1">
        <f>[1]!Convection(I22,M22,1000,9*10^-4,K22,0.6,0.36,7)</f>
        <v>20660.760475301788</v>
      </c>
      <c r="S22" s="1">
        <f t="shared" si="6"/>
        <v>0.65852181419156097</v>
      </c>
      <c r="T22" s="1">
        <f t="shared" si="7"/>
        <v>1.1220079787234043E-5</v>
      </c>
      <c r="U22" s="1">
        <f t="shared" si="8"/>
        <v>1.2466755319148938E-6</v>
      </c>
      <c r="V22" s="1">
        <f t="shared" si="9"/>
        <v>3</v>
      </c>
      <c r="W22" s="1">
        <f t="shared" si="10"/>
        <v>89.03101739963067</v>
      </c>
      <c r="X22" s="1">
        <f t="shared" si="11"/>
        <v>3.125</v>
      </c>
      <c r="Y22" s="1">
        <f t="shared" si="12"/>
        <v>0.18309027136715258</v>
      </c>
      <c r="Z22" s="1">
        <v>38.442586069999997</v>
      </c>
    </row>
    <row r="23" spans="1:26" x14ac:dyDescent="0.25">
      <c r="A23" s="1">
        <v>25</v>
      </c>
      <c r="B23" s="1">
        <v>0.5</v>
      </c>
      <c r="C23" s="1">
        <v>4</v>
      </c>
      <c r="D23" s="1">
        <f t="shared" si="0"/>
        <v>0.1</v>
      </c>
      <c r="E23" s="1">
        <v>10</v>
      </c>
      <c r="F23" s="1">
        <v>0.5</v>
      </c>
      <c r="G23" s="1">
        <v>75</v>
      </c>
      <c r="H23" s="1">
        <v>35.750204189999998</v>
      </c>
      <c r="I23" s="1">
        <f t="shared" si="1"/>
        <v>2.5000000000000001E-2</v>
      </c>
      <c r="J23" s="1">
        <f t="shared" si="2"/>
        <v>0.1</v>
      </c>
      <c r="K23" s="1">
        <f t="shared" si="3"/>
        <v>5.0000000000000001E-4</v>
      </c>
      <c r="L23" s="1">
        <f t="shared" si="4"/>
        <v>0.24818581963359368</v>
      </c>
      <c r="M23" s="1">
        <f t="shared" si="5"/>
        <v>2.0833333333333332E-2</v>
      </c>
      <c r="N23" s="1">
        <v>235</v>
      </c>
      <c r="O23" s="1">
        <f t="shared" si="13"/>
        <v>3.2</v>
      </c>
      <c r="P23" s="1">
        <v>4148</v>
      </c>
      <c r="Q23" s="1">
        <f>[1]!HeatTransferArea(I23,D23,0.36,K23)</f>
        <v>0.37699111843077526</v>
      </c>
      <c r="R23" s="1">
        <f>[1]!Convection(I23,M23,1000,9*10^-4,K23,0.6,0.36,7)</f>
        <v>20660.760475301788</v>
      </c>
      <c r="S23" s="1">
        <f t="shared" si="6"/>
        <v>1.4816740819310121</v>
      </c>
      <c r="T23" s="1">
        <f t="shared" si="7"/>
        <v>6.6489361702127676E-6</v>
      </c>
      <c r="U23" s="1">
        <f t="shared" si="8"/>
        <v>4.1555851063829797E-7</v>
      </c>
      <c r="V23" s="1">
        <f t="shared" si="9"/>
        <v>4</v>
      </c>
      <c r="W23" s="1">
        <f t="shared" si="10"/>
        <v>267.093052198892</v>
      </c>
      <c r="X23" s="1">
        <f t="shared" si="11"/>
        <v>3.125</v>
      </c>
      <c r="Y23" s="1">
        <f t="shared" si="12"/>
        <v>0.3831013811865801</v>
      </c>
      <c r="Z23" s="1">
        <v>35.750204189999998</v>
      </c>
    </row>
    <row r="24" spans="1:26" x14ac:dyDescent="0.25">
      <c r="A24" s="1">
        <v>25</v>
      </c>
      <c r="B24" s="1">
        <v>0.5</v>
      </c>
      <c r="C24" s="1">
        <v>4</v>
      </c>
      <c r="D24" s="1">
        <f t="shared" si="0"/>
        <v>0.1</v>
      </c>
      <c r="E24" s="1">
        <v>10</v>
      </c>
      <c r="F24" s="1">
        <v>1</v>
      </c>
      <c r="G24" s="1">
        <v>75</v>
      </c>
      <c r="H24" s="1">
        <v>38.305748540000003</v>
      </c>
      <c r="I24" s="1">
        <f t="shared" si="1"/>
        <v>2.5000000000000001E-2</v>
      </c>
      <c r="J24" s="1">
        <f t="shared" si="2"/>
        <v>0.1</v>
      </c>
      <c r="K24" s="1">
        <f t="shared" si="3"/>
        <v>5.0000000000000001E-4</v>
      </c>
      <c r="L24" s="1">
        <f t="shared" si="4"/>
        <v>0.24818581963359368</v>
      </c>
      <c r="M24" s="1">
        <f t="shared" si="5"/>
        <v>2.0833333333333332E-2</v>
      </c>
      <c r="N24" s="1">
        <v>235</v>
      </c>
      <c r="O24" s="1">
        <f t="shared" si="13"/>
        <v>3.2</v>
      </c>
      <c r="P24" s="1">
        <v>4148</v>
      </c>
      <c r="Q24" s="1">
        <f>[1]!HeatTransferArea(I24,D24,0.36,K24)</f>
        <v>0.37699111843077526</v>
      </c>
      <c r="R24" s="1">
        <f>[1]!Convection(I24,M24,1000,9*10^-4,K24,0.6,0.36,7)</f>
        <v>20660.760475301788</v>
      </c>
      <c r="S24" s="1">
        <f t="shared" si="6"/>
        <v>0.74083704096550607</v>
      </c>
      <c r="T24" s="1">
        <f t="shared" si="7"/>
        <v>1.3297872340425535E-5</v>
      </c>
      <c r="U24" s="1">
        <f t="shared" si="8"/>
        <v>8.3111702127659595E-7</v>
      </c>
      <c r="V24" s="1">
        <f t="shared" si="9"/>
        <v>4</v>
      </c>
      <c r="W24" s="1">
        <f t="shared" si="10"/>
        <v>133.546526099446</v>
      </c>
      <c r="X24" s="1">
        <f t="shared" si="11"/>
        <v>3.125</v>
      </c>
      <c r="Y24" s="1">
        <f t="shared" si="12"/>
        <v>0.20524337560517616</v>
      </c>
      <c r="Z24" s="1">
        <v>38.305748540000003</v>
      </c>
    </row>
    <row r="25" spans="1:26" x14ac:dyDescent="0.25">
      <c r="A25" s="1">
        <v>25</v>
      </c>
      <c r="B25" s="1">
        <v>0.5</v>
      </c>
      <c r="C25" s="1">
        <v>4</v>
      </c>
      <c r="D25" s="1">
        <f t="shared" si="0"/>
        <v>0.1</v>
      </c>
      <c r="E25" s="1">
        <v>10</v>
      </c>
      <c r="F25" s="1">
        <v>1.5</v>
      </c>
      <c r="G25" s="1">
        <v>75</v>
      </c>
      <c r="H25" s="1">
        <v>38.452116490000002</v>
      </c>
      <c r="I25" s="1">
        <f t="shared" si="1"/>
        <v>2.5000000000000001E-2</v>
      </c>
      <c r="J25" s="1">
        <f t="shared" si="2"/>
        <v>0.1</v>
      </c>
      <c r="K25" s="1">
        <f t="shared" si="3"/>
        <v>5.0000000000000001E-4</v>
      </c>
      <c r="L25" s="1">
        <f t="shared" si="4"/>
        <v>0.24818581963359368</v>
      </c>
      <c r="M25" s="1">
        <f t="shared" si="5"/>
        <v>2.0833333333333332E-2</v>
      </c>
      <c r="N25" s="1">
        <v>235</v>
      </c>
      <c r="O25" s="1">
        <f t="shared" si="13"/>
        <v>3.2</v>
      </c>
      <c r="P25" s="1">
        <v>4148</v>
      </c>
      <c r="Q25" s="1">
        <f>[1]!HeatTransferArea(I25,D25,0.36,K25)</f>
        <v>0.37699111843077526</v>
      </c>
      <c r="R25" s="1">
        <f>[1]!Convection(I25,M25,1000,9*10^-4,K25,0.6,0.36,7)</f>
        <v>20660.760475301788</v>
      </c>
      <c r="S25" s="1">
        <f t="shared" si="6"/>
        <v>0.49389136064367067</v>
      </c>
      <c r="T25" s="1">
        <f t="shared" si="7"/>
        <v>1.99468085106383E-5</v>
      </c>
      <c r="U25" s="1">
        <f t="shared" si="8"/>
        <v>1.2466755319148938E-6</v>
      </c>
      <c r="V25" s="1">
        <f t="shared" si="9"/>
        <v>4</v>
      </c>
      <c r="W25" s="1">
        <f t="shared" si="10"/>
        <v>89.031017399630656</v>
      </c>
      <c r="X25" s="1">
        <f t="shared" si="11"/>
        <v>3.125</v>
      </c>
      <c r="Y25" s="1">
        <f t="shared" si="12"/>
        <v>0.13735174638048478</v>
      </c>
      <c r="Z25" s="1">
        <v>38.452116490000002</v>
      </c>
    </row>
    <row r="26" spans="1:26" x14ac:dyDescent="0.25">
      <c r="A26" s="1">
        <v>25</v>
      </c>
      <c r="B26" s="1">
        <v>0.5</v>
      </c>
      <c r="C26" s="1">
        <v>5</v>
      </c>
      <c r="D26" s="1">
        <f t="shared" si="0"/>
        <v>0.125</v>
      </c>
      <c r="E26" s="1">
        <v>10</v>
      </c>
      <c r="F26" s="1">
        <v>0.5</v>
      </c>
      <c r="G26" s="1">
        <v>75</v>
      </c>
      <c r="H26" s="1">
        <v>37.234552440000002</v>
      </c>
      <c r="I26" s="1">
        <f t="shared" si="1"/>
        <v>2.5000000000000001E-2</v>
      </c>
      <c r="J26" s="1">
        <f t="shared" si="2"/>
        <v>0.125</v>
      </c>
      <c r="K26" s="1">
        <f t="shared" si="3"/>
        <v>5.0000000000000001E-4</v>
      </c>
      <c r="L26" s="1">
        <f t="shared" si="4"/>
        <v>0.31023227454199215</v>
      </c>
      <c r="M26" s="1">
        <f t="shared" si="5"/>
        <v>2.0833333333333332E-2</v>
      </c>
      <c r="N26" s="1">
        <v>235</v>
      </c>
      <c r="O26" s="1">
        <f t="shared" si="13"/>
        <v>3.2</v>
      </c>
      <c r="P26" s="1">
        <v>4148</v>
      </c>
      <c r="Q26" s="1">
        <f>[1]!HeatTransferArea(I26,D26,0.36,K26)</f>
        <v>0.47123889803846908</v>
      </c>
      <c r="R26" s="1">
        <f>[1]!Convection(I26,M26,1000,9*10^-4,K26,0.6,0.36,7)</f>
        <v>20660.760475301788</v>
      </c>
      <c r="S26" s="1">
        <f t="shared" si="6"/>
        <v>1.1853392655448096</v>
      </c>
      <c r="T26" s="1">
        <f t="shared" si="7"/>
        <v>1.0388962765957447E-5</v>
      </c>
      <c r="U26" s="1">
        <f t="shared" si="8"/>
        <v>4.1555851063829797E-7</v>
      </c>
      <c r="V26" s="1">
        <f t="shared" si="9"/>
        <v>5</v>
      </c>
      <c r="W26" s="1">
        <f t="shared" si="10"/>
        <v>267.093052198892</v>
      </c>
      <c r="X26" s="1">
        <f t="shared" si="11"/>
        <v>3.125</v>
      </c>
      <c r="Y26" s="1">
        <f t="shared" si="12"/>
        <v>0.31920619847241538</v>
      </c>
      <c r="Z26" s="1">
        <v>37.234552440000002</v>
      </c>
    </row>
    <row r="27" spans="1:26" x14ac:dyDescent="0.25">
      <c r="A27" s="1">
        <v>25</v>
      </c>
      <c r="B27" s="1">
        <v>0.5</v>
      </c>
      <c r="C27" s="1">
        <v>5</v>
      </c>
      <c r="D27" s="1">
        <f t="shared" si="0"/>
        <v>0.125</v>
      </c>
      <c r="E27" s="1">
        <v>10</v>
      </c>
      <c r="F27" s="1">
        <v>1</v>
      </c>
      <c r="G27" s="1">
        <v>75</v>
      </c>
      <c r="H27" s="1">
        <v>38.273383639999999</v>
      </c>
      <c r="I27" s="1">
        <f t="shared" si="1"/>
        <v>2.5000000000000001E-2</v>
      </c>
      <c r="J27" s="1">
        <f t="shared" si="2"/>
        <v>0.125</v>
      </c>
      <c r="K27" s="1">
        <f t="shared" si="3"/>
        <v>5.0000000000000001E-4</v>
      </c>
      <c r="L27" s="1">
        <f t="shared" si="4"/>
        <v>0.31023227454199215</v>
      </c>
      <c r="M27" s="1">
        <f t="shared" si="5"/>
        <v>2.0833333333333332E-2</v>
      </c>
      <c r="N27" s="1">
        <v>235</v>
      </c>
      <c r="O27" s="1">
        <f t="shared" si="13"/>
        <v>3.2</v>
      </c>
      <c r="P27" s="1">
        <v>4148</v>
      </c>
      <c r="Q27" s="1">
        <f>[1]!HeatTransferArea(I27,D27,0.36,K27)</f>
        <v>0.47123889803846908</v>
      </c>
      <c r="R27" s="1">
        <f>[1]!Convection(I27,M27,1000,9*10^-4,K27,0.6,0.36,7)</f>
        <v>20660.760475301788</v>
      </c>
      <c r="S27" s="1">
        <f t="shared" si="6"/>
        <v>0.59266963277240481</v>
      </c>
      <c r="T27" s="1">
        <f t="shared" si="7"/>
        <v>2.0777925531914893E-5</v>
      </c>
      <c r="U27" s="1">
        <f t="shared" si="8"/>
        <v>8.3111702127659595E-7</v>
      </c>
      <c r="V27" s="1">
        <f t="shared" si="9"/>
        <v>5</v>
      </c>
      <c r="W27" s="1">
        <f t="shared" si="10"/>
        <v>133.546526099446</v>
      </c>
      <c r="X27" s="1">
        <f t="shared" si="11"/>
        <v>3.125</v>
      </c>
      <c r="Y27" s="1">
        <f t="shared" si="12"/>
        <v>0.1640559707826145</v>
      </c>
      <c r="Z27" s="1">
        <v>38.273383639999999</v>
      </c>
    </row>
    <row r="28" spans="1:26" x14ac:dyDescent="0.25">
      <c r="A28" s="1">
        <v>25</v>
      </c>
      <c r="B28" s="1">
        <v>0.5</v>
      </c>
      <c r="C28" s="1">
        <v>5</v>
      </c>
      <c r="D28" s="1">
        <f t="shared" si="0"/>
        <v>0.125</v>
      </c>
      <c r="E28" s="1">
        <v>10</v>
      </c>
      <c r="F28" s="1">
        <v>1.5</v>
      </c>
      <c r="G28" s="1">
        <v>75</v>
      </c>
      <c r="H28" s="1">
        <v>38.178975800000003</v>
      </c>
      <c r="I28" s="1">
        <f t="shared" si="1"/>
        <v>2.5000000000000001E-2</v>
      </c>
      <c r="J28" s="1">
        <f t="shared" si="2"/>
        <v>0.125</v>
      </c>
      <c r="K28" s="1">
        <f t="shared" si="3"/>
        <v>5.0000000000000001E-4</v>
      </c>
      <c r="L28" s="1">
        <f t="shared" si="4"/>
        <v>0.31023227454199215</v>
      </c>
      <c r="M28" s="1">
        <f t="shared" si="5"/>
        <v>2.0833333333333332E-2</v>
      </c>
      <c r="N28" s="1">
        <v>235</v>
      </c>
      <c r="O28" s="1">
        <f t="shared" si="13"/>
        <v>3.2</v>
      </c>
      <c r="P28" s="1">
        <v>4148</v>
      </c>
      <c r="Q28" s="1">
        <f>[1]!HeatTransferArea(I28,D28,0.36,K28)</f>
        <v>0.47123889803846908</v>
      </c>
      <c r="R28" s="1">
        <f>[1]!Convection(I28,M28,1000,9*10^-4,K28,0.6,0.36,7)</f>
        <v>20660.760475301788</v>
      </c>
      <c r="S28" s="1">
        <f t="shared" si="6"/>
        <v>0.39511308851493648</v>
      </c>
      <c r="T28" s="1">
        <f t="shared" si="7"/>
        <v>3.1166888297872338E-5</v>
      </c>
      <c r="U28" s="1">
        <f t="shared" si="8"/>
        <v>1.2466755319148938E-6</v>
      </c>
      <c r="V28" s="1">
        <f t="shared" si="9"/>
        <v>5</v>
      </c>
      <c r="W28" s="1">
        <f t="shared" si="10"/>
        <v>89.031017399630656</v>
      </c>
      <c r="X28" s="1">
        <f t="shared" si="11"/>
        <v>3.125</v>
      </c>
      <c r="Y28" s="1">
        <f t="shared" si="12"/>
        <v>0.10910086580044616</v>
      </c>
      <c r="Z28" s="1">
        <v>38.178975800000003</v>
      </c>
    </row>
    <row r="29" spans="1:26" x14ac:dyDescent="0.25">
      <c r="A29" s="1">
        <v>30</v>
      </c>
      <c r="B29" s="1">
        <v>0.3</v>
      </c>
      <c r="C29" s="1">
        <v>2.5</v>
      </c>
      <c r="D29" s="1">
        <f t="shared" si="0"/>
        <v>7.4999999999999997E-2</v>
      </c>
      <c r="E29" s="1">
        <v>10</v>
      </c>
      <c r="F29" s="1">
        <v>0.5</v>
      </c>
      <c r="G29" s="1">
        <v>100</v>
      </c>
      <c r="H29" s="1">
        <v>45.945330910000003</v>
      </c>
      <c r="I29" s="1">
        <f t="shared" si="1"/>
        <v>0.03</v>
      </c>
      <c r="J29" s="1">
        <f t="shared" si="2"/>
        <v>7.4999999999999997E-2</v>
      </c>
      <c r="K29" s="1">
        <f t="shared" si="3"/>
        <v>2.9999999999999997E-4</v>
      </c>
      <c r="L29" s="1">
        <f t="shared" si="4"/>
        <v>0.26804068520428115</v>
      </c>
      <c r="M29" s="1">
        <f t="shared" si="5"/>
        <v>2.7777777777777776E-2</v>
      </c>
      <c r="N29" s="1">
        <v>235</v>
      </c>
      <c r="O29" s="1">
        <f t="shared" si="13"/>
        <v>3.2</v>
      </c>
      <c r="P29" s="1">
        <v>4148</v>
      </c>
      <c r="Q29" s="1">
        <f>[1]!HeatTransferArea(I29,D29,0.36,K29)</f>
        <v>0.6785840131753953</v>
      </c>
      <c r="R29" s="1">
        <f>[1]!Convection(I29,M29,1000,9*10^-4,K29,0.6,0.36,7)</f>
        <v>33843.141604529497</v>
      </c>
      <c r="S29" s="1">
        <f t="shared" si="6"/>
        <v>1.829227261643225</v>
      </c>
      <c r="T29" s="1">
        <f t="shared" si="7"/>
        <v>3.7400265957446807E-6</v>
      </c>
      <c r="U29" s="1">
        <f t="shared" si="8"/>
        <v>5.9840425531914893E-7</v>
      </c>
      <c r="V29" s="1">
        <f t="shared" si="9"/>
        <v>2.5</v>
      </c>
      <c r="W29" s="1">
        <f t="shared" si="10"/>
        <v>729.18161280968491</v>
      </c>
      <c r="X29" s="1">
        <f t="shared" si="11"/>
        <v>3.125</v>
      </c>
      <c r="Y29" s="1">
        <f t="shared" si="12"/>
        <v>0.45588239308830769</v>
      </c>
      <c r="Z29" s="1">
        <v>45.945330910000003</v>
      </c>
    </row>
    <row r="30" spans="1:26" x14ac:dyDescent="0.25">
      <c r="A30" s="1">
        <v>30</v>
      </c>
      <c r="B30" s="1">
        <v>0.3</v>
      </c>
      <c r="C30" s="1">
        <v>2.5</v>
      </c>
      <c r="D30" s="1">
        <f t="shared" si="0"/>
        <v>7.4999999999999997E-2</v>
      </c>
      <c r="E30" s="1">
        <v>10</v>
      </c>
      <c r="F30" s="1">
        <v>1</v>
      </c>
      <c r="G30" s="1">
        <v>100</v>
      </c>
      <c r="H30" s="1">
        <v>51.568294539999997</v>
      </c>
      <c r="I30" s="1">
        <f t="shared" si="1"/>
        <v>0.03</v>
      </c>
      <c r="J30" s="1">
        <f t="shared" si="2"/>
        <v>7.4999999999999997E-2</v>
      </c>
      <c r="K30" s="1">
        <f t="shared" si="3"/>
        <v>2.9999999999999997E-4</v>
      </c>
      <c r="L30" s="1">
        <f t="shared" si="4"/>
        <v>0.26804068520428115</v>
      </c>
      <c r="M30" s="1">
        <f t="shared" si="5"/>
        <v>2.7777777777777776E-2</v>
      </c>
      <c r="N30" s="1">
        <v>235</v>
      </c>
      <c r="O30" s="1">
        <f t="shared" si="13"/>
        <v>3.2</v>
      </c>
      <c r="P30" s="1">
        <v>4148</v>
      </c>
      <c r="Q30" s="1">
        <f>[1]!HeatTransferArea(I30,D30,0.36,K30)</f>
        <v>0.6785840131753953</v>
      </c>
      <c r="R30" s="1">
        <f>[1]!Convection(I30,M30,1000,9*10^-4,K30,0.6,0.36,7)</f>
        <v>33843.141604529497</v>
      </c>
      <c r="S30" s="1">
        <f t="shared" si="6"/>
        <v>0.91461363082161251</v>
      </c>
      <c r="T30" s="1">
        <f t="shared" si="7"/>
        <v>7.4800531914893613E-6</v>
      </c>
      <c r="U30" s="1">
        <f t="shared" si="8"/>
        <v>1.1968085106382979E-6</v>
      </c>
      <c r="V30" s="1">
        <f t="shared" si="9"/>
        <v>2.5</v>
      </c>
      <c r="W30" s="1">
        <f t="shared" si="10"/>
        <v>364.59080640484245</v>
      </c>
      <c r="X30" s="1">
        <f t="shared" si="11"/>
        <v>3.125</v>
      </c>
      <c r="Y30" s="1">
        <f t="shared" si="12"/>
        <v>0.25583750358038188</v>
      </c>
      <c r="Z30" s="1">
        <v>51.568294539999997</v>
      </c>
    </row>
    <row r="31" spans="1:26" x14ac:dyDescent="0.25">
      <c r="A31" s="1">
        <v>30</v>
      </c>
      <c r="B31" s="1">
        <v>0.3</v>
      </c>
      <c r="C31" s="1">
        <v>2.5</v>
      </c>
      <c r="D31" s="1">
        <f t="shared" si="0"/>
        <v>7.4999999999999997E-2</v>
      </c>
      <c r="E31" s="1">
        <v>10</v>
      </c>
      <c r="F31" s="1">
        <v>1.5</v>
      </c>
      <c r="G31" s="1">
        <v>100</v>
      </c>
      <c r="H31" s="1">
        <v>51.836331540000003</v>
      </c>
      <c r="I31" s="1">
        <f t="shared" si="1"/>
        <v>0.03</v>
      </c>
      <c r="J31" s="1">
        <f t="shared" si="2"/>
        <v>7.4999999999999997E-2</v>
      </c>
      <c r="K31" s="1">
        <f t="shared" si="3"/>
        <v>2.9999999999999997E-4</v>
      </c>
      <c r="L31" s="1">
        <f t="shared" si="4"/>
        <v>0.26804068520428115</v>
      </c>
      <c r="M31" s="1">
        <f t="shared" si="5"/>
        <v>2.7777777777777776E-2</v>
      </c>
      <c r="N31" s="1">
        <v>235</v>
      </c>
      <c r="O31" s="1">
        <f t="shared" si="13"/>
        <v>3.2</v>
      </c>
      <c r="P31" s="1">
        <v>4148</v>
      </c>
      <c r="Q31" s="1">
        <f>[1]!HeatTransferArea(I31,D31,0.36,K31)</f>
        <v>0.6785840131753953</v>
      </c>
      <c r="R31" s="1">
        <f>[1]!Convection(I31,M31,1000,9*10^-4,K31,0.6,0.36,7)</f>
        <v>33843.141604529497</v>
      </c>
      <c r="S31" s="1">
        <f t="shared" si="6"/>
        <v>0.60974242054774175</v>
      </c>
      <c r="T31" s="1">
        <f t="shared" si="7"/>
        <v>1.1220079787234043E-5</v>
      </c>
      <c r="U31" s="1">
        <f t="shared" si="8"/>
        <v>1.7952127659574469E-6</v>
      </c>
      <c r="V31" s="1">
        <f t="shared" si="9"/>
        <v>2.5</v>
      </c>
      <c r="W31" s="1">
        <f t="shared" si="10"/>
        <v>243.06053760322828</v>
      </c>
      <c r="X31" s="1">
        <f t="shared" si="11"/>
        <v>3.125</v>
      </c>
      <c r="Y31" s="1">
        <f t="shared" si="12"/>
        <v>0.17144484835440796</v>
      </c>
      <c r="Z31" s="1">
        <v>51.836331540000003</v>
      </c>
    </row>
    <row r="32" spans="1:26" x14ac:dyDescent="0.25">
      <c r="A32" s="1">
        <v>30</v>
      </c>
      <c r="B32" s="1">
        <v>0.3</v>
      </c>
      <c r="C32" s="1">
        <v>3.3333333000000001</v>
      </c>
      <c r="D32" s="1">
        <f t="shared" si="0"/>
        <v>9.9999999000000006E-2</v>
      </c>
      <c r="E32" s="1">
        <v>10</v>
      </c>
      <c r="F32" s="1">
        <v>0.5</v>
      </c>
      <c r="G32" s="1">
        <v>100</v>
      </c>
      <c r="H32" s="1">
        <v>49.31204966</v>
      </c>
      <c r="I32" s="1">
        <f t="shared" si="1"/>
        <v>0.03</v>
      </c>
      <c r="J32" s="1">
        <f t="shared" si="2"/>
        <v>9.9999999000000006E-2</v>
      </c>
      <c r="K32" s="1">
        <f t="shared" si="3"/>
        <v>2.9999999999999997E-4</v>
      </c>
      <c r="L32" s="1">
        <f t="shared" si="4"/>
        <v>0.35738757669849908</v>
      </c>
      <c r="M32" s="1">
        <f t="shared" si="5"/>
        <v>2.7777777777777776E-2</v>
      </c>
      <c r="N32" s="1">
        <v>235</v>
      </c>
      <c r="O32" s="1">
        <f t="shared" si="13"/>
        <v>3.2</v>
      </c>
      <c r="P32" s="1">
        <v>4148</v>
      </c>
      <c r="Q32" s="1">
        <f>[1]!HeatTransferArea(I32,D32,0.36,K32)</f>
        <v>0.90477867518607369</v>
      </c>
      <c r="R32" s="1">
        <f>[1]!Convection(I32,M32,1000,9*10^-4,K32,0.6,0.36,7)</f>
        <v>33843.141604529497</v>
      </c>
      <c r="S32" s="1">
        <f t="shared" si="6"/>
        <v>1.3719204599516233</v>
      </c>
      <c r="T32" s="1">
        <f t="shared" si="7"/>
        <v>6.6489360372340447E-6</v>
      </c>
      <c r="U32" s="1">
        <f t="shared" si="8"/>
        <v>5.9840425531914893E-7</v>
      </c>
      <c r="V32" s="1">
        <f t="shared" si="9"/>
        <v>3.3333333000000001</v>
      </c>
      <c r="W32" s="1">
        <f t="shared" si="10"/>
        <v>729.18161280968491</v>
      </c>
      <c r="X32" s="1">
        <f t="shared" si="11"/>
        <v>3.125</v>
      </c>
      <c r="Y32" s="1">
        <f t="shared" si="12"/>
        <v>0.36696594060772691</v>
      </c>
      <c r="Z32" s="1">
        <v>49.31204966</v>
      </c>
    </row>
    <row r="33" spans="1:26" x14ac:dyDescent="0.25">
      <c r="A33" s="1">
        <v>30</v>
      </c>
      <c r="B33" s="1">
        <v>0.3</v>
      </c>
      <c r="C33" s="1">
        <v>3.3333333000000001</v>
      </c>
      <c r="D33" s="1">
        <f t="shared" si="0"/>
        <v>9.9999999000000006E-2</v>
      </c>
      <c r="E33" s="1">
        <v>10</v>
      </c>
      <c r="F33" s="1">
        <v>1</v>
      </c>
      <c r="G33" s="1">
        <v>100</v>
      </c>
      <c r="H33" s="1">
        <v>50.953988719999998</v>
      </c>
      <c r="I33" s="1">
        <f t="shared" si="1"/>
        <v>0.03</v>
      </c>
      <c r="J33" s="1">
        <f t="shared" si="2"/>
        <v>9.9999999000000006E-2</v>
      </c>
      <c r="K33" s="1">
        <f t="shared" si="3"/>
        <v>2.9999999999999997E-4</v>
      </c>
      <c r="L33" s="1">
        <f t="shared" si="4"/>
        <v>0.35738757669849908</v>
      </c>
      <c r="M33" s="1">
        <f t="shared" si="5"/>
        <v>2.7777777777777776E-2</v>
      </c>
      <c r="N33" s="1">
        <v>235</v>
      </c>
      <c r="O33" s="1">
        <f t="shared" si="13"/>
        <v>3.2</v>
      </c>
      <c r="P33" s="1">
        <v>4148</v>
      </c>
      <c r="Q33" s="1">
        <f>[1]!HeatTransferArea(I33,D33,0.36,K33)</f>
        <v>0.90477867518607369</v>
      </c>
      <c r="R33" s="1">
        <f>[1]!Convection(I33,M33,1000,9*10^-4,K33,0.6,0.36,7)</f>
        <v>33843.141604529497</v>
      </c>
      <c r="S33" s="1">
        <f t="shared" si="6"/>
        <v>0.68596022997581163</v>
      </c>
      <c r="T33" s="1">
        <f t="shared" si="7"/>
        <v>1.3297872074468089E-5</v>
      </c>
      <c r="U33" s="1">
        <f t="shared" si="8"/>
        <v>1.1968085106382979E-6</v>
      </c>
      <c r="V33" s="1">
        <f t="shared" si="9"/>
        <v>3.3333333000000001</v>
      </c>
      <c r="W33" s="1">
        <f t="shared" si="10"/>
        <v>364.59080640484245</v>
      </c>
      <c r="X33" s="1">
        <f t="shared" si="11"/>
        <v>3.125</v>
      </c>
      <c r="Y33" s="1">
        <f t="shared" si="12"/>
        <v>0.18959238692442446</v>
      </c>
      <c r="Z33" s="1">
        <v>50.953988719999998</v>
      </c>
    </row>
    <row r="34" spans="1:26" x14ac:dyDescent="0.25">
      <c r="A34" s="1">
        <v>30</v>
      </c>
      <c r="B34" s="1">
        <v>0.3</v>
      </c>
      <c r="C34" s="1">
        <v>3.3333333000000001</v>
      </c>
      <c r="D34" s="1">
        <f t="shared" si="0"/>
        <v>9.9999999000000006E-2</v>
      </c>
      <c r="E34" s="1">
        <v>10</v>
      </c>
      <c r="F34" s="1">
        <v>1.5</v>
      </c>
      <c r="G34" s="1">
        <v>100</v>
      </c>
      <c r="H34" s="1">
        <v>50.78330424</v>
      </c>
      <c r="I34" s="1">
        <f t="shared" si="1"/>
        <v>0.03</v>
      </c>
      <c r="J34" s="1">
        <f t="shared" si="2"/>
        <v>9.9999999000000006E-2</v>
      </c>
      <c r="K34" s="1">
        <f t="shared" si="3"/>
        <v>2.9999999999999997E-4</v>
      </c>
      <c r="L34" s="1">
        <f t="shared" si="4"/>
        <v>0.35738757669849908</v>
      </c>
      <c r="M34" s="1">
        <f t="shared" si="5"/>
        <v>2.7777777777777776E-2</v>
      </c>
      <c r="N34" s="1">
        <v>235</v>
      </c>
      <c r="O34" s="1">
        <f t="shared" si="13"/>
        <v>3.2</v>
      </c>
      <c r="P34" s="1">
        <v>4148</v>
      </c>
      <c r="Q34" s="1">
        <f>[1]!HeatTransferArea(I34,D34,0.36,K34)</f>
        <v>0.90477867518607369</v>
      </c>
      <c r="R34" s="1">
        <f>[1]!Convection(I34,M34,1000,9*10^-4,K34,0.6,0.36,7)</f>
        <v>33843.141604529497</v>
      </c>
      <c r="S34" s="1">
        <f t="shared" si="6"/>
        <v>0.45730681998387446</v>
      </c>
      <c r="T34" s="1">
        <f t="shared" si="7"/>
        <v>1.9946808111702133E-5</v>
      </c>
      <c r="U34" s="1">
        <f t="shared" si="8"/>
        <v>1.7952127659574469E-6</v>
      </c>
      <c r="V34" s="1">
        <f t="shared" si="9"/>
        <v>3.3333333000000001</v>
      </c>
      <c r="W34" s="1">
        <f t="shared" si="10"/>
        <v>243.06053760322831</v>
      </c>
      <c r="X34" s="1">
        <f t="shared" si="11"/>
        <v>3.125</v>
      </c>
      <c r="Y34" s="1">
        <f t="shared" si="12"/>
        <v>0.12597152985318955</v>
      </c>
      <c r="Z34" s="1">
        <v>50.78330424</v>
      </c>
    </row>
    <row r="35" spans="1:26" x14ac:dyDescent="0.25">
      <c r="A35" s="1">
        <v>30</v>
      </c>
      <c r="B35" s="1">
        <v>0.3</v>
      </c>
      <c r="C35" s="1">
        <v>4.1666666000000001</v>
      </c>
      <c r="D35" s="1">
        <f t="shared" si="0"/>
        <v>0.124999998</v>
      </c>
      <c r="E35" s="1">
        <v>10</v>
      </c>
      <c r="F35" s="1">
        <v>0.5</v>
      </c>
      <c r="G35" s="1">
        <v>100</v>
      </c>
      <c r="H35" s="1">
        <v>49.79081979</v>
      </c>
      <c r="I35" s="1">
        <f t="shared" si="1"/>
        <v>0.03</v>
      </c>
      <c r="J35" s="1">
        <f t="shared" si="2"/>
        <v>0.124999998</v>
      </c>
      <c r="K35" s="1">
        <f t="shared" si="3"/>
        <v>2.9999999999999997E-4</v>
      </c>
      <c r="L35" s="1">
        <f t="shared" si="4"/>
        <v>0.446734468192717</v>
      </c>
      <c r="M35" s="1">
        <f t="shared" si="5"/>
        <v>2.7777777777777776E-2</v>
      </c>
      <c r="N35" s="1">
        <v>235</v>
      </c>
      <c r="O35" s="1">
        <f t="shared" si="13"/>
        <v>3.2</v>
      </c>
      <c r="P35" s="1">
        <v>4148</v>
      </c>
      <c r="Q35" s="1">
        <f>[1]!HeatTransferArea(I35,D35,0.36,K35)</f>
        <v>1.1309733371967519</v>
      </c>
      <c r="R35" s="1">
        <f>[1]!Convection(I35,M35,1000,9*10^-4,K35,0.6,0.36,7)</f>
        <v>33843.141604529497</v>
      </c>
      <c r="S35" s="1">
        <f t="shared" si="6"/>
        <v>1.097536374546517</v>
      </c>
      <c r="T35" s="1">
        <f t="shared" si="7"/>
        <v>1.038896243351064E-5</v>
      </c>
      <c r="U35" s="1">
        <f t="shared" si="8"/>
        <v>5.9840425531914893E-7</v>
      </c>
      <c r="V35" s="1">
        <f t="shared" si="9"/>
        <v>4.1666666000000001</v>
      </c>
      <c r="W35" s="1">
        <f t="shared" si="10"/>
        <v>729.18161280968479</v>
      </c>
      <c r="X35" s="1">
        <f t="shared" si="11"/>
        <v>3.125</v>
      </c>
      <c r="Y35" s="1">
        <f t="shared" si="12"/>
        <v>0.29642304878383569</v>
      </c>
      <c r="Z35" s="1">
        <v>49.79081979</v>
      </c>
    </row>
    <row r="36" spans="1:26" x14ac:dyDescent="0.25">
      <c r="A36" s="1">
        <v>30</v>
      </c>
      <c r="B36" s="1">
        <v>0.3</v>
      </c>
      <c r="C36" s="1">
        <v>4.1666666000000001</v>
      </c>
      <c r="D36" s="1">
        <f t="shared" si="0"/>
        <v>0.124999998</v>
      </c>
      <c r="E36" s="1">
        <v>10</v>
      </c>
      <c r="F36" s="1">
        <v>1</v>
      </c>
      <c r="G36" s="1">
        <v>100</v>
      </c>
      <c r="H36" s="1">
        <v>50.104406760000003</v>
      </c>
      <c r="I36" s="1">
        <f t="shared" si="1"/>
        <v>0.03</v>
      </c>
      <c r="J36" s="1">
        <f t="shared" si="2"/>
        <v>0.124999998</v>
      </c>
      <c r="K36" s="1">
        <f t="shared" si="3"/>
        <v>2.9999999999999997E-4</v>
      </c>
      <c r="L36" s="1">
        <f t="shared" si="4"/>
        <v>0.446734468192717</v>
      </c>
      <c r="M36" s="1">
        <f t="shared" si="5"/>
        <v>2.7777777777777776E-2</v>
      </c>
      <c r="N36" s="1">
        <v>235</v>
      </c>
      <c r="O36" s="1">
        <f t="shared" si="13"/>
        <v>3.2</v>
      </c>
      <c r="P36" s="1">
        <v>4148</v>
      </c>
      <c r="Q36" s="1">
        <f>[1]!HeatTransferArea(I36,D36,0.36,K36)</f>
        <v>1.1309733371967519</v>
      </c>
      <c r="R36" s="1">
        <f>[1]!Convection(I36,M36,1000,9*10^-4,K36,0.6,0.36,7)</f>
        <v>33843.141604529497</v>
      </c>
      <c r="S36" s="1">
        <f t="shared" si="6"/>
        <v>0.54876818727325849</v>
      </c>
      <c r="T36" s="1">
        <f t="shared" si="7"/>
        <v>2.077792486702128E-5</v>
      </c>
      <c r="U36" s="1">
        <f t="shared" si="8"/>
        <v>1.1968085106382979E-6</v>
      </c>
      <c r="V36" s="1">
        <f t="shared" si="9"/>
        <v>4.1666666000000001</v>
      </c>
      <c r="W36" s="1">
        <f t="shared" si="10"/>
        <v>364.5908064048424</v>
      </c>
      <c r="X36" s="1">
        <f t="shared" si="11"/>
        <v>3.125</v>
      </c>
      <c r="Y36" s="1">
        <f t="shared" si="12"/>
        <v>0.14914497363113838</v>
      </c>
      <c r="Z36" s="1">
        <v>50.104406760000003</v>
      </c>
    </row>
    <row r="37" spans="1:26" x14ac:dyDescent="0.25">
      <c r="A37" s="1">
        <v>30</v>
      </c>
      <c r="B37" s="1">
        <v>0.3</v>
      </c>
      <c r="C37" s="1">
        <v>4.1666666000000001</v>
      </c>
      <c r="D37" s="1">
        <f t="shared" si="0"/>
        <v>0.124999998</v>
      </c>
      <c r="E37" s="1">
        <v>10</v>
      </c>
      <c r="F37" s="1">
        <v>1.5</v>
      </c>
      <c r="G37" s="1">
        <v>100</v>
      </c>
      <c r="H37" s="1">
        <v>49.751842830000001</v>
      </c>
      <c r="I37" s="1">
        <f t="shared" si="1"/>
        <v>0.03</v>
      </c>
      <c r="J37" s="1">
        <f t="shared" si="2"/>
        <v>0.124999998</v>
      </c>
      <c r="K37" s="1">
        <f t="shared" si="3"/>
        <v>2.9999999999999997E-4</v>
      </c>
      <c r="L37" s="1">
        <f t="shared" si="4"/>
        <v>0.446734468192717</v>
      </c>
      <c r="M37" s="1">
        <f t="shared" si="5"/>
        <v>2.7777777777777776E-2</v>
      </c>
      <c r="N37" s="1">
        <v>235</v>
      </c>
      <c r="O37" s="1">
        <f t="shared" si="13"/>
        <v>3.2</v>
      </c>
      <c r="P37" s="1">
        <v>4148</v>
      </c>
      <c r="Q37" s="1">
        <f>[1]!HeatTransferArea(I37,D37,0.36,K37)</f>
        <v>1.1309733371967519</v>
      </c>
      <c r="R37" s="1">
        <f>[1]!Convection(I37,M37,1000,9*10^-4,K37,0.6,0.36,7)</f>
        <v>33843.141604529497</v>
      </c>
      <c r="S37" s="1">
        <f t="shared" si="6"/>
        <v>0.36584545818217235</v>
      </c>
      <c r="T37" s="1">
        <f t="shared" si="7"/>
        <v>3.1166887300531924E-5</v>
      </c>
      <c r="U37" s="1">
        <f t="shared" si="8"/>
        <v>1.7952127659574469E-6</v>
      </c>
      <c r="V37" s="1">
        <f t="shared" si="9"/>
        <v>4.1666666000000001</v>
      </c>
      <c r="W37" s="1">
        <f t="shared" si="10"/>
        <v>243.06053760322828</v>
      </c>
      <c r="X37" s="1">
        <f t="shared" si="11"/>
        <v>3.125</v>
      </c>
      <c r="Y37" s="1">
        <f t="shared" si="12"/>
        <v>9.8730334872190809E-2</v>
      </c>
      <c r="Z37" s="1">
        <v>49.751842830000001</v>
      </c>
    </row>
    <row r="38" spans="1:26" x14ac:dyDescent="0.25">
      <c r="A38" s="1">
        <v>30</v>
      </c>
      <c r="B38" s="1">
        <v>0.4</v>
      </c>
      <c r="C38" s="1">
        <v>2.5</v>
      </c>
      <c r="D38" s="1">
        <f t="shared" si="0"/>
        <v>7.4999999999999997E-2</v>
      </c>
      <c r="E38" s="1">
        <v>10</v>
      </c>
      <c r="F38" s="1">
        <v>0.5</v>
      </c>
      <c r="G38" s="1">
        <v>100</v>
      </c>
      <c r="H38" s="1">
        <v>45.18005823</v>
      </c>
      <c r="I38" s="1">
        <f t="shared" si="1"/>
        <v>0.03</v>
      </c>
      <c r="J38" s="1">
        <f t="shared" si="2"/>
        <v>7.4999999999999997E-2</v>
      </c>
      <c r="K38" s="1">
        <f t="shared" si="3"/>
        <v>4.0000000000000002E-4</v>
      </c>
      <c r="L38" s="1">
        <f t="shared" si="4"/>
        <v>0.26804068520428115</v>
      </c>
      <c r="M38" s="1">
        <f t="shared" si="5"/>
        <v>2.7777777777777776E-2</v>
      </c>
      <c r="N38" s="1">
        <v>235</v>
      </c>
      <c r="O38" s="1">
        <f t="shared" si="13"/>
        <v>3.2</v>
      </c>
      <c r="P38" s="1">
        <v>4148</v>
      </c>
      <c r="Q38" s="1">
        <f>[1]!HeatTransferArea(I38,D38,0.36,K38)</f>
        <v>0.50893800988154647</v>
      </c>
      <c r="R38" s="1">
        <f>[1]!Convection(I38,M38,1000,9*10^-4,K38,0.6,0.36,7)</f>
        <v>25579.993831092168</v>
      </c>
      <c r="S38" s="1">
        <f t="shared" si="6"/>
        <v>1.829227261643225</v>
      </c>
      <c r="T38" s="1">
        <f t="shared" si="7"/>
        <v>3.7400265957446807E-6</v>
      </c>
      <c r="U38" s="1">
        <f t="shared" si="8"/>
        <v>5.9840425531914893E-7</v>
      </c>
      <c r="V38" s="1">
        <f t="shared" si="9"/>
        <v>2.5</v>
      </c>
      <c r="W38" s="1">
        <f t="shared" si="10"/>
        <v>413.35837055360355</v>
      </c>
      <c r="X38" s="1">
        <f t="shared" si="11"/>
        <v>3.125</v>
      </c>
      <c r="Y38" s="1">
        <f t="shared" si="12"/>
        <v>0.44828914402874831</v>
      </c>
      <c r="Z38" s="1">
        <v>45.18005823</v>
      </c>
    </row>
    <row r="39" spans="1:26" x14ac:dyDescent="0.25">
      <c r="A39" s="1">
        <v>30</v>
      </c>
      <c r="B39" s="1">
        <v>0.4</v>
      </c>
      <c r="C39" s="1">
        <v>2.5</v>
      </c>
      <c r="D39" s="1">
        <f t="shared" si="0"/>
        <v>7.4999999999999997E-2</v>
      </c>
      <c r="E39" s="1">
        <v>10</v>
      </c>
      <c r="F39" s="1">
        <v>1</v>
      </c>
      <c r="G39" s="1">
        <v>100</v>
      </c>
      <c r="H39" s="1">
        <v>51.651993689999998</v>
      </c>
      <c r="I39" s="1">
        <f t="shared" si="1"/>
        <v>0.03</v>
      </c>
      <c r="J39" s="1">
        <f t="shared" si="2"/>
        <v>7.4999999999999997E-2</v>
      </c>
      <c r="K39" s="1">
        <f t="shared" si="3"/>
        <v>4.0000000000000002E-4</v>
      </c>
      <c r="L39" s="1">
        <f t="shared" si="4"/>
        <v>0.26804068520428115</v>
      </c>
      <c r="M39" s="1">
        <f t="shared" si="5"/>
        <v>2.7777777777777776E-2</v>
      </c>
      <c r="N39" s="1">
        <v>235</v>
      </c>
      <c r="O39" s="1">
        <f t="shared" si="13"/>
        <v>3.2</v>
      </c>
      <c r="P39" s="1">
        <v>4148</v>
      </c>
      <c r="Q39" s="1">
        <f>[1]!HeatTransferArea(I39,D39,0.36,K39)</f>
        <v>0.50893800988154647</v>
      </c>
      <c r="R39" s="1">
        <f>[1]!Convection(I39,M39,1000,9*10^-4,K39,0.6,0.36,7)</f>
        <v>25579.993831092168</v>
      </c>
      <c r="S39" s="1">
        <f t="shared" si="6"/>
        <v>0.91461363082161251</v>
      </c>
      <c r="T39" s="1">
        <f t="shared" si="7"/>
        <v>7.4800531914893613E-6</v>
      </c>
      <c r="U39" s="1">
        <f t="shared" si="8"/>
        <v>1.1968085106382979E-6</v>
      </c>
      <c r="V39" s="1">
        <f t="shared" si="9"/>
        <v>2.5</v>
      </c>
      <c r="W39" s="1">
        <f t="shared" si="10"/>
        <v>206.67918527680177</v>
      </c>
      <c r="X39" s="1">
        <f t="shared" si="11"/>
        <v>3.125</v>
      </c>
      <c r="Y39" s="1">
        <f t="shared" si="12"/>
        <v>0.25625274674052151</v>
      </c>
      <c r="Z39" s="1">
        <v>51.651993689999998</v>
      </c>
    </row>
    <row r="40" spans="1:26" x14ac:dyDescent="0.25">
      <c r="A40" s="1">
        <v>30</v>
      </c>
      <c r="B40" s="1">
        <v>0.4</v>
      </c>
      <c r="C40" s="1">
        <v>2.5</v>
      </c>
      <c r="D40" s="1">
        <f t="shared" si="0"/>
        <v>7.4999999999999997E-2</v>
      </c>
      <c r="E40" s="1">
        <v>10</v>
      </c>
      <c r="F40" s="1">
        <v>1.5</v>
      </c>
      <c r="G40" s="1">
        <v>100</v>
      </c>
      <c r="H40" s="1">
        <v>52.157697689999999</v>
      </c>
      <c r="I40" s="1">
        <f t="shared" si="1"/>
        <v>0.03</v>
      </c>
      <c r="J40" s="1">
        <f t="shared" si="2"/>
        <v>7.4999999999999997E-2</v>
      </c>
      <c r="K40" s="1">
        <f t="shared" si="3"/>
        <v>4.0000000000000002E-4</v>
      </c>
      <c r="L40" s="1">
        <f t="shared" si="4"/>
        <v>0.26804068520428115</v>
      </c>
      <c r="M40" s="1">
        <f t="shared" si="5"/>
        <v>2.7777777777777776E-2</v>
      </c>
      <c r="N40" s="1">
        <v>235</v>
      </c>
      <c r="O40" s="1">
        <f t="shared" si="13"/>
        <v>3.2</v>
      </c>
      <c r="P40" s="1">
        <v>4148</v>
      </c>
      <c r="Q40" s="1">
        <f>[1]!HeatTransferArea(I40,D40,0.36,K40)</f>
        <v>0.50893800988154647</v>
      </c>
      <c r="R40" s="1">
        <f>[1]!Convection(I40,M40,1000,9*10^-4,K40,0.6,0.36,7)</f>
        <v>25579.993831092168</v>
      </c>
      <c r="S40" s="1">
        <f t="shared" si="6"/>
        <v>0.60974242054774175</v>
      </c>
      <c r="T40" s="1">
        <f t="shared" si="7"/>
        <v>1.1220079787234043E-5</v>
      </c>
      <c r="U40" s="1">
        <f t="shared" si="8"/>
        <v>1.7952127659574469E-6</v>
      </c>
      <c r="V40" s="1">
        <f t="shared" si="9"/>
        <v>2.5</v>
      </c>
      <c r="W40" s="1">
        <f t="shared" si="10"/>
        <v>137.78612351786785</v>
      </c>
      <c r="X40" s="1">
        <f t="shared" si="11"/>
        <v>3.125</v>
      </c>
      <c r="Y40" s="1">
        <f t="shared" si="12"/>
        <v>0.17250774322401255</v>
      </c>
      <c r="Z40" s="1">
        <v>52.157697689999999</v>
      </c>
    </row>
    <row r="41" spans="1:26" x14ac:dyDescent="0.25">
      <c r="A41" s="1">
        <v>30</v>
      </c>
      <c r="B41" s="1">
        <v>0.4</v>
      </c>
      <c r="C41" s="1">
        <v>3.3333333000000001</v>
      </c>
      <c r="D41" s="1">
        <f t="shared" si="0"/>
        <v>9.9999999000000006E-2</v>
      </c>
      <c r="E41" s="1">
        <v>10</v>
      </c>
      <c r="F41" s="1">
        <v>0.5</v>
      </c>
      <c r="G41" s="1">
        <v>100</v>
      </c>
      <c r="H41" s="1">
        <v>49.441919679999998</v>
      </c>
      <c r="I41" s="1">
        <f t="shared" si="1"/>
        <v>0.03</v>
      </c>
      <c r="J41" s="1">
        <f t="shared" si="2"/>
        <v>9.9999999000000006E-2</v>
      </c>
      <c r="K41" s="1">
        <f t="shared" si="3"/>
        <v>4.0000000000000002E-4</v>
      </c>
      <c r="L41" s="1">
        <f t="shared" si="4"/>
        <v>0.35738757669849908</v>
      </c>
      <c r="M41" s="1">
        <f t="shared" si="5"/>
        <v>2.7777777777777776E-2</v>
      </c>
      <c r="N41" s="1">
        <v>235</v>
      </c>
      <c r="O41" s="1">
        <f t="shared" si="13"/>
        <v>3.2</v>
      </c>
      <c r="P41" s="1">
        <v>4148</v>
      </c>
      <c r="Q41" s="1">
        <f>[1]!HeatTransferArea(I41,D41,0.36,K41)</f>
        <v>0.67858400638955518</v>
      </c>
      <c r="R41" s="1">
        <f>[1]!Convection(I41,M41,1000,9*10^-4,K41,0.6,0.36,7)</f>
        <v>25579.993831092168</v>
      </c>
      <c r="S41" s="1">
        <f t="shared" si="6"/>
        <v>1.3719204599516233</v>
      </c>
      <c r="T41" s="1">
        <f t="shared" si="7"/>
        <v>6.6489360372340447E-6</v>
      </c>
      <c r="U41" s="1">
        <f t="shared" si="8"/>
        <v>5.9840425531914893E-7</v>
      </c>
      <c r="V41" s="1">
        <f t="shared" si="9"/>
        <v>3.3333333000000001</v>
      </c>
      <c r="W41" s="1">
        <f t="shared" si="10"/>
        <v>413.35837055360355</v>
      </c>
      <c r="X41" s="1">
        <f t="shared" si="11"/>
        <v>3.125</v>
      </c>
      <c r="Y41" s="1">
        <f t="shared" si="12"/>
        <v>0.36793239554875323</v>
      </c>
      <c r="Z41" s="1">
        <v>49.441919679999998</v>
      </c>
    </row>
    <row r="42" spans="1:26" x14ac:dyDescent="0.25">
      <c r="A42" s="1">
        <v>30</v>
      </c>
      <c r="B42" s="1">
        <v>0.4</v>
      </c>
      <c r="C42" s="1">
        <v>3.3333333000000001</v>
      </c>
      <c r="D42" s="1">
        <f t="shared" si="0"/>
        <v>9.9999999000000006E-2</v>
      </c>
      <c r="E42" s="1">
        <v>10</v>
      </c>
      <c r="F42" s="1">
        <v>1</v>
      </c>
      <c r="G42" s="1">
        <v>100</v>
      </c>
      <c r="H42" s="1">
        <v>51.58034335</v>
      </c>
      <c r="I42" s="1">
        <f t="shared" si="1"/>
        <v>0.03</v>
      </c>
      <c r="J42" s="1">
        <f t="shared" si="2"/>
        <v>9.9999999000000006E-2</v>
      </c>
      <c r="K42" s="1">
        <f t="shared" si="3"/>
        <v>4.0000000000000002E-4</v>
      </c>
      <c r="L42" s="1">
        <f t="shared" si="4"/>
        <v>0.35738757669849908</v>
      </c>
      <c r="M42" s="1">
        <f t="shared" si="5"/>
        <v>2.7777777777777776E-2</v>
      </c>
      <c r="N42" s="1">
        <v>235</v>
      </c>
      <c r="O42" s="1">
        <f t="shared" si="13"/>
        <v>3.2</v>
      </c>
      <c r="P42" s="1">
        <v>4148</v>
      </c>
      <c r="Q42" s="1">
        <f>[1]!HeatTransferArea(I42,D42,0.36,K42)</f>
        <v>0.67858400638955518</v>
      </c>
      <c r="R42" s="1">
        <f>[1]!Convection(I42,M42,1000,9*10^-4,K42,0.6,0.36,7)</f>
        <v>25579.993831092168</v>
      </c>
      <c r="S42" s="1">
        <f t="shared" si="6"/>
        <v>0.68596022997581163</v>
      </c>
      <c r="T42" s="1">
        <f t="shared" si="7"/>
        <v>1.3297872074468089E-5</v>
      </c>
      <c r="U42" s="1">
        <f t="shared" si="8"/>
        <v>1.1968085106382979E-6</v>
      </c>
      <c r="V42" s="1">
        <f t="shared" si="9"/>
        <v>3.3333333000000001</v>
      </c>
      <c r="W42" s="1">
        <f t="shared" si="10"/>
        <v>206.67918527680177</v>
      </c>
      <c r="X42" s="1">
        <f t="shared" si="11"/>
        <v>3.125</v>
      </c>
      <c r="Y42" s="1">
        <f t="shared" si="12"/>
        <v>0.19192296147503374</v>
      </c>
      <c r="Z42" s="1">
        <v>51.58034335</v>
      </c>
    </row>
    <row r="43" spans="1:26" x14ac:dyDescent="0.25">
      <c r="A43" s="1">
        <v>30</v>
      </c>
      <c r="B43" s="1">
        <v>0.4</v>
      </c>
      <c r="C43" s="1">
        <v>3.3333333000000001</v>
      </c>
      <c r="D43" s="1">
        <f t="shared" si="0"/>
        <v>9.9999999000000006E-2</v>
      </c>
      <c r="E43" s="1">
        <v>10</v>
      </c>
      <c r="F43" s="1">
        <v>1.5</v>
      </c>
      <c r="G43" s="1">
        <v>100</v>
      </c>
      <c r="H43" s="1">
        <v>51.551284850000002</v>
      </c>
      <c r="I43" s="1">
        <f t="shared" si="1"/>
        <v>0.03</v>
      </c>
      <c r="J43" s="1">
        <f t="shared" si="2"/>
        <v>9.9999999000000006E-2</v>
      </c>
      <c r="K43" s="1">
        <f t="shared" si="3"/>
        <v>4.0000000000000002E-4</v>
      </c>
      <c r="L43" s="1">
        <f t="shared" si="4"/>
        <v>0.35738757669849908</v>
      </c>
      <c r="M43" s="1">
        <f t="shared" si="5"/>
        <v>2.7777777777777776E-2</v>
      </c>
      <c r="N43" s="1">
        <v>235</v>
      </c>
      <c r="O43" s="1">
        <f t="shared" si="13"/>
        <v>3.2</v>
      </c>
      <c r="P43" s="1">
        <v>4148</v>
      </c>
      <c r="Q43" s="1">
        <f>[1]!HeatTransferArea(I43,D43,0.36,K43)</f>
        <v>0.67858400638955518</v>
      </c>
      <c r="R43" s="1">
        <f>[1]!Convection(I43,M43,1000,9*10^-4,K43,0.6,0.36,7)</f>
        <v>25579.993831092168</v>
      </c>
      <c r="S43" s="1">
        <f t="shared" si="6"/>
        <v>0.45730681998387446</v>
      </c>
      <c r="T43" s="1">
        <f t="shared" si="7"/>
        <v>1.9946808111702133E-5</v>
      </c>
      <c r="U43" s="1">
        <f t="shared" si="8"/>
        <v>1.7952127659574469E-6</v>
      </c>
      <c r="V43" s="1">
        <f t="shared" si="9"/>
        <v>3.3333333000000001</v>
      </c>
      <c r="W43" s="1">
        <f t="shared" si="10"/>
        <v>137.78612351786785</v>
      </c>
      <c r="X43" s="1">
        <f t="shared" si="11"/>
        <v>3.125</v>
      </c>
      <c r="Y43" s="1">
        <f t="shared" si="12"/>
        <v>0.12787655934638831</v>
      </c>
      <c r="Z43" s="1">
        <v>51.551284850000002</v>
      </c>
    </row>
    <row r="44" spans="1:26" x14ac:dyDescent="0.25">
      <c r="A44" s="1">
        <v>30</v>
      </c>
      <c r="B44" s="1">
        <v>0.4</v>
      </c>
      <c r="C44" s="1">
        <v>4.1666666000000001</v>
      </c>
      <c r="D44" s="1">
        <f t="shared" si="0"/>
        <v>0.124999998</v>
      </c>
      <c r="E44" s="1">
        <v>10</v>
      </c>
      <c r="F44" s="1">
        <v>0.5</v>
      </c>
      <c r="G44" s="1">
        <v>100</v>
      </c>
      <c r="H44" s="1">
        <v>50.425910039999998</v>
      </c>
      <c r="I44" s="1">
        <f t="shared" si="1"/>
        <v>0.03</v>
      </c>
      <c r="J44" s="1">
        <f t="shared" si="2"/>
        <v>0.124999998</v>
      </c>
      <c r="K44" s="1">
        <f t="shared" si="3"/>
        <v>4.0000000000000002E-4</v>
      </c>
      <c r="L44" s="1">
        <f t="shared" si="4"/>
        <v>0.446734468192717</v>
      </c>
      <c r="M44" s="1">
        <f t="shared" si="5"/>
        <v>2.7777777777777776E-2</v>
      </c>
      <c r="N44" s="1">
        <v>235</v>
      </c>
      <c r="O44" s="1">
        <f t="shared" si="13"/>
        <v>3.2</v>
      </c>
      <c r="P44" s="1">
        <v>4148</v>
      </c>
      <c r="Q44" s="1">
        <f>[1]!HeatTransferArea(I44,D44,0.36,K44)</f>
        <v>0.84823000289756378</v>
      </c>
      <c r="R44" s="1">
        <f>[1]!Convection(I44,M44,1000,9*10^-4,K44,0.6,0.36,7)</f>
        <v>25579.993831092168</v>
      </c>
      <c r="S44" s="1">
        <f t="shared" si="6"/>
        <v>1.097536374546517</v>
      </c>
      <c r="T44" s="1">
        <f t="shared" si="7"/>
        <v>1.038896243351064E-5</v>
      </c>
      <c r="U44" s="1">
        <f t="shared" si="8"/>
        <v>5.9840425531914893E-7</v>
      </c>
      <c r="V44" s="1">
        <f t="shared" si="9"/>
        <v>4.1666666000000001</v>
      </c>
      <c r="W44" s="1">
        <f t="shared" si="10"/>
        <v>413.35837055360355</v>
      </c>
      <c r="X44" s="1">
        <f t="shared" si="11"/>
        <v>3.125</v>
      </c>
      <c r="Y44" s="1">
        <f t="shared" si="12"/>
        <v>0.30020397444346292</v>
      </c>
      <c r="Z44" s="1">
        <v>50.425910039999998</v>
      </c>
    </row>
    <row r="45" spans="1:26" x14ac:dyDescent="0.25">
      <c r="A45" s="1">
        <v>30</v>
      </c>
      <c r="B45" s="1">
        <v>0.4</v>
      </c>
      <c r="C45" s="1">
        <v>4.1666666000000001</v>
      </c>
      <c r="D45" s="1">
        <f t="shared" si="0"/>
        <v>0.124999998</v>
      </c>
      <c r="E45" s="1">
        <v>10</v>
      </c>
      <c r="F45" s="1">
        <v>1</v>
      </c>
      <c r="G45" s="1">
        <v>100</v>
      </c>
      <c r="H45" s="1">
        <v>51.097252169999997</v>
      </c>
      <c r="I45" s="1">
        <f t="shared" si="1"/>
        <v>0.03</v>
      </c>
      <c r="J45" s="1">
        <f t="shared" si="2"/>
        <v>0.124999998</v>
      </c>
      <c r="K45" s="1">
        <f t="shared" si="3"/>
        <v>4.0000000000000002E-4</v>
      </c>
      <c r="L45" s="1">
        <f t="shared" si="4"/>
        <v>0.446734468192717</v>
      </c>
      <c r="M45" s="1">
        <f t="shared" si="5"/>
        <v>2.7777777777777776E-2</v>
      </c>
      <c r="N45" s="1">
        <v>235</v>
      </c>
      <c r="O45" s="1">
        <f t="shared" si="13"/>
        <v>3.2</v>
      </c>
      <c r="P45" s="1">
        <v>4148</v>
      </c>
      <c r="Q45" s="1">
        <f>[1]!HeatTransferArea(I45,D45,0.36,K45)</f>
        <v>0.84823000289756378</v>
      </c>
      <c r="R45" s="1">
        <f>[1]!Convection(I45,M45,1000,9*10^-4,K45,0.6,0.36,7)</f>
        <v>25579.993831092168</v>
      </c>
      <c r="S45" s="1">
        <f t="shared" si="6"/>
        <v>0.54876818727325849</v>
      </c>
      <c r="T45" s="1">
        <f t="shared" si="7"/>
        <v>2.077792486702128E-5</v>
      </c>
      <c r="U45" s="1">
        <f t="shared" si="8"/>
        <v>1.1968085106382979E-6</v>
      </c>
      <c r="V45" s="1">
        <f t="shared" si="9"/>
        <v>4.1666666000000001</v>
      </c>
      <c r="W45" s="1">
        <f t="shared" si="10"/>
        <v>206.67918527680177</v>
      </c>
      <c r="X45" s="1">
        <f t="shared" si="11"/>
        <v>3.125</v>
      </c>
      <c r="Y45" s="1">
        <f t="shared" si="12"/>
        <v>0.15210036043381103</v>
      </c>
      <c r="Z45" s="1">
        <v>51.097252169999997</v>
      </c>
    </row>
    <row r="46" spans="1:26" x14ac:dyDescent="0.25">
      <c r="A46" s="1">
        <v>30</v>
      </c>
      <c r="B46" s="1">
        <v>0.4</v>
      </c>
      <c r="C46" s="1">
        <v>4.1666666000000001</v>
      </c>
      <c r="D46" s="1">
        <f t="shared" si="0"/>
        <v>0.124999998</v>
      </c>
      <c r="E46" s="1">
        <v>10</v>
      </c>
      <c r="F46" s="1">
        <v>1.5</v>
      </c>
      <c r="G46" s="1">
        <v>100</v>
      </c>
      <c r="H46" s="1">
        <v>50.845328539999997</v>
      </c>
      <c r="I46" s="1">
        <f t="shared" si="1"/>
        <v>0.03</v>
      </c>
      <c r="J46" s="1">
        <f t="shared" si="2"/>
        <v>0.124999998</v>
      </c>
      <c r="K46" s="1">
        <f t="shared" si="3"/>
        <v>4.0000000000000002E-4</v>
      </c>
      <c r="L46" s="1">
        <f t="shared" si="4"/>
        <v>0.446734468192717</v>
      </c>
      <c r="M46" s="1">
        <f t="shared" si="5"/>
        <v>2.7777777777777776E-2</v>
      </c>
      <c r="N46" s="1">
        <v>235</v>
      </c>
      <c r="O46" s="1">
        <f t="shared" si="13"/>
        <v>3.2</v>
      </c>
      <c r="P46" s="1">
        <v>4148</v>
      </c>
      <c r="Q46" s="1">
        <f>[1]!HeatTransferArea(I46,D46,0.36,K46)</f>
        <v>0.84823000289756378</v>
      </c>
      <c r="R46" s="1">
        <f>[1]!Convection(I46,M46,1000,9*10^-4,K46,0.6,0.36,7)</f>
        <v>25579.993831092168</v>
      </c>
      <c r="S46" s="1">
        <f t="shared" si="6"/>
        <v>0.36584545818217235</v>
      </c>
      <c r="T46" s="1">
        <f t="shared" si="7"/>
        <v>3.1166887300531924E-5</v>
      </c>
      <c r="U46" s="1">
        <f t="shared" si="8"/>
        <v>1.7952127659574469E-6</v>
      </c>
      <c r="V46" s="1">
        <f t="shared" si="9"/>
        <v>4.1666666000000001</v>
      </c>
      <c r="W46" s="1">
        <f t="shared" si="10"/>
        <v>137.78612351786785</v>
      </c>
      <c r="X46" s="1">
        <f t="shared" si="11"/>
        <v>3.125</v>
      </c>
      <c r="Y46" s="1">
        <f t="shared" si="12"/>
        <v>0.10090030897134429</v>
      </c>
      <c r="Z46" s="1">
        <v>50.845328539999997</v>
      </c>
    </row>
    <row r="47" spans="1:26" x14ac:dyDescent="0.25">
      <c r="A47" s="1">
        <v>30</v>
      </c>
      <c r="B47" s="1">
        <v>0.5</v>
      </c>
      <c r="C47" s="1">
        <v>2.5</v>
      </c>
      <c r="D47" s="1">
        <f t="shared" si="0"/>
        <v>7.4999999999999997E-2</v>
      </c>
      <c r="E47" s="1">
        <v>10</v>
      </c>
      <c r="F47" s="1">
        <v>0.5</v>
      </c>
      <c r="G47" s="1">
        <v>100</v>
      </c>
      <c r="H47" s="1">
        <v>43.816696069999999</v>
      </c>
      <c r="I47" s="1">
        <f t="shared" si="1"/>
        <v>0.03</v>
      </c>
      <c r="J47" s="1">
        <f t="shared" si="2"/>
        <v>7.4999999999999997E-2</v>
      </c>
      <c r="K47" s="1">
        <f t="shared" si="3"/>
        <v>5.0000000000000001E-4</v>
      </c>
      <c r="L47" s="1">
        <f t="shared" si="4"/>
        <v>0.26804068520428115</v>
      </c>
      <c r="M47" s="1">
        <f t="shared" si="5"/>
        <v>2.7777777777777776E-2</v>
      </c>
      <c r="N47" s="1">
        <v>235</v>
      </c>
      <c r="O47" s="1">
        <f t="shared" si="13"/>
        <v>3.2</v>
      </c>
      <c r="P47" s="1">
        <v>4148</v>
      </c>
      <c r="Q47" s="1">
        <f>[1]!HeatTransferArea(I47,D47,0.36,K47)</f>
        <v>0.40715040790523715</v>
      </c>
      <c r="R47" s="1">
        <f>[1]!Convection(I47,M47,1000,9*10^-4,K47,0.6,0.36,7)</f>
        <v>20606.874953993363</v>
      </c>
      <c r="S47" s="1">
        <f t="shared" si="6"/>
        <v>1.829227261643225</v>
      </c>
      <c r="T47" s="1">
        <f t="shared" si="7"/>
        <v>3.7400265957446807E-6</v>
      </c>
      <c r="U47" s="1">
        <f t="shared" si="8"/>
        <v>5.9840425531914893E-7</v>
      </c>
      <c r="V47" s="1">
        <f t="shared" si="9"/>
        <v>2.5</v>
      </c>
      <c r="W47" s="1">
        <f t="shared" si="10"/>
        <v>266.39644432848951</v>
      </c>
      <c r="X47" s="1">
        <f t="shared" si="11"/>
        <v>3.125</v>
      </c>
      <c r="Y47" s="1">
        <f t="shared" si="12"/>
        <v>0.43476148426797012</v>
      </c>
      <c r="Z47" s="1">
        <v>43.816696069999999</v>
      </c>
    </row>
    <row r="48" spans="1:26" x14ac:dyDescent="0.25">
      <c r="A48" s="1">
        <v>30</v>
      </c>
      <c r="B48" s="1">
        <v>0.5</v>
      </c>
      <c r="C48" s="1">
        <v>2.5</v>
      </c>
      <c r="D48" s="1">
        <f t="shared" si="0"/>
        <v>7.4999999999999997E-2</v>
      </c>
      <c r="E48" s="1">
        <v>10</v>
      </c>
      <c r="F48" s="1">
        <v>1</v>
      </c>
      <c r="G48" s="1">
        <v>100</v>
      </c>
      <c r="H48" s="1">
        <v>51.103395550000002</v>
      </c>
      <c r="I48" s="1">
        <f t="shared" si="1"/>
        <v>0.03</v>
      </c>
      <c r="J48" s="1">
        <f t="shared" si="2"/>
        <v>7.4999999999999997E-2</v>
      </c>
      <c r="K48" s="1">
        <f t="shared" si="3"/>
        <v>5.0000000000000001E-4</v>
      </c>
      <c r="L48" s="1">
        <f t="shared" si="4"/>
        <v>0.26804068520428115</v>
      </c>
      <c r="M48" s="1">
        <f t="shared" si="5"/>
        <v>2.7777777777777776E-2</v>
      </c>
      <c r="N48" s="1">
        <v>235</v>
      </c>
      <c r="O48" s="1">
        <f t="shared" si="13"/>
        <v>3.2</v>
      </c>
      <c r="P48" s="1">
        <v>4148</v>
      </c>
      <c r="Q48" s="1">
        <f>[1]!HeatTransferArea(I48,D48,0.36,K48)</f>
        <v>0.40715040790523715</v>
      </c>
      <c r="R48" s="1">
        <f>[1]!Convection(I48,M48,1000,9*10^-4,K48,0.6,0.36,7)</f>
        <v>20606.874953993363</v>
      </c>
      <c r="S48" s="1">
        <f t="shared" si="6"/>
        <v>0.91461363082161251</v>
      </c>
      <c r="T48" s="1">
        <f t="shared" si="7"/>
        <v>7.4800531914893613E-6</v>
      </c>
      <c r="U48" s="1">
        <f t="shared" si="8"/>
        <v>1.1968085106382979E-6</v>
      </c>
      <c r="V48" s="1">
        <f t="shared" si="9"/>
        <v>2.5</v>
      </c>
      <c r="W48" s="1">
        <f t="shared" si="10"/>
        <v>133.19822216424475</v>
      </c>
      <c r="X48" s="1">
        <f t="shared" si="11"/>
        <v>3.125</v>
      </c>
      <c r="Y48" s="1">
        <f t="shared" si="12"/>
        <v>0.25353107483226062</v>
      </c>
      <c r="Z48" s="1">
        <v>51.103395550000002</v>
      </c>
    </row>
    <row r="49" spans="1:26" x14ac:dyDescent="0.25">
      <c r="A49" s="1">
        <v>30</v>
      </c>
      <c r="B49" s="1">
        <v>0.5</v>
      </c>
      <c r="C49" s="1">
        <v>2.5</v>
      </c>
      <c r="D49" s="1">
        <f t="shared" si="0"/>
        <v>7.4999999999999997E-2</v>
      </c>
      <c r="E49" s="1">
        <v>10</v>
      </c>
      <c r="F49" s="1">
        <v>1.5</v>
      </c>
      <c r="G49" s="1">
        <v>100</v>
      </c>
      <c r="H49" s="1">
        <v>51.800515959999998</v>
      </c>
      <c r="I49" s="1">
        <f t="shared" si="1"/>
        <v>0.03</v>
      </c>
      <c r="J49" s="1">
        <f t="shared" si="2"/>
        <v>7.4999999999999997E-2</v>
      </c>
      <c r="K49" s="1">
        <f t="shared" si="3"/>
        <v>5.0000000000000001E-4</v>
      </c>
      <c r="L49" s="1">
        <f t="shared" si="4"/>
        <v>0.26804068520428115</v>
      </c>
      <c r="M49" s="1">
        <f t="shared" si="5"/>
        <v>2.7777777777777776E-2</v>
      </c>
      <c r="N49" s="1">
        <v>235</v>
      </c>
      <c r="O49" s="1">
        <f t="shared" si="13"/>
        <v>3.2</v>
      </c>
      <c r="P49" s="1">
        <v>4148</v>
      </c>
      <c r="Q49" s="1">
        <f>[1]!HeatTransferArea(I49,D49,0.36,K49)</f>
        <v>0.40715040790523715</v>
      </c>
      <c r="R49" s="1">
        <f>[1]!Convection(I49,M49,1000,9*10^-4,K49,0.6,0.36,7)</f>
        <v>20606.874953993363</v>
      </c>
      <c r="S49" s="1">
        <f t="shared" si="6"/>
        <v>0.60974242054774175</v>
      </c>
      <c r="T49" s="1">
        <f t="shared" si="7"/>
        <v>1.1220079787234043E-5</v>
      </c>
      <c r="U49" s="1">
        <f t="shared" si="8"/>
        <v>1.7952127659574469E-6</v>
      </c>
      <c r="V49" s="1">
        <f t="shared" si="9"/>
        <v>2.5</v>
      </c>
      <c r="W49" s="1">
        <f t="shared" si="10"/>
        <v>88.798814776163169</v>
      </c>
      <c r="X49" s="1">
        <f t="shared" si="11"/>
        <v>3.125</v>
      </c>
      <c r="Y49" s="1">
        <f t="shared" si="12"/>
        <v>0.17132639096169899</v>
      </c>
      <c r="Z49" s="1">
        <v>51.800515959999998</v>
      </c>
    </row>
    <row r="50" spans="1:26" x14ac:dyDescent="0.25">
      <c r="A50" s="1">
        <v>30</v>
      </c>
      <c r="B50" s="1">
        <v>0.5</v>
      </c>
      <c r="C50" s="1">
        <v>3.3333333000000001</v>
      </c>
      <c r="D50" s="1">
        <f t="shared" si="0"/>
        <v>9.9999999000000006E-2</v>
      </c>
      <c r="E50" s="1">
        <v>10</v>
      </c>
      <c r="F50" s="1">
        <v>0.5</v>
      </c>
      <c r="G50" s="1">
        <v>100</v>
      </c>
      <c r="H50" s="1">
        <v>48.982912630000001</v>
      </c>
      <c r="I50" s="1">
        <f t="shared" si="1"/>
        <v>0.03</v>
      </c>
      <c r="J50" s="1">
        <f t="shared" si="2"/>
        <v>9.9999999000000006E-2</v>
      </c>
      <c r="K50" s="1">
        <f t="shared" si="3"/>
        <v>5.0000000000000001E-4</v>
      </c>
      <c r="L50" s="1">
        <f t="shared" si="4"/>
        <v>0.35738757669849908</v>
      </c>
      <c r="M50" s="1">
        <f t="shared" si="5"/>
        <v>2.7777777777777776E-2</v>
      </c>
      <c r="N50" s="1">
        <v>235</v>
      </c>
      <c r="O50" s="1">
        <f t="shared" si="13"/>
        <v>3.2</v>
      </c>
      <c r="P50" s="1">
        <v>4148</v>
      </c>
      <c r="Q50" s="1">
        <f>[1]!HeatTransferArea(I50,D50,0.36,K50)</f>
        <v>0.54286720511164421</v>
      </c>
      <c r="R50" s="1">
        <f>[1]!Convection(I50,M50,1000,9*10^-4,K50,0.6,0.36,7)</f>
        <v>20606.874953993363</v>
      </c>
      <c r="S50" s="1">
        <f t="shared" si="6"/>
        <v>1.3719204599516233</v>
      </c>
      <c r="T50" s="1">
        <f t="shared" si="7"/>
        <v>6.6489360372340447E-6</v>
      </c>
      <c r="U50" s="1">
        <f t="shared" si="8"/>
        <v>5.9840425531914893E-7</v>
      </c>
      <c r="V50" s="1">
        <f t="shared" si="9"/>
        <v>3.3333333000000001</v>
      </c>
      <c r="W50" s="1">
        <f t="shared" si="10"/>
        <v>266.39644432848951</v>
      </c>
      <c r="X50" s="1">
        <f t="shared" si="11"/>
        <v>3.125</v>
      </c>
      <c r="Y50" s="1">
        <f t="shared" si="12"/>
        <v>0.36451659849691304</v>
      </c>
      <c r="Z50" s="1">
        <v>48.982912630000001</v>
      </c>
    </row>
    <row r="51" spans="1:26" x14ac:dyDescent="0.25">
      <c r="A51" s="1">
        <v>30</v>
      </c>
      <c r="B51" s="1">
        <v>0.5</v>
      </c>
      <c r="C51" s="1">
        <v>3.3333333000000001</v>
      </c>
      <c r="D51" s="1">
        <f t="shared" si="0"/>
        <v>9.9999999000000006E-2</v>
      </c>
      <c r="E51" s="1">
        <v>10</v>
      </c>
      <c r="F51" s="1">
        <v>1</v>
      </c>
      <c r="G51" s="1">
        <v>100</v>
      </c>
      <c r="H51" s="1">
        <v>51.548897879999998</v>
      </c>
      <c r="I51" s="1">
        <f t="shared" si="1"/>
        <v>0.03</v>
      </c>
      <c r="J51" s="1">
        <f t="shared" si="2"/>
        <v>9.9999999000000006E-2</v>
      </c>
      <c r="K51" s="1">
        <f t="shared" si="3"/>
        <v>5.0000000000000001E-4</v>
      </c>
      <c r="L51" s="1">
        <f t="shared" si="4"/>
        <v>0.35738757669849908</v>
      </c>
      <c r="M51" s="1">
        <f t="shared" si="5"/>
        <v>2.7777777777777776E-2</v>
      </c>
      <c r="N51" s="1">
        <v>235</v>
      </c>
      <c r="O51" s="1">
        <f t="shared" si="13"/>
        <v>3.2</v>
      </c>
      <c r="P51" s="1">
        <v>4148</v>
      </c>
      <c r="Q51" s="1">
        <f>[1]!HeatTransferArea(I51,D51,0.36,K51)</f>
        <v>0.54286720511164421</v>
      </c>
      <c r="R51" s="1">
        <f>[1]!Convection(I51,M51,1000,9*10^-4,K51,0.6,0.36,7)</f>
        <v>20606.874953993363</v>
      </c>
      <c r="S51" s="1">
        <f t="shared" si="6"/>
        <v>0.68596022997581163</v>
      </c>
      <c r="T51" s="1">
        <f t="shared" si="7"/>
        <v>1.3297872074468089E-5</v>
      </c>
      <c r="U51" s="1">
        <f t="shared" si="8"/>
        <v>1.1968085106382979E-6</v>
      </c>
      <c r="V51" s="1">
        <f t="shared" si="9"/>
        <v>3.3333333000000001</v>
      </c>
      <c r="W51" s="1">
        <f t="shared" si="10"/>
        <v>133.19822216424475</v>
      </c>
      <c r="X51" s="1">
        <f t="shared" si="11"/>
        <v>3.125</v>
      </c>
      <c r="Y51" s="1">
        <f t="shared" si="12"/>
        <v>0.1918059574511089</v>
      </c>
      <c r="Z51" s="1">
        <v>51.548897879999998</v>
      </c>
    </row>
    <row r="52" spans="1:26" x14ac:dyDescent="0.25">
      <c r="A52" s="1">
        <v>30</v>
      </c>
      <c r="B52" s="1">
        <v>0.5</v>
      </c>
      <c r="C52" s="1">
        <v>3.3333333000000001</v>
      </c>
      <c r="D52" s="1">
        <f t="shared" si="0"/>
        <v>9.9999999000000006E-2</v>
      </c>
      <c r="E52" s="1">
        <v>10</v>
      </c>
      <c r="F52" s="1">
        <v>1.5</v>
      </c>
      <c r="G52" s="1">
        <v>100</v>
      </c>
      <c r="H52" s="1">
        <v>51.61479671</v>
      </c>
      <c r="I52" s="1">
        <f t="shared" si="1"/>
        <v>0.03</v>
      </c>
      <c r="J52" s="1">
        <f t="shared" si="2"/>
        <v>9.9999999000000006E-2</v>
      </c>
      <c r="K52" s="1">
        <f t="shared" si="3"/>
        <v>5.0000000000000001E-4</v>
      </c>
      <c r="L52" s="1">
        <f t="shared" si="4"/>
        <v>0.35738757669849908</v>
      </c>
      <c r="M52" s="1">
        <f t="shared" si="5"/>
        <v>2.7777777777777776E-2</v>
      </c>
      <c r="N52" s="1">
        <v>235</v>
      </c>
      <c r="O52" s="1">
        <f t="shared" si="13"/>
        <v>3.2</v>
      </c>
      <c r="P52" s="1">
        <v>4148</v>
      </c>
      <c r="Q52" s="1">
        <f>[1]!HeatTransferArea(I52,D52,0.36,K52)</f>
        <v>0.54286720511164421</v>
      </c>
      <c r="R52" s="1">
        <f>[1]!Convection(I52,M52,1000,9*10^-4,K52,0.6,0.36,7)</f>
        <v>20606.874953993363</v>
      </c>
      <c r="S52" s="1">
        <f t="shared" si="6"/>
        <v>0.45730681998387446</v>
      </c>
      <c r="T52" s="1">
        <f t="shared" si="7"/>
        <v>1.9946808111702133E-5</v>
      </c>
      <c r="U52" s="1">
        <f t="shared" si="8"/>
        <v>1.7952127659574469E-6</v>
      </c>
      <c r="V52" s="1">
        <f t="shared" si="9"/>
        <v>3.3333333000000001</v>
      </c>
      <c r="W52" s="1">
        <f t="shared" si="10"/>
        <v>88.798814776163184</v>
      </c>
      <c r="X52" s="1">
        <f t="shared" si="11"/>
        <v>3.125</v>
      </c>
      <c r="Y52" s="1">
        <f t="shared" si="12"/>
        <v>0.12803410494700954</v>
      </c>
      <c r="Z52" s="1">
        <v>51.61479671</v>
      </c>
    </row>
    <row r="53" spans="1:26" x14ac:dyDescent="0.25">
      <c r="A53" s="1">
        <v>30</v>
      </c>
      <c r="B53" s="1">
        <v>0.5</v>
      </c>
      <c r="C53" s="1">
        <v>4.1666666000000001</v>
      </c>
      <c r="D53" s="1">
        <f t="shared" si="0"/>
        <v>0.124999998</v>
      </c>
      <c r="E53" s="1">
        <v>10</v>
      </c>
      <c r="F53" s="1">
        <v>0.5</v>
      </c>
      <c r="G53" s="1">
        <v>100</v>
      </c>
      <c r="H53" s="1">
        <v>50.417093659999999</v>
      </c>
      <c r="I53" s="1">
        <f t="shared" si="1"/>
        <v>0.03</v>
      </c>
      <c r="J53" s="1">
        <f t="shared" si="2"/>
        <v>0.124999998</v>
      </c>
      <c r="K53" s="1">
        <f t="shared" si="3"/>
        <v>5.0000000000000001E-4</v>
      </c>
      <c r="L53" s="1">
        <f t="shared" si="4"/>
        <v>0.446734468192717</v>
      </c>
      <c r="M53" s="1">
        <f t="shared" si="5"/>
        <v>2.7777777777777776E-2</v>
      </c>
      <c r="N53" s="1">
        <v>235</v>
      </c>
      <c r="O53" s="1">
        <f t="shared" si="13"/>
        <v>3.2</v>
      </c>
      <c r="P53" s="1">
        <v>4148</v>
      </c>
      <c r="Q53" s="1">
        <f>[1]!HeatTransferArea(I53,D53,0.36,K53)</f>
        <v>0.67858400231805105</v>
      </c>
      <c r="R53" s="1">
        <f>[1]!Convection(I53,M53,1000,9*10^-4,K53,0.6,0.36,7)</f>
        <v>20606.874953993363</v>
      </c>
      <c r="S53" s="1">
        <f t="shared" si="6"/>
        <v>1.097536374546517</v>
      </c>
      <c r="T53" s="1">
        <f t="shared" si="7"/>
        <v>1.038896243351064E-5</v>
      </c>
      <c r="U53" s="1">
        <f t="shared" si="8"/>
        <v>5.9840425531914893E-7</v>
      </c>
      <c r="V53" s="1">
        <f t="shared" si="9"/>
        <v>4.1666666000000001</v>
      </c>
      <c r="W53" s="1">
        <f t="shared" si="10"/>
        <v>266.39644432848945</v>
      </c>
      <c r="X53" s="1">
        <f t="shared" si="11"/>
        <v>3.125</v>
      </c>
      <c r="Y53" s="1">
        <f t="shared" si="12"/>
        <v>0.300151487293224</v>
      </c>
      <c r="Z53" s="1">
        <v>50.417093659999999</v>
      </c>
    </row>
    <row r="54" spans="1:26" x14ac:dyDescent="0.25">
      <c r="A54" s="1">
        <v>30</v>
      </c>
      <c r="B54" s="1">
        <v>0.5</v>
      </c>
      <c r="C54" s="1">
        <v>4.1666666000000001</v>
      </c>
      <c r="D54" s="1">
        <f t="shared" si="0"/>
        <v>0.124999998</v>
      </c>
      <c r="E54" s="1">
        <v>10</v>
      </c>
      <c r="F54" s="1">
        <v>1</v>
      </c>
      <c r="G54" s="1">
        <v>100</v>
      </c>
      <c r="H54" s="1">
        <v>51.36212106</v>
      </c>
      <c r="I54" s="1">
        <f t="shared" si="1"/>
        <v>0.03</v>
      </c>
      <c r="J54" s="1">
        <f t="shared" si="2"/>
        <v>0.124999998</v>
      </c>
      <c r="K54" s="1">
        <f t="shared" si="3"/>
        <v>5.0000000000000001E-4</v>
      </c>
      <c r="L54" s="1">
        <f t="shared" si="4"/>
        <v>0.446734468192717</v>
      </c>
      <c r="M54" s="1">
        <f t="shared" si="5"/>
        <v>2.7777777777777776E-2</v>
      </c>
      <c r="N54" s="1">
        <v>235</v>
      </c>
      <c r="O54" s="1">
        <f t="shared" si="13"/>
        <v>3.2</v>
      </c>
      <c r="P54" s="1">
        <v>4148</v>
      </c>
      <c r="Q54" s="1">
        <f>[1]!HeatTransferArea(I54,D54,0.36,K54)</f>
        <v>0.67858400231805105</v>
      </c>
      <c r="R54" s="1">
        <f>[1]!Convection(I54,M54,1000,9*10^-4,K54,0.6,0.36,7)</f>
        <v>20606.874953993363</v>
      </c>
      <c r="S54" s="1">
        <f t="shared" si="6"/>
        <v>0.54876818727325849</v>
      </c>
      <c r="T54" s="1">
        <f t="shared" si="7"/>
        <v>2.077792486702128E-5</v>
      </c>
      <c r="U54" s="1">
        <f t="shared" si="8"/>
        <v>1.1968085106382979E-6</v>
      </c>
      <c r="V54" s="1">
        <f t="shared" si="9"/>
        <v>4.1666666000000001</v>
      </c>
      <c r="W54" s="1">
        <f t="shared" si="10"/>
        <v>133.19822216424473</v>
      </c>
      <c r="X54" s="1">
        <f t="shared" si="11"/>
        <v>3.125</v>
      </c>
      <c r="Y54" s="1">
        <f t="shared" si="12"/>
        <v>0.15288879135574535</v>
      </c>
      <c r="Z54" s="1">
        <v>51.36212106</v>
      </c>
    </row>
    <row r="55" spans="1:26" x14ac:dyDescent="0.25">
      <c r="A55" s="1">
        <v>30</v>
      </c>
      <c r="B55" s="1">
        <v>0.5</v>
      </c>
      <c r="C55" s="1">
        <v>4.1666666000000001</v>
      </c>
      <c r="D55" s="1">
        <f t="shared" si="0"/>
        <v>0.124999998</v>
      </c>
      <c r="E55" s="1">
        <v>10</v>
      </c>
      <c r="F55" s="1">
        <v>1.5</v>
      </c>
      <c r="G55" s="1">
        <v>100</v>
      </c>
      <c r="H55" s="1">
        <v>51.155702499999997</v>
      </c>
      <c r="I55" s="1">
        <f t="shared" si="1"/>
        <v>0.03</v>
      </c>
      <c r="J55" s="1">
        <f t="shared" si="2"/>
        <v>0.124999998</v>
      </c>
      <c r="K55" s="1">
        <f t="shared" si="3"/>
        <v>5.0000000000000001E-4</v>
      </c>
      <c r="L55" s="1">
        <f t="shared" si="4"/>
        <v>0.446734468192717</v>
      </c>
      <c r="M55" s="1">
        <f t="shared" si="5"/>
        <v>2.7777777777777776E-2</v>
      </c>
      <c r="N55" s="1">
        <v>235</v>
      </c>
      <c r="O55" s="1">
        <f t="shared" si="13"/>
        <v>3.2</v>
      </c>
      <c r="P55" s="1">
        <v>4148</v>
      </c>
      <c r="Q55" s="1">
        <f>[1]!HeatTransferArea(I55,D55,0.36,K55)</f>
        <v>0.67858400231805105</v>
      </c>
      <c r="R55" s="1">
        <f>[1]!Convection(I55,M55,1000,9*10^-4,K55,0.6,0.36,7)</f>
        <v>20606.874953993363</v>
      </c>
      <c r="S55" s="1">
        <f t="shared" si="6"/>
        <v>0.36584545818217235</v>
      </c>
      <c r="T55" s="1">
        <f t="shared" si="7"/>
        <v>3.1166887300531924E-5</v>
      </c>
      <c r="U55" s="1">
        <f t="shared" si="8"/>
        <v>1.7952127659574469E-6</v>
      </c>
      <c r="V55" s="1">
        <f t="shared" si="9"/>
        <v>4.1666666000000001</v>
      </c>
      <c r="W55" s="1">
        <f t="shared" si="10"/>
        <v>88.798814776163155</v>
      </c>
      <c r="X55" s="1">
        <f t="shared" si="11"/>
        <v>3.125</v>
      </c>
      <c r="Y55" s="1">
        <f t="shared" si="12"/>
        <v>0.10151623238771129</v>
      </c>
      <c r="Z55" s="1">
        <v>51.155702499999997</v>
      </c>
    </row>
    <row r="56" spans="1:26" x14ac:dyDescent="0.25">
      <c r="A56" s="1">
        <f>35</f>
        <v>35</v>
      </c>
      <c r="B56" s="1">
        <v>0.3</v>
      </c>
      <c r="C56" s="1">
        <v>2.152857</v>
      </c>
      <c r="D56" s="1">
        <f t="shared" si="0"/>
        <v>7.5349995000000003E-2</v>
      </c>
      <c r="E56" s="1">
        <v>10</v>
      </c>
      <c r="F56" s="1">
        <v>0.5</v>
      </c>
      <c r="G56" s="1">
        <v>75</v>
      </c>
      <c r="H56" s="1">
        <v>39.208646260000002</v>
      </c>
      <c r="I56" s="1">
        <f t="shared" si="1"/>
        <v>3.5000000000000003E-2</v>
      </c>
      <c r="J56" s="1">
        <f t="shared" si="2"/>
        <v>7.5349995000000003E-2</v>
      </c>
      <c r="K56" s="1">
        <f t="shared" si="3"/>
        <v>2.9999999999999997E-4</v>
      </c>
      <c r="L56" s="1">
        <f t="shared" si="4"/>
        <v>0.36653568526185887</v>
      </c>
      <c r="M56" s="1">
        <f t="shared" si="5"/>
        <v>2.0833333333333332E-2</v>
      </c>
      <c r="N56" s="1">
        <v>235</v>
      </c>
      <c r="O56" s="1">
        <f t="shared" si="13"/>
        <v>3.2</v>
      </c>
      <c r="P56" s="1">
        <v>4148</v>
      </c>
      <c r="Q56" s="1">
        <f>[1]!HeatTransferArea(I56,D56,0.36,K56)</f>
        <v>0.92793844370090861</v>
      </c>
      <c r="R56" s="1">
        <f>[1]!Convection(I56,M56,1000,9*10^-4,K56,0.6,0.36,7)</f>
        <v>33422.636887896355</v>
      </c>
      <c r="S56" s="1">
        <f t="shared" si="6"/>
        <v>1.0032597404293342</v>
      </c>
      <c r="T56" s="1">
        <f t="shared" si="7"/>
        <v>3.7750144591090596E-6</v>
      </c>
      <c r="U56" s="1">
        <f t="shared" si="8"/>
        <v>8.1449468085106394E-7</v>
      </c>
      <c r="V56" s="1">
        <f t="shared" si="9"/>
        <v>2.152857</v>
      </c>
      <c r="W56" s="1">
        <f t="shared" si="10"/>
        <v>720.12145193420656</v>
      </c>
      <c r="X56" s="1">
        <f t="shared" si="11"/>
        <v>3.125</v>
      </c>
      <c r="Y56" s="1">
        <f t="shared" si="12"/>
        <v>0.28449703184228442</v>
      </c>
      <c r="Z56" s="1">
        <v>39.208646260000002</v>
      </c>
    </row>
    <row r="57" spans="1:26" x14ac:dyDescent="0.25">
      <c r="A57" s="1">
        <f>35</f>
        <v>35</v>
      </c>
      <c r="B57" s="1">
        <v>0.3</v>
      </c>
      <c r="C57" s="1">
        <v>2.152857</v>
      </c>
      <c r="D57" s="1">
        <f t="shared" si="0"/>
        <v>7.5349995000000003E-2</v>
      </c>
      <c r="E57" s="1">
        <v>10</v>
      </c>
      <c r="F57" s="1">
        <v>1</v>
      </c>
      <c r="G57" s="1">
        <v>75</v>
      </c>
      <c r="H57" s="1">
        <v>39.341806849999998</v>
      </c>
      <c r="I57" s="1">
        <f t="shared" si="1"/>
        <v>3.5000000000000003E-2</v>
      </c>
      <c r="J57" s="1">
        <f t="shared" si="2"/>
        <v>7.5349995000000003E-2</v>
      </c>
      <c r="K57" s="1">
        <f t="shared" si="3"/>
        <v>2.9999999999999997E-4</v>
      </c>
      <c r="L57" s="1">
        <f t="shared" si="4"/>
        <v>0.36653568526185887</v>
      </c>
      <c r="M57" s="1">
        <f t="shared" si="5"/>
        <v>2.0833333333333332E-2</v>
      </c>
      <c r="N57" s="1">
        <v>235</v>
      </c>
      <c r="O57" s="1">
        <f t="shared" si="13"/>
        <v>3.2</v>
      </c>
      <c r="P57" s="1">
        <v>4148</v>
      </c>
      <c r="Q57" s="1">
        <f>[1]!HeatTransferArea(I57,D57,0.36,K57)</f>
        <v>0.92793844370090861</v>
      </c>
      <c r="R57" s="1">
        <f>[1]!Convection(I57,M57,1000,9*10^-4,K57,0.6,0.36,7)</f>
        <v>33422.636887896355</v>
      </c>
      <c r="S57" s="1">
        <f t="shared" si="6"/>
        <v>0.5016298702146671</v>
      </c>
      <c r="T57" s="1">
        <f t="shared" si="7"/>
        <v>7.5500289182181192E-6</v>
      </c>
      <c r="U57" s="1">
        <f t="shared" si="8"/>
        <v>1.6289893617021279E-6</v>
      </c>
      <c r="V57" s="1">
        <f t="shared" si="9"/>
        <v>2.152857</v>
      </c>
      <c r="W57" s="1">
        <f t="shared" si="10"/>
        <v>360.06072596710328</v>
      </c>
      <c r="X57" s="1">
        <f t="shared" si="11"/>
        <v>3.125</v>
      </c>
      <c r="Y57" s="1">
        <f t="shared" si="12"/>
        <v>0.14273162100416587</v>
      </c>
      <c r="Z57" s="1">
        <v>39.341806849999998</v>
      </c>
    </row>
    <row r="58" spans="1:26" x14ac:dyDescent="0.25">
      <c r="A58" s="1">
        <f>35</f>
        <v>35</v>
      </c>
      <c r="B58" s="1">
        <v>0.3</v>
      </c>
      <c r="C58" s="1">
        <v>2.152857</v>
      </c>
      <c r="D58" s="1">
        <f t="shared" si="0"/>
        <v>7.5349995000000003E-2</v>
      </c>
      <c r="E58" s="1">
        <v>10</v>
      </c>
      <c r="F58" s="1">
        <v>1.5</v>
      </c>
      <c r="G58" s="1">
        <v>75</v>
      </c>
      <c r="H58" s="1">
        <v>39.054236549999999</v>
      </c>
      <c r="I58" s="1">
        <f t="shared" si="1"/>
        <v>3.5000000000000003E-2</v>
      </c>
      <c r="J58" s="1">
        <f t="shared" si="2"/>
        <v>7.5349995000000003E-2</v>
      </c>
      <c r="K58" s="1">
        <f t="shared" si="3"/>
        <v>2.9999999999999997E-4</v>
      </c>
      <c r="L58" s="1">
        <f t="shared" si="4"/>
        <v>0.36653568526185887</v>
      </c>
      <c r="M58" s="1">
        <f t="shared" si="5"/>
        <v>2.0833333333333332E-2</v>
      </c>
      <c r="N58" s="1">
        <v>235</v>
      </c>
      <c r="O58" s="1">
        <f t="shared" si="13"/>
        <v>3.2</v>
      </c>
      <c r="P58" s="1">
        <v>4148</v>
      </c>
      <c r="Q58" s="1">
        <f>[1]!HeatTransferArea(I58,D58,0.36,K58)</f>
        <v>0.92793844370090861</v>
      </c>
      <c r="R58" s="1">
        <f>[1]!Convection(I58,M58,1000,9*10^-4,K58,0.6,0.36,7)</f>
        <v>33422.636887896355</v>
      </c>
      <c r="S58" s="1">
        <f t="shared" si="6"/>
        <v>0.33441991347644473</v>
      </c>
      <c r="T58" s="1">
        <f t="shared" si="7"/>
        <v>1.1325043377327179E-5</v>
      </c>
      <c r="U58" s="1">
        <f t="shared" si="8"/>
        <v>2.4434840425531916E-6</v>
      </c>
      <c r="V58" s="1">
        <f t="shared" si="9"/>
        <v>2.152857</v>
      </c>
      <c r="W58" s="1">
        <f t="shared" si="10"/>
        <v>240.04048397806883</v>
      </c>
      <c r="X58" s="1">
        <f t="shared" si="11"/>
        <v>3.125</v>
      </c>
      <c r="Y58" s="1">
        <f t="shared" si="12"/>
        <v>9.445887951740313E-2</v>
      </c>
      <c r="Z58" s="1">
        <v>39.054236549999999</v>
      </c>
    </row>
    <row r="59" spans="1:26" x14ac:dyDescent="0.25">
      <c r="A59" s="1">
        <f>35</f>
        <v>35</v>
      </c>
      <c r="B59" s="1">
        <v>0.3</v>
      </c>
      <c r="C59" s="1">
        <v>2.867143</v>
      </c>
      <c r="D59" s="1">
        <f t="shared" si="0"/>
        <v>0.10035000499999999</v>
      </c>
      <c r="E59" s="1">
        <v>10</v>
      </c>
      <c r="F59" s="1">
        <v>0.5</v>
      </c>
      <c r="G59" s="1">
        <v>75</v>
      </c>
      <c r="H59" s="1">
        <v>38.945402870000002</v>
      </c>
      <c r="I59" s="1">
        <f t="shared" si="1"/>
        <v>3.5000000000000003E-2</v>
      </c>
      <c r="J59" s="1">
        <f t="shared" si="2"/>
        <v>0.10035000499999999</v>
      </c>
      <c r="K59" s="1">
        <f t="shared" si="3"/>
        <v>2.9999999999999997E-4</v>
      </c>
      <c r="L59" s="1">
        <f t="shared" si="4"/>
        <v>0.48814678552674029</v>
      </c>
      <c r="M59" s="1">
        <f t="shared" si="5"/>
        <v>2.0833333333333332E-2</v>
      </c>
      <c r="N59" s="1">
        <v>235</v>
      </c>
      <c r="O59" s="1">
        <f t="shared" si="13"/>
        <v>3.2</v>
      </c>
      <c r="P59" s="1">
        <v>4148</v>
      </c>
      <c r="Q59" s="1">
        <f>[1]!HeatTransferArea(I59,D59,0.36,K59)</f>
        <v>1.2358146469031404</v>
      </c>
      <c r="R59" s="1">
        <f>[1]!Convection(I59,M59,1000,9*10^-4,K59,0.6,0.36,7)</f>
        <v>33422.636887896355</v>
      </c>
      <c r="S59" s="1">
        <f t="shared" si="6"/>
        <v>0.7533195083054719</v>
      </c>
      <c r="T59" s="1">
        <f t="shared" si="7"/>
        <v>6.6955608400931009E-6</v>
      </c>
      <c r="U59" s="1">
        <f t="shared" si="8"/>
        <v>8.1449468085106394E-7</v>
      </c>
      <c r="V59" s="1">
        <f t="shared" si="9"/>
        <v>2.867143</v>
      </c>
      <c r="W59" s="1">
        <f t="shared" si="10"/>
        <v>720.12145193420656</v>
      </c>
      <c r="X59" s="1">
        <f t="shared" si="11"/>
        <v>3.125</v>
      </c>
      <c r="Y59" s="1">
        <f t="shared" si="12"/>
        <v>0.21218658443192082</v>
      </c>
      <c r="Z59" s="1">
        <v>38.945402870000002</v>
      </c>
    </row>
    <row r="60" spans="1:26" x14ac:dyDescent="0.25">
      <c r="A60" s="1">
        <f>35</f>
        <v>35</v>
      </c>
      <c r="B60" s="1">
        <v>0.3</v>
      </c>
      <c r="C60" s="1">
        <v>2.867143</v>
      </c>
      <c r="D60" s="1">
        <f t="shared" si="0"/>
        <v>0.10035000499999999</v>
      </c>
      <c r="E60" s="1">
        <v>10</v>
      </c>
      <c r="F60" s="1">
        <v>1</v>
      </c>
      <c r="G60" s="1">
        <v>75</v>
      </c>
      <c r="H60" s="1">
        <v>38.564374360000002</v>
      </c>
      <c r="I60" s="1">
        <f t="shared" si="1"/>
        <v>3.5000000000000003E-2</v>
      </c>
      <c r="J60" s="1">
        <f t="shared" si="2"/>
        <v>0.10035000499999999</v>
      </c>
      <c r="K60" s="1">
        <f t="shared" si="3"/>
        <v>2.9999999999999997E-4</v>
      </c>
      <c r="L60" s="1">
        <f t="shared" si="4"/>
        <v>0.48814678552674029</v>
      </c>
      <c r="M60" s="1">
        <f t="shared" si="5"/>
        <v>2.0833333333333332E-2</v>
      </c>
      <c r="N60" s="1">
        <v>235</v>
      </c>
      <c r="O60" s="1">
        <f t="shared" si="13"/>
        <v>3.2</v>
      </c>
      <c r="P60" s="1">
        <v>4148</v>
      </c>
      <c r="Q60" s="1">
        <f>[1]!HeatTransferArea(I60,D60,0.36,K60)</f>
        <v>1.2358146469031404</v>
      </c>
      <c r="R60" s="1">
        <f>[1]!Convection(I60,M60,1000,9*10^-4,K60,0.6,0.36,7)</f>
        <v>33422.636887896355</v>
      </c>
      <c r="S60" s="1">
        <f t="shared" si="6"/>
        <v>0.37665975415273595</v>
      </c>
      <c r="T60" s="1">
        <f t="shared" si="7"/>
        <v>1.3391121680186202E-5</v>
      </c>
      <c r="U60" s="1">
        <f t="shared" si="8"/>
        <v>1.6289893617021279E-6</v>
      </c>
      <c r="V60" s="1">
        <f t="shared" si="9"/>
        <v>2.867143</v>
      </c>
      <c r="W60" s="1">
        <f t="shared" si="10"/>
        <v>360.06072596710328</v>
      </c>
      <c r="X60" s="1">
        <f t="shared" si="11"/>
        <v>3.125</v>
      </c>
      <c r="Y60" s="1">
        <f t="shared" si="12"/>
        <v>0.10505531170799187</v>
      </c>
      <c r="Z60" s="1">
        <v>38.564374360000002</v>
      </c>
    </row>
    <row r="61" spans="1:26" x14ac:dyDescent="0.25">
      <c r="A61" s="1">
        <f>35</f>
        <v>35</v>
      </c>
      <c r="B61" s="1">
        <v>0.3</v>
      </c>
      <c r="C61" s="1">
        <v>2.867143</v>
      </c>
      <c r="D61" s="1">
        <f t="shared" si="0"/>
        <v>0.10035000499999999</v>
      </c>
      <c r="E61" s="1">
        <v>10</v>
      </c>
      <c r="F61" s="1">
        <v>1.5</v>
      </c>
      <c r="G61" s="1">
        <v>75</v>
      </c>
      <c r="H61" s="1">
        <v>38.145007790000001</v>
      </c>
      <c r="I61" s="1">
        <f t="shared" si="1"/>
        <v>3.5000000000000003E-2</v>
      </c>
      <c r="J61" s="1">
        <f t="shared" si="2"/>
        <v>0.10035000499999999</v>
      </c>
      <c r="K61" s="1">
        <f t="shared" si="3"/>
        <v>2.9999999999999997E-4</v>
      </c>
      <c r="L61" s="1">
        <f t="shared" si="4"/>
        <v>0.48814678552674029</v>
      </c>
      <c r="M61" s="1">
        <f t="shared" si="5"/>
        <v>2.0833333333333332E-2</v>
      </c>
      <c r="N61" s="1">
        <v>235</v>
      </c>
      <c r="O61" s="1">
        <f t="shared" si="13"/>
        <v>3.2</v>
      </c>
      <c r="P61" s="1">
        <v>4148</v>
      </c>
      <c r="Q61" s="1">
        <f>[1]!HeatTransferArea(I61,D61,0.36,K61)</f>
        <v>1.2358146469031404</v>
      </c>
      <c r="R61" s="1">
        <f>[1]!Convection(I61,M61,1000,9*10^-4,K61,0.6,0.36,7)</f>
        <v>33422.636887896355</v>
      </c>
      <c r="S61" s="1">
        <f t="shared" si="6"/>
        <v>0.25110650276849067</v>
      </c>
      <c r="T61" s="1">
        <f t="shared" si="7"/>
        <v>2.0086682520279301E-5</v>
      </c>
      <c r="U61" s="1">
        <f t="shared" si="8"/>
        <v>2.4434840425531916E-6</v>
      </c>
      <c r="V61" s="1">
        <f t="shared" si="9"/>
        <v>2.867143</v>
      </c>
      <c r="W61" s="1">
        <f t="shared" si="10"/>
        <v>240.04048397806886</v>
      </c>
      <c r="X61" s="1">
        <f t="shared" si="11"/>
        <v>3.125</v>
      </c>
      <c r="Y61" s="1">
        <f t="shared" si="12"/>
        <v>6.9275261602389587E-2</v>
      </c>
      <c r="Z61" s="1">
        <v>38.145007790000001</v>
      </c>
    </row>
    <row r="62" spans="1:26" x14ac:dyDescent="0.25">
      <c r="A62" s="1">
        <f>35</f>
        <v>35</v>
      </c>
      <c r="B62" s="1">
        <v>0.3</v>
      </c>
      <c r="C62" s="1">
        <v>3.581429</v>
      </c>
      <c r="D62" s="1">
        <f t="shared" si="0"/>
        <v>0.12535001500000001</v>
      </c>
      <c r="E62" s="1">
        <v>10</v>
      </c>
      <c r="F62" s="1">
        <v>0.5</v>
      </c>
      <c r="G62" s="1">
        <v>75</v>
      </c>
      <c r="H62" s="1">
        <v>38.478744200000001</v>
      </c>
      <c r="I62" s="1">
        <f t="shared" si="1"/>
        <v>3.5000000000000003E-2</v>
      </c>
      <c r="J62" s="1">
        <f t="shared" si="2"/>
        <v>0.12535001500000001</v>
      </c>
      <c r="K62" s="1">
        <f t="shared" si="3"/>
        <v>2.9999999999999997E-4</v>
      </c>
      <c r="L62" s="1">
        <f t="shared" si="4"/>
        <v>0.60975788579162205</v>
      </c>
      <c r="M62" s="1">
        <f t="shared" si="5"/>
        <v>2.0833333333333332E-2</v>
      </c>
      <c r="N62" s="1">
        <v>235</v>
      </c>
      <c r="O62" s="1">
        <f t="shared" si="13"/>
        <v>3.2</v>
      </c>
      <c r="P62" s="1">
        <v>4148</v>
      </c>
      <c r="Q62" s="1">
        <f>[1]!HeatTransferArea(I62,D62,0.36,K62)</f>
        <v>1.5436908501053723</v>
      </c>
      <c r="R62" s="1">
        <f>[1]!Convection(I62,M62,1000,9*10^-4,K62,0.6,0.36,7)</f>
        <v>33422.636887896355</v>
      </c>
      <c r="S62" s="1">
        <f t="shared" si="6"/>
        <v>0.60307624554374106</v>
      </c>
      <c r="T62" s="1">
        <f t="shared" si="7"/>
        <v>1.0447224907247491E-5</v>
      </c>
      <c r="U62" s="1">
        <f t="shared" si="8"/>
        <v>8.1449468085106394E-7</v>
      </c>
      <c r="V62" s="1">
        <f t="shared" si="9"/>
        <v>3.581429</v>
      </c>
      <c r="W62" s="1">
        <f t="shared" si="10"/>
        <v>720.12145193420645</v>
      </c>
      <c r="X62" s="1">
        <f t="shared" si="11"/>
        <v>3.125</v>
      </c>
      <c r="Y62" s="1">
        <f t="shared" si="12"/>
        <v>0.16783232824523148</v>
      </c>
      <c r="Z62" s="1">
        <v>38.478744200000001</v>
      </c>
    </row>
    <row r="63" spans="1:26" x14ac:dyDescent="0.25">
      <c r="A63" s="1">
        <f>35</f>
        <v>35</v>
      </c>
      <c r="B63" s="1">
        <v>0.3</v>
      </c>
      <c r="C63" s="1">
        <v>3.581429</v>
      </c>
      <c r="D63" s="1">
        <f t="shared" si="0"/>
        <v>0.12535001500000001</v>
      </c>
      <c r="E63" s="1">
        <v>10</v>
      </c>
      <c r="F63" s="1">
        <v>1</v>
      </c>
      <c r="G63" s="1">
        <v>75</v>
      </c>
      <c r="H63" s="1">
        <v>37.865846980000001</v>
      </c>
      <c r="I63" s="1">
        <f t="shared" si="1"/>
        <v>3.5000000000000003E-2</v>
      </c>
      <c r="J63" s="1">
        <f t="shared" si="2"/>
        <v>0.12535001500000001</v>
      </c>
      <c r="K63" s="1">
        <f t="shared" si="3"/>
        <v>2.9999999999999997E-4</v>
      </c>
      <c r="L63" s="1">
        <f t="shared" si="4"/>
        <v>0.60975788579162205</v>
      </c>
      <c r="M63" s="1">
        <f t="shared" si="5"/>
        <v>2.0833333333333332E-2</v>
      </c>
      <c r="N63" s="1">
        <v>235</v>
      </c>
      <c r="O63" s="1">
        <f t="shared" si="13"/>
        <v>3.2</v>
      </c>
      <c r="P63" s="1">
        <v>4148</v>
      </c>
      <c r="Q63" s="1">
        <f>[1]!HeatTransferArea(I63,D63,0.36,K63)</f>
        <v>1.5436908501053723</v>
      </c>
      <c r="R63" s="1">
        <f>[1]!Convection(I63,M63,1000,9*10^-4,K63,0.6,0.36,7)</f>
        <v>33422.636887896355</v>
      </c>
      <c r="S63" s="1">
        <f t="shared" si="6"/>
        <v>0.30153812277187053</v>
      </c>
      <c r="T63" s="1">
        <f t="shared" si="7"/>
        <v>2.0894449814494981E-5</v>
      </c>
      <c r="U63" s="1">
        <f t="shared" si="8"/>
        <v>1.6289893617021279E-6</v>
      </c>
      <c r="V63" s="1">
        <f t="shared" si="9"/>
        <v>3.581429</v>
      </c>
      <c r="W63" s="1">
        <f t="shared" si="10"/>
        <v>360.06072596710322</v>
      </c>
      <c r="X63" s="1">
        <f t="shared" si="11"/>
        <v>3.125</v>
      </c>
      <c r="Y63" s="1">
        <f t="shared" si="12"/>
        <v>8.2579530488303549E-2</v>
      </c>
      <c r="Z63" s="1">
        <v>37.865846980000001</v>
      </c>
    </row>
    <row r="64" spans="1:26" x14ac:dyDescent="0.25">
      <c r="A64" s="1">
        <f>35</f>
        <v>35</v>
      </c>
      <c r="B64" s="1">
        <v>0.3</v>
      </c>
      <c r="C64" s="1">
        <v>3.581429</v>
      </c>
      <c r="D64" s="1">
        <f t="shared" si="0"/>
        <v>0.12535001500000001</v>
      </c>
      <c r="E64" s="1">
        <v>10</v>
      </c>
      <c r="F64" s="1">
        <v>1.5</v>
      </c>
      <c r="G64" s="1">
        <v>75</v>
      </c>
      <c r="H64" s="1">
        <v>37.356741919999997</v>
      </c>
      <c r="I64" s="1">
        <f t="shared" si="1"/>
        <v>3.5000000000000003E-2</v>
      </c>
      <c r="J64" s="1">
        <f t="shared" si="2"/>
        <v>0.12535001500000001</v>
      </c>
      <c r="K64" s="1">
        <f t="shared" si="3"/>
        <v>2.9999999999999997E-4</v>
      </c>
      <c r="L64" s="1">
        <f t="shared" si="4"/>
        <v>0.60975788579162205</v>
      </c>
      <c r="M64" s="1">
        <f t="shared" si="5"/>
        <v>2.0833333333333332E-2</v>
      </c>
      <c r="N64" s="1">
        <v>235</v>
      </c>
      <c r="O64" s="1">
        <f t="shared" si="13"/>
        <v>3.2</v>
      </c>
      <c r="P64" s="1">
        <v>4148</v>
      </c>
      <c r="Q64" s="1">
        <f>[1]!HeatTransferArea(I64,D64,0.36,K64)</f>
        <v>1.5436908501053723</v>
      </c>
      <c r="R64" s="1">
        <f>[1]!Convection(I64,M64,1000,9*10^-4,K64,0.6,0.36,7)</f>
        <v>33422.636887896355</v>
      </c>
      <c r="S64" s="1">
        <f t="shared" si="6"/>
        <v>0.201025415181247</v>
      </c>
      <c r="T64" s="1">
        <f t="shared" si="7"/>
        <v>3.134167472174247E-5</v>
      </c>
      <c r="U64" s="1">
        <f t="shared" si="8"/>
        <v>2.4434840425531916E-6</v>
      </c>
      <c r="V64" s="1">
        <f t="shared" si="9"/>
        <v>3.581429</v>
      </c>
      <c r="W64" s="1">
        <f t="shared" si="10"/>
        <v>240.04048397806883</v>
      </c>
      <c r="X64" s="1">
        <f t="shared" si="11"/>
        <v>3.125</v>
      </c>
      <c r="Y64" s="1">
        <f t="shared" si="12"/>
        <v>5.431283428847658E-2</v>
      </c>
      <c r="Z64" s="1">
        <v>37.356741919999997</v>
      </c>
    </row>
    <row r="65" spans="1:26" x14ac:dyDescent="0.25">
      <c r="A65" s="1">
        <f>35</f>
        <v>35</v>
      </c>
      <c r="B65" s="1">
        <v>0.4</v>
      </c>
      <c r="C65" s="1">
        <v>2.152857</v>
      </c>
      <c r="D65" s="1">
        <f t="shared" si="0"/>
        <v>7.5349995000000003E-2</v>
      </c>
      <c r="E65" s="1">
        <v>10</v>
      </c>
      <c r="F65" s="1">
        <v>0.5</v>
      </c>
      <c r="G65" s="1">
        <v>75</v>
      </c>
      <c r="H65" s="1">
        <v>39.262245829999998</v>
      </c>
      <c r="I65" s="1">
        <f t="shared" si="1"/>
        <v>3.5000000000000003E-2</v>
      </c>
      <c r="J65" s="1">
        <f t="shared" si="2"/>
        <v>7.5349995000000003E-2</v>
      </c>
      <c r="K65" s="1">
        <f t="shared" si="3"/>
        <v>4.0000000000000002E-4</v>
      </c>
      <c r="L65" s="1">
        <f t="shared" si="4"/>
        <v>0.36653568526185887</v>
      </c>
      <c r="M65" s="1">
        <f t="shared" si="5"/>
        <v>2.0833333333333332E-2</v>
      </c>
      <c r="N65" s="1">
        <v>235</v>
      </c>
      <c r="O65" s="1">
        <f t="shared" si="13"/>
        <v>3.2</v>
      </c>
      <c r="P65" s="1">
        <v>4148</v>
      </c>
      <c r="Q65" s="1">
        <f>[1]!HeatTransferArea(I65,D65,0.36,K65)</f>
        <v>0.69595383277568135</v>
      </c>
      <c r="R65" s="1">
        <f>[1]!Convection(I65,M65,1000,9*10^-4,K65,0.6,0.36,7)</f>
        <v>25205.197460363899</v>
      </c>
      <c r="S65" s="1">
        <f t="shared" si="6"/>
        <v>1.0032597404293342</v>
      </c>
      <c r="T65" s="1">
        <f t="shared" si="7"/>
        <v>3.7750144591090596E-6</v>
      </c>
      <c r="U65" s="1">
        <f t="shared" si="8"/>
        <v>8.1449468085106394E-7</v>
      </c>
      <c r="V65" s="1">
        <f t="shared" si="9"/>
        <v>2.152857</v>
      </c>
      <c r="W65" s="1">
        <f t="shared" si="10"/>
        <v>407.30187116128036</v>
      </c>
      <c r="X65" s="1">
        <f t="shared" si="11"/>
        <v>3.125</v>
      </c>
      <c r="Y65" s="1">
        <f t="shared" si="12"/>
        <v>0.28488594908446369</v>
      </c>
      <c r="Z65" s="1">
        <v>39.262245829999998</v>
      </c>
    </row>
    <row r="66" spans="1:26" x14ac:dyDescent="0.25">
      <c r="A66" s="1">
        <f>35</f>
        <v>35</v>
      </c>
      <c r="B66" s="1">
        <v>0.4</v>
      </c>
      <c r="C66" s="1">
        <v>2.152857</v>
      </c>
      <c r="D66" s="1">
        <f t="shared" ref="D66:D129" si="14">C66*A66/1000</f>
        <v>7.5349995000000003E-2</v>
      </c>
      <c r="E66" s="1">
        <v>10</v>
      </c>
      <c r="F66" s="1">
        <v>1</v>
      </c>
      <c r="G66" s="1">
        <v>75</v>
      </c>
      <c r="H66" s="1">
        <v>39.596818489999997</v>
      </c>
      <c r="I66" s="1">
        <f t="shared" ref="I66:I129" si="15">A66/1000</f>
        <v>3.5000000000000003E-2</v>
      </c>
      <c r="J66" s="1">
        <f t="shared" ref="J66:J129" si="16">D66</f>
        <v>7.5349995000000003E-2</v>
      </c>
      <c r="K66" s="1">
        <f t="shared" ref="K66:K129" si="17">B66/1000</f>
        <v>4.0000000000000002E-4</v>
      </c>
      <c r="L66" s="1">
        <f t="shared" ref="L66:L129" si="18">PI()*I66^2*J66/4*(1-0.36)*7900</f>
        <v>0.36653568526185887</v>
      </c>
      <c r="M66" s="1">
        <f t="shared" ref="M66:M129" si="19">G66/3600</f>
        <v>2.0833333333333332E-2</v>
      </c>
      <c r="N66" s="1">
        <v>235</v>
      </c>
      <c r="O66" s="1">
        <f t="shared" si="13"/>
        <v>3.2</v>
      </c>
      <c r="P66" s="1">
        <v>4148</v>
      </c>
      <c r="Q66" s="1">
        <f>[1]!HeatTransferArea(I66,D66,0.36,K66)</f>
        <v>0.69595383277568135</v>
      </c>
      <c r="R66" s="1">
        <f>[1]!Convection(I66,M66,1000,9*10^-4,K66,0.6,0.36,7)</f>
        <v>25205.197460363899</v>
      </c>
      <c r="S66" s="1">
        <f t="shared" ref="S66:S129" si="20">M66*P66/(2*F66*L66*N66)</f>
        <v>0.5016298702146671</v>
      </c>
      <c r="T66" s="1">
        <f t="shared" ref="T66:T129" si="21">J66^2*F66/(N66*O66)</f>
        <v>7.5500289182181192E-6</v>
      </c>
      <c r="U66" s="1">
        <f t="shared" ref="U66:U129" si="22">I66^2*F66/(N66*O66)</f>
        <v>1.6289893617021279E-6</v>
      </c>
      <c r="V66" s="1">
        <f t="shared" ref="V66:V129" si="23">C66</f>
        <v>2.152857</v>
      </c>
      <c r="W66" s="1">
        <f t="shared" ref="W66:W129" si="24">R66*Q66/(F66*L66*N66)</f>
        <v>203.65093558064018</v>
      </c>
      <c r="X66" s="1">
        <f t="shared" ref="X66:X129" si="25">E66/O66</f>
        <v>3.125</v>
      </c>
      <c r="Y66" s="1">
        <f t="shared" ref="Y66:Y129" si="26">H66/(L66*F66*N66*O66)</f>
        <v>0.14365680028967526</v>
      </c>
      <c r="Z66" s="1">
        <v>39.596818489999997</v>
      </c>
    </row>
    <row r="67" spans="1:26" x14ac:dyDescent="0.25">
      <c r="A67" s="1">
        <f>35</f>
        <v>35</v>
      </c>
      <c r="B67" s="1">
        <v>0.4</v>
      </c>
      <c r="C67" s="1">
        <v>2.152857</v>
      </c>
      <c r="D67" s="1">
        <f t="shared" si="14"/>
        <v>7.5349995000000003E-2</v>
      </c>
      <c r="E67" s="1">
        <v>10</v>
      </c>
      <c r="F67" s="1">
        <v>1.5</v>
      </c>
      <c r="G67" s="1">
        <v>75</v>
      </c>
      <c r="H67" s="1">
        <v>39.364683620000001</v>
      </c>
      <c r="I67" s="1">
        <f t="shared" si="15"/>
        <v>3.5000000000000003E-2</v>
      </c>
      <c r="J67" s="1">
        <f t="shared" si="16"/>
        <v>7.5349995000000003E-2</v>
      </c>
      <c r="K67" s="1">
        <f t="shared" si="17"/>
        <v>4.0000000000000002E-4</v>
      </c>
      <c r="L67" s="1">
        <f t="shared" si="18"/>
        <v>0.36653568526185887</v>
      </c>
      <c r="M67" s="1">
        <f t="shared" si="19"/>
        <v>2.0833333333333332E-2</v>
      </c>
      <c r="N67" s="1">
        <v>235</v>
      </c>
      <c r="O67" s="1">
        <f t="shared" ref="O67:O130" si="27">3.2</f>
        <v>3.2</v>
      </c>
      <c r="P67" s="1">
        <v>4148</v>
      </c>
      <c r="Q67" s="1">
        <f>[1]!HeatTransferArea(I67,D67,0.36,K67)</f>
        <v>0.69595383277568135</v>
      </c>
      <c r="R67" s="1">
        <f>[1]!Convection(I67,M67,1000,9*10^-4,K67,0.6,0.36,7)</f>
        <v>25205.197460363899</v>
      </c>
      <c r="S67" s="1">
        <f t="shared" si="20"/>
        <v>0.33441991347644473</v>
      </c>
      <c r="T67" s="1">
        <f t="shared" si="21"/>
        <v>1.1325043377327179E-5</v>
      </c>
      <c r="U67" s="1">
        <f t="shared" si="22"/>
        <v>2.4434840425531916E-6</v>
      </c>
      <c r="V67" s="1">
        <f t="shared" si="23"/>
        <v>2.152857</v>
      </c>
      <c r="W67" s="1">
        <f t="shared" si="24"/>
        <v>135.76729038709345</v>
      </c>
      <c r="X67" s="1">
        <f t="shared" si="25"/>
        <v>3.125</v>
      </c>
      <c r="Y67" s="1">
        <f t="shared" si="26"/>
        <v>9.5209745107724369E-2</v>
      </c>
      <c r="Z67" s="1">
        <v>39.364683620000001</v>
      </c>
    </row>
    <row r="68" spans="1:26" x14ac:dyDescent="0.25">
      <c r="A68" s="1">
        <f>35</f>
        <v>35</v>
      </c>
      <c r="B68" s="1">
        <v>0.4</v>
      </c>
      <c r="C68" s="1">
        <v>2.867143</v>
      </c>
      <c r="D68" s="1">
        <f t="shared" si="14"/>
        <v>0.10035000499999999</v>
      </c>
      <c r="E68" s="1">
        <v>10</v>
      </c>
      <c r="F68" s="1">
        <v>0.5</v>
      </c>
      <c r="G68" s="1">
        <v>75</v>
      </c>
      <c r="H68" s="1">
        <v>39.247410469999998</v>
      </c>
      <c r="I68" s="1">
        <f t="shared" si="15"/>
        <v>3.5000000000000003E-2</v>
      </c>
      <c r="J68" s="1">
        <f t="shared" si="16"/>
        <v>0.10035000499999999</v>
      </c>
      <c r="K68" s="1">
        <f t="shared" si="17"/>
        <v>4.0000000000000002E-4</v>
      </c>
      <c r="L68" s="1">
        <f t="shared" si="18"/>
        <v>0.48814678552674029</v>
      </c>
      <c r="M68" s="1">
        <f t="shared" si="19"/>
        <v>2.0833333333333332E-2</v>
      </c>
      <c r="N68" s="1">
        <v>235</v>
      </c>
      <c r="O68" s="1">
        <f t="shared" si="27"/>
        <v>3.2</v>
      </c>
      <c r="P68" s="1">
        <v>4148</v>
      </c>
      <c r="Q68" s="1">
        <f>[1]!HeatTransferArea(I68,D68,0.36,K68)</f>
        <v>0.92686098517735516</v>
      </c>
      <c r="R68" s="1">
        <f>[1]!Convection(I68,M68,1000,9*10^-4,K68,0.6,0.36,7)</f>
        <v>25205.197460363899</v>
      </c>
      <c r="S68" s="1">
        <f t="shared" si="20"/>
        <v>0.7533195083054719</v>
      </c>
      <c r="T68" s="1">
        <f t="shared" si="21"/>
        <v>6.6955608400931009E-6</v>
      </c>
      <c r="U68" s="1">
        <f t="shared" si="22"/>
        <v>8.1449468085106394E-7</v>
      </c>
      <c r="V68" s="1">
        <f t="shared" si="23"/>
        <v>2.867143</v>
      </c>
      <c r="W68" s="1">
        <f t="shared" si="24"/>
        <v>407.30187116128042</v>
      </c>
      <c r="X68" s="1">
        <f t="shared" si="25"/>
        <v>3.125</v>
      </c>
      <c r="Y68" s="1">
        <f t="shared" si="26"/>
        <v>0.21383201512191488</v>
      </c>
      <c r="Z68" s="1">
        <v>39.247410469999998</v>
      </c>
    </row>
    <row r="69" spans="1:26" x14ac:dyDescent="0.25">
      <c r="A69" s="1">
        <f>35</f>
        <v>35</v>
      </c>
      <c r="B69" s="1">
        <v>0.4</v>
      </c>
      <c r="C69" s="1">
        <v>2.867143</v>
      </c>
      <c r="D69" s="1">
        <f t="shared" si="14"/>
        <v>0.10035000499999999</v>
      </c>
      <c r="E69" s="1">
        <v>10</v>
      </c>
      <c r="F69" s="1">
        <v>1</v>
      </c>
      <c r="G69" s="1">
        <v>75</v>
      </c>
      <c r="H69" s="1">
        <v>38.994966910000002</v>
      </c>
      <c r="I69" s="1">
        <f t="shared" si="15"/>
        <v>3.5000000000000003E-2</v>
      </c>
      <c r="J69" s="1">
        <f t="shared" si="16"/>
        <v>0.10035000499999999</v>
      </c>
      <c r="K69" s="1">
        <f t="shared" si="17"/>
        <v>4.0000000000000002E-4</v>
      </c>
      <c r="L69" s="1">
        <f t="shared" si="18"/>
        <v>0.48814678552674029</v>
      </c>
      <c r="M69" s="1">
        <f t="shared" si="19"/>
        <v>2.0833333333333332E-2</v>
      </c>
      <c r="N69" s="1">
        <v>235</v>
      </c>
      <c r="O69" s="1">
        <f t="shared" si="27"/>
        <v>3.2</v>
      </c>
      <c r="P69" s="1">
        <v>4148</v>
      </c>
      <c r="Q69" s="1">
        <f>[1]!HeatTransferArea(I69,D69,0.36,K69)</f>
        <v>0.92686098517735516</v>
      </c>
      <c r="R69" s="1">
        <f>[1]!Convection(I69,M69,1000,9*10^-4,K69,0.6,0.36,7)</f>
        <v>25205.197460363899</v>
      </c>
      <c r="S69" s="1">
        <f t="shared" si="20"/>
        <v>0.37665975415273595</v>
      </c>
      <c r="T69" s="1">
        <f t="shared" si="21"/>
        <v>1.3391121680186202E-5</v>
      </c>
      <c r="U69" s="1">
        <f t="shared" si="22"/>
        <v>1.6289893617021279E-6</v>
      </c>
      <c r="V69" s="1">
        <f t="shared" si="23"/>
        <v>2.867143</v>
      </c>
      <c r="W69" s="1">
        <f t="shared" si="24"/>
        <v>203.65093558064021</v>
      </c>
      <c r="X69" s="1">
        <f t="shared" si="25"/>
        <v>3.125</v>
      </c>
      <c r="Y69" s="1">
        <f t="shared" si="26"/>
        <v>0.1062283123156799</v>
      </c>
      <c r="Z69" s="1">
        <v>38.994966910000002</v>
      </c>
    </row>
    <row r="70" spans="1:26" x14ac:dyDescent="0.25">
      <c r="A70" s="1">
        <f>35</f>
        <v>35</v>
      </c>
      <c r="B70" s="1">
        <v>0.4</v>
      </c>
      <c r="C70" s="1">
        <v>2.867143</v>
      </c>
      <c r="D70" s="1">
        <f t="shared" si="14"/>
        <v>0.10035000499999999</v>
      </c>
      <c r="E70" s="1">
        <v>10</v>
      </c>
      <c r="F70" s="1">
        <v>1.5</v>
      </c>
      <c r="G70" s="1">
        <v>75</v>
      </c>
      <c r="H70" s="1">
        <v>38.623086630000003</v>
      </c>
      <c r="I70" s="1">
        <f t="shared" si="15"/>
        <v>3.5000000000000003E-2</v>
      </c>
      <c r="J70" s="1">
        <f t="shared" si="16"/>
        <v>0.10035000499999999</v>
      </c>
      <c r="K70" s="1">
        <f t="shared" si="17"/>
        <v>4.0000000000000002E-4</v>
      </c>
      <c r="L70" s="1">
        <f t="shared" si="18"/>
        <v>0.48814678552674029</v>
      </c>
      <c r="M70" s="1">
        <f t="shared" si="19"/>
        <v>2.0833333333333332E-2</v>
      </c>
      <c r="N70" s="1">
        <v>235</v>
      </c>
      <c r="O70" s="1">
        <f t="shared" si="27"/>
        <v>3.2</v>
      </c>
      <c r="P70" s="1">
        <v>4148</v>
      </c>
      <c r="Q70" s="1">
        <f>[1]!HeatTransferArea(I70,D70,0.36,K70)</f>
        <v>0.92686098517735516</v>
      </c>
      <c r="R70" s="1">
        <f>[1]!Convection(I70,M70,1000,9*10^-4,K70,0.6,0.36,7)</f>
        <v>25205.197460363899</v>
      </c>
      <c r="S70" s="1">
        <f t="shared" si="20"/>
        <v>0.25110650276849067</v>
      </c>
      <c r="T70" s="1">
        <f t="shared" si="21"/>
        <v>2.0086682520279301E-5</v>
      </c>
      <c r="U70" s="1">
        <f t="shared" si="22"/>
        <v>2.4434840425531916E-6</v>
      </c>
      <c r="V70" s="1">
        <f t="shared" si="23"/>
        <v>2.867143</v>
      </c>
      <c r="W70" s="1">
        <f t="shared" si="24"/>
        <v>135.76729038709348</v>
      </c>
      <c r="X70" s="1">
        <f t="shared" si="25"/>
        <v>3.125</v>
      </c>
      <c r="Y70" s="1">
        <f t="shared" si="26"/>
        <v>7.0143501999400309E-2</v>
      </c>
      <c r="Z70" s="1">
        <v>38.623086630000003</v>
      </c>
    </row>
    <row r="71" spans="1:26" x14ac:dyDescent="0.25">
      <c r="A71" s="1">
        <f>35</f>
        <v>35</v>
      </c>
      <c r="B71" s="1">
        <v>0.4</v>
      </c>
      <c r="C71" s="1">
        <v>3.581429</v>
      </c>
      <c r="D71" s="1">
        <f t="shared" si="14"/>
        <v>0.12535001500000001</v>
      </c>
      <c r="E71" s="1">
        <v>10</v>
      </c>
      <c r="F71" s="1">
        <v>0.5</v>
      </c>
      <c r="G71" s="1">
        <v>75</v>
      </c>
      <c r="H71" s="1">
        <v>38.945282319999997</v>
      </c>
      <c r="I71" s="1">
        <f t="shared" si="15"/>
        <v>3.5000000000000003E-2</v>
      </c>
      <c r="J71" s="1">
        <f t="shared" si="16"/>
        <v>0.12535001500000001</v>
      </c>
      <c r="K71" s="1">
        <f t="shared" si="17"/>
        <v>4.0000000000000002E-4</v>
      </c>
      <c r="L71" s="1">
        <f t="shared" si="18"/>
        <v>0.60975788579162205</v>
      </c>
      <c r="M71" s="1">
        <f t="shared" si="19"/>
        <v>2.0833333333333332E-2</v>
      </c>
      <c r="N71" s="1">
        <v>235</v>
      </c>
      <c r="O71" s="1">
        <f t="shared" si="27"/>
        <v>3.2</v>
      </c>
      <c r="P71" s="1">
        <v>4148</v>
      </c>
      <c r="Q71" s="1">
        <f>[1]!HeatTransferArea(I71,D71,0.36,K71)</f>
        <v>1.1577681375790292</v>
      </c>
      <c r="R71" s="1">
        <f>[1]!Convection(I71,M71,1000,9*10^-4,K71,0.6,0.36,7)</f>
        <v>25205.197460363899</v>
      </c>
      <c r="S71" s="1">
        <f t="shared" si="20"/>
        <v>0.60307624554374106</v>
      </c>
      <c r="T71" s="1">
        <f t="shared" si="21"/>
        <v>1.0447224907247491E-5</v>
      </c>
      <c r="U71" s="1">
        <f t="shared" si="22"/>
        <v>8.1449468085106394E-7</v>
      </c>
      <c r="V71" s="1">
        <f t="shared" si="23"/>
        <v>3.581429</v>
      </c>
      <c r="W71" s="1">
        <f t="shared" si="24"/>
        <v>407.3018711612803</v>
      </c>
      <c r="X71" s="1">
        <f t="shared" si="25"/>
        <v>3.125</v>
      </c>
      <c r="Y71" s="1">
        <f t="shared" si="26"/>
        <v>0.16986722258813866</v>
      </c>
      <c r="Z71" s="1">
        <v>38.945282319999997</v>
      </c>
    </row>
    <row r="72" spans="1:26" x14ac:dyDescent="0.25">
      <c r="A72" s="1">
        <f>35</f>
        <v>35</v>
      </c>
      <c r="B72" s="1">
        <v>0.4</v>
      </c>
      <c r="C72" s="1">
        <v>3.581429</v>
      </c>
      <c r="D72" s="1">
        <f t="shared" si="14"/>
        <v>0.12535001500000001</v>
      </c>
      <c r="E72" s="1">
        <v>10</v>
      </c>
      <c r="F72" s="1">
        <v>1</v>
      </c>
      <c r="G72" s="1">
        <v>75</v>
      </c>
      <c r="H72" s="1">
        <v>38.439520209999998</v>
      </c>
      <c r="I72" s="1">
        <f t="shared" si="15"/>
        <v>3.5000000000000003E-2</v>
      </c>
      <c r="J72" s="1">
        <f t="shared" si="16"/>
        <v>0.12535001500000001</v>
      </c>
      <c r="K72" s="1">
        <f t="shared" si="17"/>
        <v>4.0000000000000002E-4</v>
      </c>
      <c r="L72" s="1">
        <f t="shared" si="18"/>
        <v>0.60975788579162205</v>
      </c>
      <c r="M72" s="1">
        <f t="shared" si="19"/>
        <v>2.0833333333333332E-2</v>
      </c>
      <c r="N72" s="1">
        <v>235</v>
      </c>
      <c r="O72" s="1">
        <f t="shared" si="27"/>
        <v>3.2</v>
      </c>
      <c r="P72" s="1">
        <v>4148</v>
      </c>
      <c r="Q72" s="1">
        <f>[1]!HeatTransferArea(I72,D72,0.36,K72)</f>
        <v>1.1577681375790292</v>
      </c>
      <c r="R72" s="1">
        <f>[1]!Convection(I72,M72,1000,9*10^-4,K72,0.6,0.36,7)</f>
        <v>25205.197460363899</v>
      </c>
      <c r="S72" s="1">
        <f t="shared" si="20"/>
        <v>0.30153812277187053</v>
      </c>
      <c r="T72" s="1">
        <f t="shared" si="21"/>
        <v>2.0894449814494981E-5</v>
      </c>
      <c r="U72" s="1">
        <f t="shared" si="22"/>
        <v>1.6289893617021279E-6</v>
      </c>
      <c r="V72" s="1">
        <f t="shared" si="23"/>
        <v>3.581429</v>
      </c>
      <c r="W72" s="1">
        <f t="shared" si="24"/>
        <v>203.65093558064015</v>
      </c>
      <c r="X72" s="1">
        <f t="shared" si="25"/>
        <v>3.125</v>
      </c>
      <c r="Y72" s="1">
        <f t="shared" si="26"/>
        <v>8.3830622693163784E-2</v>
      </c>
      <c r="Z72" s="1">
        <v>38.439520209999998</v>
      </c>
    </row>
    <row r="73" spans="1:26" x14ac:dyDescent="0.25">
      <c r="A73" s="1">
        <f>35</f>
        <v>35</v>
      </c>
      <c r="B73" s="1">
        <v>0.4</v>
      </c>
      <c r="C73" s="1">
        <v>3.581429</v>
      </c>
      <c r="D73" s="1">
        <f t="shared" si="14"/>
        <v>0.12535001500000001</v>
      </c>
      <c r="E73" s="1">
        <v>10</v>
      </c>
      <c r="F73" s="1">
        <v>1.5</v>
      </c>
      <c r="G73" s="1">
        <v>75</v>
      </c>
      <c r="H73" s="1">
        <v>37.971214060000001</v>
      </c>
      <c r="I73" s="1">
        <f t="shared" si="15"/>
        <v>3.5000000000000003E-2</v>
      </c>
      <c r="J73" s="1">
        <f t="shared" si="16"/>
        <v>0.12535001500000001</v>
      </c>
      <c r="K73" s="1">
        <f t="shared" si="17"/>
        <v>4.0000000000000002E-4</v>
      </c>
      <c r="L73" s="1">
        <f t="shared" si="18"/>
        <v>0.60975788579162205</v>
      </c>
      <c r="M73" s="1">
        <f t="shared" si="19"/>
        <v>2.0833333333333332E-2</v>
      </c>
      <c r="N73" s="1">
        <v>235</v>
      </c>
      <c r="O73" s="1">
        <f t="shared" si="27"/>
        <v>3.2</v>
      </c>
      <c r="P73" s="1">
        <v>4148</v>
      </c>
      <c r="Q73" s="1">
        <f>[1]!HeatTransferArea(I73,D73,0.36,K73)</f>
        <v>1.1577681375790292</v>
      </c>
      <c r="R73" s="1">
        <f>[1]!Convection(I73,M73,1000,9*10^-4,K73,0.6,0.36,7)</f>
        <v>25205.197460363899</v>
      </c>
      <c r="S73" s="1">
        <f t="shared" si="20"/>
        <v>0.201025415181247</v>
      </c>
      <c r="T73" s="1">
        <f t="shared" si="21"/>
        <v>3.134167472174247E-5</v>
      </c>
      <c r="U73" s="1">
        <f t="shared" si="22"/>
        <v>2.4434840425531916E-6</v>
      </c>
      <c r="V73" s="1">
        <f t="shared" si="23"/>
        <v>3.581429</v>
      </c>
      <c r="W73" s="1">
        <f t="shared" si="24"/>
        <v>135.76729038709345</v>
      </c>
      <c r="X73" s="1">
        <f t="shared" si="25"/>
        <v>3.125</v>
      </c>
      <c r="Y73" s="1">
        <f t="shared" si="26"/>
        <v>5.5206213148607797E-2</v>
      </c>
      <c r="Z73" s="1">
        <v>37.971214060000001</v>
      </c>
    </row>
    <row r="74" spans="1:26" x14ac:dyDescent="0.25">
      <c r="A74" s="1">
        <f>35</f>
        <v>35</v>
      </c>
      <c r="B74" s="1">
        <v>0.5</v>
      </c>
      <c r="C74" s="1">
        <v>2.152857</v>
      </c>
      <c r="D74" s="1">
        <f t="shared" si="14"/>
        <v>7.5349995000000003E-2</v>
      </c>
      <c r="E74" s="1">
        <v>10</v>
      </c>
      <c r="F74" s="1">
        <v>0.5</v>
      </c>
      <c r="G74" s="1">
        <v>75</v>
      </c>
      <c r="H74" s="1">
        <v>39.058623439999998</v>
      </c>
      <c r="I74" s="1">
        <f t="shared" si="15"/>
        <v>3.5000000000000003E-2</v>
      </c>
      <c r="J74" s="1">
        <f t="shared" si="16"/>
        <v>7.5349995000000003E-2</v>
      </c>
      <c r="K74" s="1">
        <f t="shared" si="17"/>
        <v>5.0000000000000001E-4</v>
      </c>
      <c r="L74" s="1">
        <f t="shared" si="18"/>
        <v>0.36653568526185887</v>
      </c>
      <c r="M74" s="1">
        <f t="shared" si="19"/>
        <v>2.0833333333333332E-2</v>
      </c>
      <c r="N74" s="1">
        <v>235</v>
      </c>
      <c r="O74" s="1">
        <f t="shared" si="27"/>
        <v>3.2</v>
      </c>
      <c r="P74" s="1">
        <v>4148</v>
      </c>
      <c r="Q74" s="1">
        <f>[1]!HeatTransferArea(I74,D74,0.36,K74)</f>
        <v>0.55676306622054517</v>
      </c>
      <c r="R74" s="1">
        <f>[1]!Convection(I74,M74,1000,9*10^-4,K74,0.6,0.36,7)</f>
        <v>20264.082406437239</v>
      </c>
      <c r="S74" s="1">
        <f t="shared" si="20"/>
        <v>1.0032597404293342</v>
      </c>
      <c r="T74" s="1">
        <f t="shared" si="21"/>
        <v>3.7750144591090596E-6</v>
      </c>
      <c r="U74" s="1">
        <f t="shared" si="22"/>
        <v>8.1449468085106394E-7</v>
      </c>
      <c r="V74" s="1">
        <f t="shared" si="23"/>
        <v>2.152857</v>
      </c>
      <c r="W74" s="1">
        <f t="shared" si="24"/>
        <v>261.96497589792284</v>
      </c>
      <c r="X74" s="1">
        <f t="shared" si="25"/>
        <v>3.125</v>
      </c>
      <c r="Y74" s="1">
        <f t="shared" si="26"/>
        <v>0.28340846972474576</v>
      </c>
      <c r="Z74" s="1">
        <v>39.058623439999998</v>
      </c>
    </row>
    <row r="75" spans="1:26" x14ac:dyDescent="0.25">
      <c r="A75" s="1">
        <f>35</f>
        <v>35</v>
      </c>
      <c r="B75" s="1">
        <v>0.5</v>
      </c>
      <c r="C75" s="1">
        <v>2.152857</v>
      </c>
      <c r="D75" s="1">
        <f t="shared" si="14"/>
        <v>7.5349995000000003E-2</v>
      </c>
      <c r="E75" s="1">
        <v>10</v>
      </c>
      <c r="F75" s="1">
        <v>1</v>
      </c>
      <c r="G75" s="1">
        <v>75</v>
      </c>
      <c r="H75" s="1">
        <v>39.548520510000003</v>
      </c>
      <c r="I75" s="1">
        <f t="shared" si="15"/>
        <v>3.5000000000000003E-2</v>
      </c>
      <c r="J75" s="1">
        <f t="shared" si="16"/>
        <v>7.5349995000000003E-2</v>
      </c>
      <c r="K75" s="1">
        <f t="shared" si="17"/>
        <v>5.0000000000000001E-4</v>
      </c>
      <c r="L75" s="1">
        <f t="shared" si="18"/>
        <v>0.36653568526185887</v>
      </c>
      <c r="M75" s="1">
        <f t="shared" si="19"/>
        <v>2.0833333333333332E-2</v>
      </c>
      <c r="N75" s="1">
        <v>235</v>
      </c>
      <c r="O75" s="1">
        <f t="shared" si="27"/>
        <v>3.2</v>
      </c>
      <c r="P75" s="1">
        <v>4148</v>
      </c>
      <c r="Q75" s="1">
        <f>[1]!HeatTransferArea(I75,D75,0.36,K75)</f>
        <v>0.55676306622054517</v>
      </c>
      <c r="R75" s="1">
        <f>[1]!Convection(I75,M75,1000,9*10^-4,K75,0.6,0.36,7)</f>
        <v>20264.082406437239</v>
      </c>
      <c r="S75" s="1">
        <f t="shared" si="20"/>
        <v>0.5016298702146671</v>
      </c>
      <c r="T75" s="1">
        <f t="shared" si="21"/>
        <v>7.5500289182181192E-6</v>
      </c>
      <c r="U75" s="1">
        <f t="shared" si="22"/>
        <v>1.6289893617021279E-6</v>
      </c>
      <c r="V75" s="1">
        <f t="shared" si="23"/>
        <v>2.152857</v>
      </c>
      <c r="W75" s="1">
        <f t="shared" si="24"/>
        <v>130.98248794896142</v>
      </c>
      <c r="X75" s="1">
        <f t="shared" si="25"/>
        <v>3.125</v>
      </c>
      <c r="Y75" s="1">
        <f t="shared" si="26"/>
        <v>0.14348157577589252</v>
      </c>
      <c r="Z75" s="1">
        <v>39.548520510000003</v>
      </c>
    </row>
    <row r="76" spans="1:26" x14ac:dyDescent="0.25">
      <c r="A76" s="1">
        <f>35</f>
        <v>35</v>
      </c>
      <c r="B76" s="1">
        <v>0.5</v>
      </c>
      <c r="C76" s="1">
        <v>2.152857</v>
      </c>
      <c r="D76" s="1">
        <f t="shared" si="14"/>
        <v>7.5349995000000003E-2</v>
      </c>
      <c r="E76" s="1">
        <v>10</v>
      </c>
      <c r="F76" s="1">
        <v>1.5</v>
      </c>
      <c r="G76" s="1">
        <v>75</v>
      </c>
      <c r="H76" s="1">
        <v>39.335542940000003</v>
      </c>
      <c r="I76" s="1">
        <f t="shared" si="15"/>
        <v>3.5000000000000003E-2</v>
      </c>
      <c r="J76" s="1">
        <f t="shared" si="16"/>
        <v>7.5349995000000003E-2</v>
      </c>
      <c r="K76" s="1">
        <f t="shared" si="17"/>
        <v>5.0000000000000001E-4</v>
      </c>
      <c r="L76" s="1">
        <f t="shared" si="18"/>
        <v>0.36653568526185887</v>
      </c>
      <c r="M76" s="1">
        <f t="shared" si="19"/>
        <v>2.0833333333333332E-2</v>
      </c>
      <c r="N76" s="1">
        <v>235</v>
      </c>
      <c r="O76" s="1">
        <f t="shared" si="27"/>
        <v>3.2</v>
      </c>
      <c r="P76" s="1">
        <v>4148</v>
      </c>
      <c r="Q76" s="1">
        <f>[1]!HeatTransferArea(I76,D76,0.36,K76)</f>
        <v>0.55676306622054517</v>
      </c>
      <c r="R76" s="1">
        <f>[1]!Convection(I76,M76,1000,9*10^-4,K76,0.6,0.36,7)</f>
        <v>20264.082406437239</v>
      </c>
      <c r="S76" s="1">
        <f t="shared" si="20"/>
        <v>0.33441991347644473</v>
      </c>
      <c r="T76" s="1">
        <f t="shared" si="21"/>
        <v>1.1325043377327179E-5</v>
      </c>
      <c r="U76" s="1">
        <f t="shared" si="22"/>
        <v>2.4434840425531916E-6</v>
      </c>
      <c r="V76" s="1">
        <f t="shared" si="23"/>
        <v>2.152857</v>
      </c>
      <c r="W76" s="1">
        <f t="shared" si="24"/>
        <v>87.321658632640947</v>
      </c>
      <c r="X76" s="1">
        <f t="shared" si="25"/>
        <v>3.125</v>
      </c>
      <c r="Y76" s="1">
        <f t="shared" si="26"/>
        <v>9.5139263740673413E-2</v>
      </c>
      <c r="Z76" s="1">
        <v>39.335542940000003</v>
      </c>
    </row>
    <row r="77" spans="1:26" x14ac:dyDescent="0.25">
      <c r="A77" s="1">
        <f>35</f>
        <v>35</v>
      </c>
      <c r="B77" s="1">
        <v>0.5</v>
      </c>
      <c r="C77" s="1">
        <v>2.867143</v>
      </c>
      <c r="D77" s="1">
        <f t="shared" si="14"/>
        <v>0.10035000499999999</v>
      </c>
      <c r="E77" s="1">
        <v>10</v>
      </c>
      <c r="F77" s="1">
        <v>0.5</v>
      </c>
      <c r="G77" s="1">
        <v>75</v>
      </c>
      <c r="H77" s="1">
        <v>39.288059560000001</v>
      </c>
      <c r="I77" s="1">
        <f t="shared" si="15"/>
        <v>3.5000000000000003E-2</v>
      </c>
      <c r="J77" s="1">
        <f t="shared" si="16"/>
        <v>0.10035000499999999</v>
      </c>
      <c r="K77" s="1">
        <f t="shared" si="17"/>
        <v>5.0000000000000001E-4</v>
      </c>
      <c r="L77" s="1">
        <f t="shared" si="18"/>
        <v>0.48814678552674029</v>
      </c>
      <c r="M77" s="1">
        <f t="shared" si="19"/>
        <v>2.0833333333333332E-2</v>
      </c>
      <c r="N77" s="1">
        <v>235</v>
      </c>
      <c r="O77" s="1">
        <f t="shared" si="27"/>
        <v>3.2</v>
      </c>
      <c r="P77" s="1">
        <v>4148</v>
      </c>
      <c r="Q77" s="1">
        <f>[1]!HeatTransferArea(I77,D77,0.36,K77)</f>
        <v>0.74148878814188413</v>
      </c>
      <c r="R77" s="1">
        <f>[1]!Convection(I77,M77,1000,9*10^-4,K77,0.6,0.36,7)</f>
        <v>20264.082406437239</v>
      </c>
      <c r="S77" s="1">
        <f t="shared" si="20"/>
        <v>0.7533195083054719</v>
      </c>
      <c r="T77" s="1">
        <f t="shared" si="21"/>
        <v>6.6955608400931009E-6</v>
      </c>
      <c r="U77" s="1">
        <f t="shared" si="22"/>
        <v>8.1449468085106394E-7</v>
      </c>
      <c r="V77" s="1">
        <f t="shared" si="23"/>
        <v>2.867143</v>
      </c>
      <c r="W77" s="1">
        <f t="shared" si="24"/>
        <v>261.96497589792284</v>
      </c>
      <c r="X77" s="1">
        <f t="shared" si="25"/>
        <v>3.125</v>
      </c>
      <c r="Y77" s="1">
        <f t="shared" si="26"/>
        <v>0.21405348392007206</v>
      </c>
      <c r="Z77" s="1">
        <v>39.288059560000001</v>
      </c>
    </row>
    <row r="78" spans="1:26" x14ac:dyDescent="0.25">
      <c r="A78" s="1">
        <f>35</f>
        <v>35</v>
      </c>
      <c r="B78" s="1">
        <v>0.5</v>
      </c>
      <c r="C78" s="1">
        <v>2.867143</v>
      </c>
      <c r="D78" s="1">
        <f t="shared" si="14"/>
        <v>0.10035000499999999</v>
      </c>
      <c r="E78" s="1">
        <v>10</v>
      </c>
      <c r="F78" s="1">
        <v>1</v>
      </c>
      <c r="G78" s="1">
        <v>75</v>
      </c>
      <c r="H78" s="1">
        <v>39.103740999999999</v>
      </c>
      <c r="I78" s="1">
        <f t="shared" si="15"/>
        <v>3.5000000000000003E-2</v>
      </c>
      <c r="J78" s="1">
        <f t="shared" si="16"/>
        <v>0.10035000499999999</v>
      </c>
      <c r="K78" s="1">
        <f t="shared" si="17"/>
        <v>5.0000000000000001E-4</v>
      </c>
      <c r="L78" s="1">
        <f t="shared" si="18"/>
        <v>0.48814678552674029</v>
      </c>
      <c r="M78" s="1">
        <f t="shared" si="19"/>
        <v>2.0833333333333332E-2</v>
      </c>
      <c r="N78" s="1">
        <v>235</v>
      </c>
      <c r="O78" s="1">
        <f t="shared" si="27"/>
        <v>3.2</v>
      </c>
      <c r="P78" s="1">
        <v>4148</v>
      </c>
      <c r="Q78" s="1">
        <f>[1]!HeatTransferArea(I78,D78,0.36,K78)</f>
        <v>0.74148878814188413</v>
      </c>
      <c r="R78" s="1">
        <f>[1]!Convection(I78,M78,1000,9*10^-4,K78,0.6,0.36,7)</f>
        <v>20264.082406437239</v>
      </c>
      <c r="S78" s="1">
        <f t="shared" si="20"/>
        <v>0.37665975415273595</v>
      </c>
      <c r="T78" s="1">
        <f t="shared" si="21"/>
        <v>1.3391121680186202E-5</v>
      </c>
      <c r="U78" s="1">
        <f t="shared" si="22"/>
        <v>1.6289893617021279E-6</v>
      </c>
      <c r="V78" s="1">
        <f t="shared" si="23"/>
        <v>2.867143</v>
      </c>
      <c r="W78" s="1">
        <f t="shared" si="24"/>
        <v>130.98248794896142</v>
      </c>
      <c r="X78" s="1">
        <f t="shared" si="25"/>
        <v>3.125</v>
      </c>
      <c r="Y78" s="1">
        <f t="shared" si="26"/>
        <v>0.10652462973610603</v>
      </c>
      <c r="Z78" s="1">
        <v>39.103740999999999</v>
      </c>
    </row>
    <row r="79" spans="1:26" x14ac:dyDescent="0.25">
      <c r="A79" s="1">
        <f>35</f>
        <v>35</v>
      </c>
      <c r="B79" s="1">
        <v>0.5</v>
      </c>
      <c r="C79" s="1">
        <v>2.867143</v>
      </c>
      <c r="D79" s="1">
        <f t="shared" si="14"/>
        <v>0.10035000499999999</v>
      </c>
      <c r="E79" s="1">
        <v>10</v>
      </c>
      <c r="F79" s="1">
        <v>1.5</v>
      </c>
      <c r="G79" s="1">
        <v>75</v>
      </c>
      <c r="H79" s="1">
        <v>38.726431839999996</v>
      </c>
      <c r="I79" s="1">
        <f t="shared" si="15"/>
        <v>3.5000000000000003E-2</v>
      </c>
      <c r="J79" s="1">
        <f t="shared" si="16"/>
        <v>0.10035000499999999</v>
      </c>
      <c r="K79" s="1">
        <f t="shared" si="17"/>
        <v>5.0000000000000001E-4</v>
      </c>
      <c r="L79" s="1">
        <f t="shared" si="18"/>
        <v>0.48814678552674029</v>
      </c>
      <c r="M79" s="1">
        <f t="shared" si="19"/>
        <v>2.0833333333333332E-2</v>
      </c>
      <c r="N79" s="1">
        <v>235</v>
      </c>
      <c r="O79" s="1">
        <f t="shared" si="27"/>
        <v>3.2</v>
      </c>
      <c r="P79" s="1">
        <v>4148</v>
      </c>
      <c r="Q79" s="1">
        <f>[1]!HeatTransferArea(I79,D79,0.36,K79)</f>
        <v>0.74148878814188413</v>
      </c>
      <c r="R79" s="1">
        <f>[1]!Convection(I79,M79,1000,9*10^-4,K79,0.6,0.36,7)</f>
        <v>20264.082406437239</v>
      </c>
      <c r="S79" s="1">
        <f t="shared" si="20"/>
        <v>0.25110650276849067</v>
      </c>
      <c r="T79" s="1">
        <f t="shared" si="21"/>
        <v>2.0086682520279301E-5</v>
      </c>
      <c r="U79" s="1">
        <f t="shared" si="22"/>
        <v>2.4434840425531916E-6</v>
      </c>
      <c r="V79" s="1">
        <f t="shared" si="23"/>
        <v>2.867143</v>
      </c>
      <c r="W79" s="1">
        <f t="shared" si="24"/>
        <v>87.321658632640961</v>
      </c>
      <c r="X79" s="1">
        <f t="shared" si="25"/>
        <v>3.125</v>
      </c>
      <c r="Y79" s="1">
        <f t="shared" si="26"/>
        <v>7.0331187541307072E-2</v>
      </c>
      <c r="Z79" s="1">
        <v>38.726431839999996</v>
      </c>
    </row>
    <row r="80" spans="1:26" x14ac:dyDescent="0.25">
      <c r="A80" s="1">
        <f>35</f>
        <v>35</v>
      </c>
      <c r="B80" s="1">
        <v>0.5</v>
      </c>
      <c r="C80" s="1">
        <v>3.581429</v>
      </c>
      <c r="D80" s="1">
        <f t="shared" si="14"/>
        <v>0.12535001500000001</v>
      </c>
      <c r="E80" s="1">
        <v>10</v>
      </c>
      <c r="F80" s="1">
        <v>0.5</v>
      </c>
      <c r="G80" s="1">
        <v>75</v>
      </c>
      <c r="H80" s="1">
        <v>39.117715709999999</v>
      </c>
      <c r="I80" s="1">
        <f t="shared" si="15"/>
        <v>3.5000000000000003E-2</v>
      </c>
      <c r="J80" s="1">
        <f t="shared" si="16"/>
        <v>0.12535001500000001</v>
      </c>
      <c r="K80" s="1">
        <f t="shared" si="17"/>
        <v>5.0000000000000001E-4</v>
      </c>
      <c r="L80" s="1">
        <f t="shared" si="18"/>
        <v>0.60975788579162205</v>
      </c>
      <c r="M80" s="1">
        <f t="shared" si="19"/>
        <v>2.0833333333333332E-2</v>
      </c>
      <c r="N80" s="1">
        <v>235</v>
      </c>
      <c r="O80" s="1">
        <f t="shared" si="27"/>
        <v>3.2</v>
      </c>
      <c r="P80" s="1">
        <v>4148</v>
      </c>
      <c r="Q80" s="1">
        <f>[1]!HeatTransferArea(I80,D80,0.36,K80)</f>
        <v>0.92621451006322331</v>
      </c>
      <c r="R80" s="1">
        <f>[1]!Convection(I80,M80,1000,9*10^-4,K80,0.6,0.36,7)</f>
        <v>20264.082406437239</v>
      </c>
      <c r="S80" s="1">
        <f t="shared" si="20"/>
        <v>0.60307624554374106</v>
      </c>
      <c r="T80" s="1">
        <f t="shared" si="21"/>
        <v>1.0447224907247491E-5</v>
      </c>
      <c r="U80" s="1">
        <f t="shared" si="22"/>
        <v>8.1449468085106394E-7</v>
      </c>
      <c r="V80" s="1">
        <f t="shared" si="23"/>
        <v>3.581429</v>
      </c>
      <c r="W80" s="1">
        <f t="shared" si="24"/>
        <v>261.96497589792284</v>
      </c>
      <c r="X80" s="1">
        <f t="shared" si="25"/>
        <v>3.125</v>
      </c>
      <c r="Y80" s="1">
        <f t="shared" si="26"/>
        <v>0.17061932346649628</v>
      </c>
      <c r="Z80" s="1">
        <v>39.117715709999999</v>
      </c>
    </row>
    <row r="81" spans="1:26" x14ac:dyDescent="0.25">
      <c r="A81" s="1">
        <f>35</f>
        <v>35</v>
      </c>
      <c r="B81" s="1">
        <v>0.5</v>
      </c>
      <c r="C81" s="1">
        <v>3.581429</v>
      </c>
      <c r="D81" s="1">
        <f t="shared" si="14"/>
        <v>0.12535001500000001</v>
      </c>
      <c r="E81" s="1">
        <v>10</v>
      </c>
      <c r="F81" s="1">
        <v>1</v>
      </c>
      <c r="G81" s="1">
        <v>75</v>
      </c>
      <c r="H81" s="1">
        <v>38.645210030000001</v>
      </c>
      <c r="I81" s="1">
        <f t="shared" si="15"/>
        <v>3.5000000000000003E-2</v>
      </c>
      <c r="J81" s="1">
        <f t="shared" si="16"/>
        <v>0.12535001500000001</v>
      </c>
      <c r="K81" s="1">
        <f t="shared" si="17"/>
        <v>5.0000000000000001E-4</v>
      </c>
      <c r="L81" s="1">
        <f t="shared" si="18"/>
        <v>0.60975788579162205</v>
      </c>
      <c r="M81" s="1">
        <f t="shared" si="19"/>
        <v>2.0833333333333332E-2</v>
      </c>
      <c r="N81" s="1">
        <v>235</v>
      </c>
      <c r="O81" s="1">
        <f t="shared" si="27"/>
        <v>3.2</v>
      </c>
      <c r="P81" s="1">
        <v>4148</v>
      </c>
      <c r="Q81" s="1">
        <f>[1]!HeatTransferArea(I81,D81,0.36,K81)</f>
        <v>0.92621451006322331</v>
      </c>
      <c r="R81" s="1">
        <f>[1]!Convection(I81,M81,1000,9*10^-4,K81,0.6,0.36,7)</f>
        <v>20264.082406437239</v>
      </c>
      <c r="S81" s="1">
        <f t="shared" si="20"/>
        <v>0.30153812277187053</v>
      </c>
      <c r="T81" s="1">
        <f t="shared" si="21"/>
        <v>2.0894449814494981E-5</v>
      </c>
      <c r="U81" s="1">
        <f t="shared" si="22"/>
        <v>1.6289893617021279E-6</v>
      </c>
      <c r="V81" s="1">
        <f t="shared" si="23"/>
        <v>3.581429</v>
      </c>
      <c r="W81" s="1">
        <f t="shared" si="24"/>
        <v>130.98248794896142</v>
      </c>
      <c r="X81" s="1">
        <f t="shared" si="25"/>
        <v>3.125</v>
      </c>
      <c r="Y81" s="1">
        <f t="shared" si="26"/>
        <v>8.4279200240387153E-2</v>
      </c>
      <c r="Z81" s="1">
        <v>38.645210030000001</v>
      </c>
    </row>
    <row r="82" spans="1:26" x14ac:dyDescent="0.25">
      <c r="A82" s="1">
        <f>35</f>
        <v>35</v>
      </c>
      <c r="B82" s="1">
        <v>0.5</v>
      </c>
      <c r="C82" s="1">
        <v>3.581429</v>
      </c>
      <c r="D82" s="1">
        <f t="shared" si="14"/>
        <v>0.12535001500000001</v>
      </c>
      <c r="E82" s="1">
        <v>10</v>
      </c>
      <c r="F82" s="1">
        <v>1.5</v>
      </c>
      <c r="G82" s="1">
        <v>75</v>
      </c>
      <c r="H82" s="1">
        <v>38.164356730000002</v>
      </c>
      <c r="I82" s="1">
        <f t="shared" si="15"/>
        <v>3.5000000000000003E-2</v>
      </c>
      <c r="J82" s="1">
        <f t="shared" si="16"/>
        <v>0.12535001500000001</v>
      </c>
      <c r="K82" s="1">
        <f t="shared" si="17"/>
        <v>5.0000000000000001E-4</v>
      </c>
      <c r="L82" s="1">
        <f t="shared" si="18"/>
        <v>0.60975788579162205</v>
      </c>
      <c r="M82" s="1">
        <f t="shared" si="19"/>
        <v>2.0833333333333332E-2</v>
      </c>
      <c r="N82" s="1">
        <v>235</v>
      </c>
      <c r="O82" s="1">
        <f t="shared" si="27"/>
        <v>3.2</v>
      </c>
      <c r="P82" s="1">
        <v>4148</v>
      </c>
      <c r="Q82" s="1">
        <f>[1]!HeatTransferArea(I82,D82,0.36,K82)</f>
        <v>0.92621451006322331</v>
      </c>
      <c r="R82" s="1">
        <f>[1]!Convection(I82,M82,1000,9*10^-4,K82,0.6,0.36,7)</f>
        <v>20264.082406437239</v>
      </c>
      <c r="S82" s="1">
        <f t="shared" si="20"/>
        <v>0.201025415181247</v>
      </c>
      <c r="T82" s="1">
        <f t="shared" si="21"/>
        <v>3.134167472174247E-5</v>
      </c>
      <c r="U82" s="1">
        <f t="shared" si="22"/>
        <v>2.4434840425531916E-6</v>
      </c>
      <c r="V82" s="1">
        <f t="shared" si="23"/>
        <v>3.581429</v>
      </c>
      <c r="W82" s="1">
        <f t="shared" si="24"/>
        <v>87.321658632640947</v>
      </c>
      <c r="X82" s="1">
        <f t="shared" si="25"/>
        <v>3.125</v>
      </c>
      <c r="Y82" s="1">
        <f t="shared" si="26"/>
        <v>5.5487022589972054E-2</v>
      </c>
      <c r="Z82" s="1">
        <v>38.164356730000002</v>
      </c>
    </row>
    <row r="83" spans="1:26" x14ac:dyDescent="0.25">
      <c r="A83" s="1">
        <f>35</f>
        <v>35</v>
      </c>
      <c r="B83" s="1">
        <v>0.3</v>
      </c>
      <c r="C83" s="1">
        <v>2.1428569999999998</v>
      </c>
      <c r="D83" s="1">
        <f t="shared" si="14"/>
        <v>7.4999995E-2</v>
      </c>
      <c r="E83" s="1">
        <v>10</v>
      </c>
      <c r="F83" s="1">
        <v>0.5</v>
      </c>
      <c r="G83" s="1">
        <v>100</v>
      </c>
      <c r="H83" s="1">
        <v>50.838586280000001</v>
      </c>
      <c r="I83" s="1">
        <f t="shared" si="15"/>
        <v>3.5000000000000003E-2</v>
      </c>
      <c r="J83" s="1">
        <f t="shared" si="16"/>
        <v>7.4999995E-2</v>
      </c>
      <c r="K83" s="1">
        <f t="shared" si="17"/>
        <v>2.9999999999999997E-4</v>
      </c>
      <c r="L83" s="1">
        <f t="shared" si="18"/>
        <v>0.36483313053917238</v>
      </c>
      <c r="M83" s="1">
        <f t="shared" si="19"/>
        <v>2.7777777777777776E-2</v>
      </c>
      <c r="N83" s="1">
        <v>235</v>
      </c>
      <c r="O83" s="1">
        <f t="shared" si="27"/>
        <v>3.2</v>
      </c>
      <c r="P83" s="1">
        <v>4148</v>
      </c>
      <c r="Q83" s="1">
        <f>[1]!HeatTransferArea(I83,D83,0.36,K83)</f>
        <v>0.92362817858018342</v>
      </c>
      <c r="R83" s="1">
        <f>[1]!Convection(I83,M83,1000,9*10^-4,K83,0.6,0.36,7)</f>
        <v>33606.929947151868</v>
      </c>
      <c r="S83" s="1">
        <f t="shared" si="20"/>
        <v>1.3439221593735065</v>
      </c>
      <c r="T83" s="1">
        <f t="shared" si="21"/>
        <v>3.740026097074485E-6</v>
      </c>
      <c r="U83" s="1">
        <f t="shared" si="22"/>
        <v>8.1449468085106394E-7</v>
      </c>
      <c r="V83" s="1">
        <f t="shared" si="23"/>
        <v>2.1428569999999998</v>
      </c>
      <c r="W83" s="1">
        <f t="shared" si="24"/>
        <v>724.09221539783198</v>
      </c>
      <c r="X83" s="1">
        <f t="shared" si="25"/>
        <v>3.125</v>
      </c>
      <c r="Y83" s="1">
        <f t="shared" si="26"/>
        <v>0.37060506501701146</v>
      </c>
      <c r="Z83" s="1">
        <v>50.838586280000001</v>
      </c>
    </row>
    <row r="84" spans="1:26" x14ac:dyDescent="0.25">
      <c r="A84" s="1">
        <f>35</f>
        <v>35</v>
      </c>
      <c r="B84" s="1">
        <v>0.3</v>
      </c>
      <c r="C84" s="1">
        <v>2.1428569999999998</v>
      </c>
      <c r="D84" s="1">
        <f t="shared" si="14"/>
        <v>7.4999995E-2</v>
      </c>
      <c r="E84" s="1">
        <v>10</v>
      </c>
      <c r="F84" s="1">
        <v>1</v>
      </c>
      <c r="G84" s="1">
        <v>100</v>
      </c>
      <c r="H84" s="1">
        <v>52.449575510000003</v>
      </c>
      <c r="I84" s="1">
        <f t="shared" si="15"/>
        <v>3.5000000000000003E-2</v>
      </c>
      <c r="J84" s="1">
        <f t="shared" si="16"/>
        <v>7.4999995E-2</v>
      </c>
      <c r="K84" s="1">
        <f t="shared" si="17"/>
        <v>2.9999999999999997E-4</v>
      </c>
      <c r="L84" s="1">
        <f t="shared" si="18"/>
        <v>0.36483313053917238</v>
      </c>
      <c r="M84" s="1">
        <f t="shared" si="19"/>
        <v>2.7777777777777776E-2</v>
      </c>
      <c r="N84" s="1">
        <v>235</v>
      </c>
      <c r="O84" s="1">
        <f t="shared" si="27"/>
        <v>3.2</v>
      </c>
      <c r="P84" s="1">
        <v>4148</v>
      </c>
      <c r="Q84" s="1">
        <f>[1]!HeatTransferArea(I84,D84,0.36,K84)</f>
        <v>0.92362817858018342</v>
      </c>
      <c r="R84" s="1">
        <f>[1]!Convection(I84,M84,1000,9*10^-4,K84,0.6,0.36,7)</f>
        <v>33606.929947151868</v>
      </c>
      <c r="S84" s="1">
        <f t="shared" si="20"/>
        <v>0.67196107968675323</v>
      </c>
      <c r="T84" s="1">
        <f t="shared" si="21"/>
        <v>7.48005219414897E-6</v>
      </c>
      <c r="U84" s="1">
        <f t="shared" si="22"/>
        <v>1.6289893617021279E-6</v>
      </c>
      <c r="V84" s="1">
        <f t="shared" si="23"/>
        <v>2.1428569999999998</v>
      </c>
      <c r="W84" s="1">
        <f t="shared" si="24"/>
        <v>362.04610769891599</v>
      </c>
      <c r="X84" s="1">
        <f t="shared" si="25"/>
        <v>3.125</v>
      </c>
      <c r="Y84" s="1">
        <f t="shared" si="26"/>
        <v>0.19117445787084347</v>
      </c>
      <c r="Z84" s="1">
        <v>52.449575510000003</v>
      </c>
    </row>
    <row r="85" spans="1:26" x14ac:dyDescent="0.25">
      <c r="A85" s="1">
        <f>35</f>
        <v>35</v>
      </c>
      <c r="B85" s="1">
        <v>0.3</v>
      </c>
      <c r="C85" s="1">
        <v>2.1428569999999998</v>
      </c>
      <c r="D85" s="1">
        <f t="shared" si="14"/>
        <v>7.4999995E-2</v>
      </c>
      <c r="E85" s="1">
        <v>10</v>
      </c>
      <c r="F85" s="1">
        <v>1.5</v>
      </c>
      <c r="G85" s="1">
        <v>100</v>
      </c>
      <c r="H85" s="1">
        <v>52.289904890000003</v>
      </c>
      <c r="I85" s="1">
        <f t="shared" si="15"/>
        <v>3.5000000000000003E-2</v>
      </c>
      <c r="J85" s="1">
        <f t="shared" si="16"/>
        <v>7.4999995E-2</v>
      </c>
      <c r="K85" s="1">
        <f t="shared" si="17"/>
        <v>2.9999999999999997E-4</v>
      </c>
      <c r="L85" s="1">
        <f t="shared" si="18"/>
        <v>0.36483313053917238</v>
      </c>
      <c r="M85" s="1">
        <f t="shared" si="19"/>
        <v>2.7777777777777776E-2</v>
      </c>
      <c r="N85" s="1">
        <v>235</v>
      </c>
      <c r="O85" s="1">
        <f t="shared" si="27"/>
        <v>3.2</v>
      </c>
      <c r="P85" s="1">
        <v>4148</v>
      </c>
      <c r="Q85" s="1">
        <f>[1]!HeatTransferArea(I85,D85,0.36,K85)</f>
        <v>0.92362817858018342</v>
      </c>
      <c r="R85" s="1">
        <f>[1]!Convection(I85,M85,1000,9*10^-4,K85,0.6,0.36,7)</f>
        <v>33606.929947151868</v>
      </c>
      <c r="S85" s="1">
        <f t="shared" si="20"/>
        <v>0.44797405312450211</v>
      </c>
      <c r="T85" s="1">
        <f t="shared" si="21"/>
        <v>1.1220078291223454E-5</v>
      </c>
      <c r="U85" s="1">
        <f t="shared" si="22"/>
        <v>2.4434840425531916E-6</v>
      </c>
      <c r="V85" s="1">
        <f t="shared" si="23"/>
        <v>2.1428569999999998</v>
      </c>
      <c r="W85" s="1">
        <f t="shared" si="24"/>
        <v>241.3640717992773</v>
      </c>
      <c r="X85" s="1">
        <f t="shared" si="25"/>
        <v>3.125</v>
      </c>
      <c r="Y85" s="1">
        <f t="shared" si="26"/>
        <v>0.1270616475889659</v>
      </c>
      <c r="Z85" s="1">
        <v>52.289904890000003</v>
      </c>
    </row>
    <row r="86" spans="1:26" x14ac:dyDescent="0.25">
      <c r="A86" s="1">
        <f>35</f>
        <v>35</v>
      </c>
      <c r="B86" s="1">
        <v>0.3</v>
      </c>
      <c r="C86" s="1">
        <v>2.8571430000000002</v>
      </c>
      <c r="D86" s="1">
        <f t="shared" si="14"/>
        <v>0.100000005</v>
      </c>
      <c r="E86" s="1">
        <v>10</v>
      </c>
      <c r="F86" s="1">
        <v>0.5</v>
      </c>
      <c r="G86" s="1">
        <v>100</v>
      </c>
      <c r="H86" s="1">
        <v>51.391766480000001</v>
      </c>
      <c r="I86" s="1">
        <f t="shared" si="15"/>
        <v>3.5000000000000003E-2</v>
      </c>
      <c r="J86" s="1">
        <f t="shared" si="16"/>
        <v>0.100000005</v>
      </c>
      <c r="K86" s="1">
        <f t="shared" si="17"/>
        <v>2.9999999999999997E-4</v>
      </c>
      <c r="L86" s="1">
        <f t="shared" si="18"/>
        <v>0.48644423080405397</v>
      </c>
      <c r="M86" s="1">
        <f t="shared" si="19"/>
        <v>2.7777777777777776E-2</v>
      </c>
      <c r="N86" s="1">
        <v>235</v>
      </c>
      <c r="O86" s="1">
        <f t="shared" si="27"/>
        <v>3.2</v>
      </c>
      <c r="P86" s="1">
        <v>4148</v>
      </c>
      <c r="Q86" s="1">
        <f>[1]!HeatTransferArea(I86,D86,0.36,K86)</f>
        <v>1.2315043817824152</v>
      </c>
      <c r="R86" s="1">
        <f>[1]!Convection(I86,M86,1000,9*10^-4,K86,0.6,0.36,7)</f>
        <v>33606.929947151868</v>
      </c>
      <c r="S86" s="1">
        <f t="shared" si="20"/>
        <v>1.0079415019369466</v>
      </c>
      <c r="T86" s="1">
        <f t="shared" si="21"/>
        <v>6.6489368351063999E-6</v>
      </c>
      <c r="U86" s="1">
        <f t="shared" si="22"/>
        <v>8.1449468085106394E-7</v>
      </c>
      <c r="V86" s="1">
        <f t="shared" si="23"/>
        <v>2.8571430000000002</v>
      </c>
      <c r="W86" s="1">
        <f t="shared" si="24"/>
        <v>724.09221539783175</v>
      </c>
      <c r="X86" s="1">
        <f t="shared" si="25"/>
        <v>3.125</v>
      </c>
      <c r="Y86" s="1">
        <f t="shared" si="26"/>
        <v>0.28097821157027258</v>
      </c>
      <c r="Z86" s="1">
        <v>51.391766480000001</v>
      </c>
    </row>
    <row r="87" spans="1:26" x14ac:dyDescent="0.25">
      <c r="A87" s="1">
        <f>35</f>
        <v>35</v>
      </c>
      <c r="B87" s="1">
        <v>0.3</v>
      </c>
      <c r="C87" s="1">
        <v>2.8571430000000002</v>
      </c>
      <c r="D87" s="1">
        <f t="shared" si="14"/>
        <v>0.100000005</v>
      </c>
      <c r="E87" s="1">
        <v>10</v>
      </c>
      <c r="F87" s="1">
        <v>1</v>
      </c>
      <c r="G87" s="1">
        <v>100</v>
      </c>
      <c r="H87" s="1">
        <v>51.511282309999999</v>
      </c>
      <c r="I87" s="1">
        <f t="shared" si="15"/>
        <v>3.5000000000000003E-2</v>
      </c>
      <c r="J87" s="1">
        <f t="shared" si="16"/>
        <v>0.100000005</v>
      </c>
      <c r="K87" s="1">
        <f t="shared" si="17"/>
        <v>2.9999999999999997E-4</v>
      </c>
      <c r="L87" s="1">
        <f t="shared" si="18"/>
        <v>0.48644423080405397</v>
      </c>
      <c r="M87" s="1">
        <f t="shared" si="19"/>
        <v>2.7777777777777776E-2</v>
      </c>
      <c r="N87" s="1">
        <v>235</v>
      </c>
      <c r="O87" s="1">
        <f t="shared" si="27"/>
        <v>3.2</v>
      </c>
      <c r="P87" s="1">
        <v>4148</v>
      </c>
      <c r="Q87" s="1">
        <f>[1]!HeatTransferArea(I87,D87,0.36,K87)</f>
        <v>1.2315043817824152</v>
      </c>
      <c r="R87" s="1">
        <f>[1]!Convection(I87,M87,1000,9*10^-4,K87,0.6,0.36,7)</f>
        <v>33606.929947151868</v>
      </c>
      <c r="S87" s="1">
        <f t="shared" si="20"/>
        <v>0.50397075096847332</v>
      </c>
      <c r="T87" s="1">
        <f t="shared" si="21"/>
        <v>1.32978736702128E-5</v>
      </c>
      <c r="U87" s="1">
        <f t="shared" si="22"/>
        <v>1.6289893617021279E-6</v>
      </c>
      <c r="V87" s="1">
        <f t="shared" si="23"/>
        <v>2.8571430000000002</v>
      </c>
      <c r="W87" s="1">
        <f t="shared" si="24"/>
        <v>362.04610769891588</v>
      </c>
      <c r="X87" s="1">
        <f t="shared" si="25"/>
        <v>3.125</v>
      </c>
      <c r="Y87" s="1">
        <f t="shared" si="26"/>
        <v>0.14081582489276614</v>
      </c>
      <c r="Z87" s="1">
        <v>51.511282309999999</v>
      </c>
    </row>
    <row r="88" spans="1:26" x14ac:dyDescent="0.25">
      <c r="A88" s="1">
        <f>35</f>
        <v>35</v>
      </c>
      <c r="B88" s="1">
        <v>0.3</v>
      </c>
      <c r="C88" s="1">
        <v>2.8571430000000002</v>
      </c>
      <c r="D88" s="1">
        <f t="shared" si="14"/>
        <v>0.100000005</v>
      </c>
      <c r="E88" s="1">
        <v>10</v>
      </c>
      <c r="F88" s="1">
        <v>1.5</v>
      </c>
      <c r="G88" s="1">
        <v>100</v>
      </c>
      <c r="H88" s="1">
        <v>51.123868620000003</v>
      </c>
      <c r="I88" s="1">
        <f t="shared" si="15"/>
        <v>3.5000000000000003E-2</v>
      </c>
      <c r="J88" s="1">
        <f t="shared" si="16"/>
        <v>0.100000005</v>
      </c>
      <c r="K88" s="1">
        <f t="shared" si="17"/>
        <v>2.9999999999999997E-4</v>
      </c>
      <c r="L88" s="1">
        <f t="shared" si="18"/>
        <v>0.48644423080405397</v>
      </c>
      <c r="M88" s="1">
        <f t="shared" si="19"/>
        <v>2.7777777777777776E-2</v>
      </c>
      <c r="N88" s="1">
        <v>235</v>
      </c>
      <c r="O88" s="1">
        <f t="shared" si="27"/>
        <v>3.2</v>
      </c>
      <c r="P88" s="1">
        <v>4148</v>
      </c>
      <c r="Q88" s="1">
        <f>[1]!HeatTransferArea(I88,D88,0.36,K88)</f>
        <v>1.2315043817824152</v>
      </c>
      <c r="R88" s="1">
        <f>[1]!Convection(I88,M88,1000,9*10^-4,K88,0.6,0.36,7)</f>
        <v>33606.929947151868</v>
      </c>
      <c r="S88" s="1">
        <f t="shared" si="20"/>
        <v>0.33598050064564888</v>
      </c>
      <c r="T88" s="1">
        <f t="shared" si="21"/>
        <v>1.99468105053192E-5</v>
      </c>
      <c r="U88" s="1">
        <f t="shared" si="22"/>
        <v>2.4434840425531916E-6</v>
      </c>
      <c r="V88" s="1">
        <f t="shared" si="23"/>
        <v>2.8571430000000002</v>
      </c>
      <c r="W88" s="1">
        <f t="shared" si="24"/>
        <v>241.36407179927727</v>
      </c>
      <c r="X88" s="1">
        <f t="shared" si="25"/>
        <v>3.125</v>
      </c>
      <c r="Y88" s="1">
        <f t="shared" si="26"/>
        <v>9.3171170904658762E-2</v>
      </c>
      <c r="Z88" s="1">
        <v>51.123868620000003</v>
      </c>
    </row>
    <row r="89" spans="1:26" x14ac:dyDescent="0.25">
      <c r="A89" s="1">
        <f>35</f>
        <v>35</v>
      </c>
      <c r="B89" s="1">
        <v>0.3</v>
      </c>
      <c r="C89" s="1">
        <v>3.5714290000000002</v>
      </c>
      <c r="D89" s="1">
        <f t="shared" si="14"/>
        <v>0.12500001499999999</v>
      </c>
      <c r="E89" s="1">
        <v>10</v>
      </c>
      <c r="F89" s="1">
        <v>0.5</v>
      </c>
      <c r="G89" s="1">
        <v>100</v>
      </c>
      <c r="H89" s="1">
        <v>51.0283935</v>
      </c>
      <c r="I89" s="1">
        <f t="shared" si="15"/>
        <v>3.5000000000000003E-2</v>
      </c>
      <c r="J89" s="1">
        <f t="shared" si="16"/>
        <v>0.12500001499999999</v>
      </c>
      <c r="K89" s="1">
        <f t="shared" si="17"/>
        <v>2.9999999999999997E-4</v>
      </c>
      <c r="L89" s="1">
        <f t="shared" si="18"/>
        <v>0.6080553310689355</v>
      </c>
      <c r="M89" s="1">
        <f t="shared" si="19"/>
        <v>2.7777777777777776E-2</v>
      </c>
      <c r="N89" s="1">
        <v>235</v>
      </c>
      <c r="O89" s="1">
        <f t="shared" si="27"/>
        <v>3.2</v>
      </c>
      <c r="P89" s="1">
        <v>4148</v>
      </c>
      <c r="Q89" s="1">
        <f>[1]!HeatTransferArea(I89,D89,0.36,K89)</f>
        <v>1.5393805849846469</v>
      </c>
      <c r="R89" s="1">
        <f>[1]!Convection(I89,M89,1000,9*10^-4,K89,0.6,0.36,7)</f>
        <v>33606.929947151868</v>
      </c>
      <c r="S89" s="1">
        <f t="shared" si="20"/>
        <v>0.80635314510484002</v>
      </c>
      <c r="T89" s="1">
        <f t="shared" si="21"/>
        <v>1.038896525930866E-5</v>
      </c>
      <c r="U89" s="1">
        <f t="shared" si="22"/>
        <v>8.1449468085106394E-7</v>
      </c>
      <c r="V89" s="1">
        <f t="shared" si="23"/>
        <v>3.5714290000000002</v>
      </c>
      <c r="W89" s="1">
        <f t="shared" si="24"/>
        <v>724.09221539783175</v>
      </c>
      <c r="X89" s="1">
        <f t="shared" si="25"/>
        <v>3.125</v>
      </c>
      <c r="Y89" s="1">
        <f t="shared" si="26"/>
        <v>0.22319319569391957</v>
      </c>
      <c r="Z89" s="1">
        <v>51.0283935</v>
      </c>
    </row>
    <row r="90" spans="1:26" x14ac:dyDescent="0.25">
      <c r="A90" s="1">
        <f>35</f>
        <v>35</v>
      </c>
      <c r="B90" s="1">
        <v>0.3</v>
      </c>
      <c r="C90" s="1">
        <v>3.5714290000000002</v>
      </c>
      <c r="D90" s="1">
        <f t="shared" si="14"/>
        <v>0.12500001499999999</v>
      </c>
      <c r="E90" s="1">
        <v>10</v>
      </c>
      <c r="F90" s="1">
        <v>1</v>
      </c>
      <c r="G90" s="1">
        <v>100</v>
      </c>
      <c r="H90" s="1">
        <v>50.592781309999999</v>
      </c>
      <c r="I90" s="1">
        <f t="shared" si="15"/>
        <v>3.5000000000000003E-2</v>
      </c>
      <c r="J90" s="1">
        <f t="shared" si="16"/>
        <v>0.12500001499999999</v>
      </c>
      <c r="K90" s="1">
        <f t="shared" si="17"/>
        <v>2.9999999999999997E-4</v>
      </c>
      <c r="L90" s="1">
        <f t="shared" si="18"/>
        <v>0.6080553310689355</v>
      </c>
      <c r="M90" s="1">
        <f t="shared" si="19"/>
        <v>2.7777777777777776E-2</v>
      </c>
      <c r="N90" s="1">
        <v>235</v>
      </c>
      <c r="O90" s="1">
        <f t="shared" si="27"/>
        <v>3.2</v>
      </c>
      <c r="P90" s="1">
        <v>4148</v>
      </c>
      <c r="Q90" s="1">
        <f>[1]!HeatTransferArea(I90,D90,0.36,K90)</f>
        <v>1.5393805849846469</v>
      </c>
      <c r="R90" s="1">
        <f>[1]!Convection(I90,M90,1000,9*10^-4,K90,0.6,0.36,7)</f>
        <v>33606.929947151868</v>
      </c>
      <c r="S90" s="1">
        <f t="shared" si="20"/>
        <v>0.40317657255242001</v>
      </c>
      <c r="T90" s="1">
        <f t="shared" si="21"/>
        <v>2.077793051861732E-5</v>
      </c>
      <c r="U90" s="1">
        <f t="shared" si="22"/>
        <v>1.6289893617021279E-6</v>
      </c>
      <c r="V90" s="1">
        <f t="shared" si="23"/>
        <v>3.5714290000000002</v>
      </c>
      <c r="W90" s="1">
        <f t="shared" si="24"/>
        <v>362.04610769891588</v>
      </c>
      <c r="X90" s="1">
        <f t="shared" si="25"/>
        <v>3.125</v>
      </c>
      <c r="Y90" s="1">
        <f t="shared" si="26"/>
        <v>0.11064393531830967</v>
      </c>
      <c r="Z90" s="1">
        <v>50.592781309999999</v>
      </c>
    </row>
    <row r="91" spans="1:26" x14ac:dyDescent="0.25">
      <c r="A91" s="1">
        <f>35</f>
        <v>35</v>
      </c>
      <c r="B91" s="1">
        <v>0.3</v>
      </c>
      <c r="C91" s="1">
        <v>3.5714290000000002</v>
      </c>
      <c r="D91" s="1">
        <f t="shared" si="14"/>
        <v>0.12500001499999999</v>
      </c>
      <c r="E91" s="1">
        <v>10</v>
      </c>
      <c r="F91" s="1">
        <v>1.5</v>
      </c>
      <c r="G91" s="1">
        <v>100</v>
      </c>
      <c r="H91" s="1">
        <v>50.084168079999998</v>
      </c>
      <c r="I91" s="1">
        <f t="shared" si="15"/>
        <v>3.5000000000000003E-2</v>
      </c>
      <c r="J91" s="1">
        <f t="shared" si="16"/>
        <v>0.12500001499999999</v>
      </c>
      <c r="K91" s="1">
        <f t="shared" si="17"/>
        <v>2.9999999999999997E-4</v>
      </c>
      <c r="L91" s="1">
        <f t="shared" si="18"/>
        <v>0.6080553310689355</v>
      </c>
      <c r="M91" s="1">
        <f t="shared" si="19"/>
        <v>2.7777777777777776E-2</v>
      </c>
      <c r="N91" s="1">
        <v>235</v>
      </c>
      <c r="O91" s="1">
        <f t="shared" si="27"/>
        <v>3.2</v>
      </c>
      <c r="P91" s="1">
        <v>4148</v>
      </c>
      <c r="Q91" s="1">
        <f>[1]!HeatTransferArea(I91,D91,0.36,K91)</f>
        <v>1.5393805849846469</v>
      </c>
      <c r="R91" s="1">
        <f>[1]!Convection(I91,M91,1000,9*10^-4,K91,0.6,0.36,7)</f>
        <v>33606.929947151868</v>
      </c>
      <c r="S91" s="1">
        <f t="shared" si="20"/>
        <v>0.2687843817016134</v>
      </c>
      <c r="T91" s="1">
        <f t="shared" si="21"/>
        <v>3.1166895777925976E-5</v>
      </c>
      <c r="U91" s="1">
        <f t="shared" si="22"/>
        <v>2.4434840425531916E-6</v>
      </c>
      <c r="V91" s="1">
        <f t="shared" si="23"/>
        <v>3.5714290000000002</v>
      </c>
      <c r="W91" s="1">
        <f t="shared" si="24"/>
        <v>241.36407179927733</v>
      </c>
      <c r="X91" s="1">
        <f t="shared" si="25"/>
        <v>3.125</v>
      </c>
      <c r="Y91" s="1">
        <f t="shared" si="26"/>
        <v>7.3021082059909787E-2</v>
      </c>
      <c r="Z91" s="1">
        <v>50.084168079999998</v>
      </c>
    </row>
    <row r="92" spans="1:26" x14ac:dyDescent="0.25">
      <c r="A92" s="1">
        <f>35</f>
        <v>35</v>
      </c>
      <c r="B92" s="1">
        <v>0.4</v>
      </c>
      <c r="C92" s="1">
        <v>2.1428569999999998</v>
      </c>
      <c r="D92" s="1">
        <f t="shared" si="14"/>
        <v>7.4999995E-2</v>
      </c>
      <c r="E92" s="1">
        <v>10</v>
      </c>
      <c r="F92" s="1">
        <v>0.5</v>
      </c>
      <c r="G92" s="1">
        <v>100</v>
      </c>
      <c r="H92" s="1">
        <v>50.64453305</v>
      </c>
      <c r="I92" s="1">
        <f t="shared" si="15"/>
        <v>3.5000000000000003E-2</v>
      </c>
      <c r="J92" s="1">
        <f t="shared" si="16"/>
        <v>7.4999995E-2</v>
      </c>
      <c r="K92" s="1">
        <f t="shared" si="17"/>
        <v>4.0000000000000002E-4</v>
      </c>
      <c r="L92" s="1">
        <f t="shared" si="18"/>
        <v>0.36483313053917238</v>
      </c>
      <c r="M92" s="1">
        <f t="shared" si="19"/>
        <v>2.7777777777777776E-2</v>
      </c>
      <c r="N92" s="1">
        <v>235</v>
      </c>
      <c r="O92" s="1">
        <f t="shared" si="27"/>
        <v>3.2</v>
      </c>
      <c r="P92" s="1">
        <v>4148</v>
      </c>
      <c r="Q92" s="1">
        <f>[1]!HeatTransferArea(I92,D92,0.36,K92)</f>
        <v>0.69272113393513746</v>
      </c>
      <c r="R92" s="1">
        <f>[1]!Convection(I92,M92,1000,9*10^-4,K92,0.6,0.36,7)</f>
        <v>25369.458090571381</v>
      </c>
      <c r="S92" s="1">
        <f t="shared" si="20"/>
        <v>1.3439221593735065</v>
      </c>
      <c r="T92" s="1">
        <f t="shared" si="21"/>
        <v>3.740026097074485E-6</v>
      </c>
      <c r="U92" s="1">
        <f t="shared" si="22"/>
        <v>8.1449468085106394E-7</v>
      </c>
      <c r="V92" s="1">
        <f t="shared" si="23"/>
        <v>2.1428569999999998</v>
      </c>
      <c r="W92" s="1">
        <f t="shared" si="24"/>
        <v>409.95623092762804</v>
      </c>
      <c r="X92" s="1">
        <f t="shared" si="25"/>
        <v>3.125</v>
      </c>
      <c r="Y92" s="1">
        <f t="shared" si="26"/>
        <v>0.36919044838064752</v>
      </c>
      <c r="Z92" s="1">
        <v>50.64453305</v>
      </c>
    </row>
    <row r="93" spans="1:26" x14ac:dyDescent="0.25">
      <c r="A93" s="1">
        <f>35</f>
        <v>35</v>
      </c>
      <c r="B93" s="1">
        <v>0.4</v>
      </c>
      <c r="C93" s="1">
        <v>2.1428569999999998</v>
      </c>
      <c r="D93" s="1">
        <f t="shared" si="14"/>
        <v>7.4999995E-2</v>
      </c>
      <c r="E93" s="1">
        <v>10</v>
      </c>
      <c r="F93" s="1">
        <v>1</v>
      </c>
      <c r="G93" s="1">
        <v>100</v>
      </c>
      <c r="H93" s="1">
        <v>52.70776463</v>
      </c>
      <c r="I93" s="1">
        <f t="shared" si="15"/>
        <v>3.5000000000000003E-2</v>
      </c>
      <c r="J93" s="1">
        <f t="shared" si="16"/>
        <v>7.4999995E-2</v>
      </c>
      <c r="K93" s="1">
        <f t="shared" si="17"/>
        <v>4.0000000000000002E-4</v>
      </c>
      <c r="L93" s="1">
        <f t="shared" si="18"/>
        <v>0.36483313053917238</v>
      </c>
      <c r="M93" s="1">
        <f t="shared" si="19"/>
        <v>2.7777777777777776E-2</v>
      </c>
      <c r="N93" s="1">
        <v>235</v>
      </c>
      <c r="O93" s="1">
        <f t="shared" si="27"/>
        <v>3.2</v>
      </c>
      <c r="P93" s="1">
        <v>4148</v>
      </c>
      <c r="Q93" s="1">
        <f>[1]!HeatTransferArea(I93,D93,0.36,K93)</f>
        <v>0.69272113393513746</v>
      </c>
      <c r="R93" s="1">
        <f>[1]!Convection(I93,M93,1000,9*10^-4,K93,0.6,0.36,7)</f>
        <v>25369.458090571381</v>
      </c>
      <c r="S93" s="1">
        <f t="shared" si="20"/>
        <v>0.67196107968675323</v>
      </c>
      <c r="T93" s="1">
        <f t="shared" si="21"/>
        <v>7.48005219414897E-6</v>
      </c>
      <c r="U93" s="1">
        <f t="shared" si="22"/>
        <v>1.6289893617021279E-6</v>
      </c>
      <c r="V93" s="1">
        <f t="shared" si="23"/>
        <v>2.1428569999999998</v>
      </c>
      <c r="W93" s="1">
        <f t="shared" si="24"/>
        <v>204.97811546381402</v>
      </c>
      <c r="X93" s="1">
        <f t="shared" si="25"/>
        <v>3.125</v>
      </c>
      <c r="Y93" s="1">
        <f t="shared" si="26"/>
        <v>0.19211553631741238</v>
      </c>
      <c r="Z93" s="1">
        <v>52.70776463</v>
      </c>
    </row>
    <row r="94" spans="1:26" x14ac:dyDescent="0.25">
      <c r="A94" s="1">
        <f>35</f>
        <v>35</v>
      </c>
      <c r="B94" s="1">
        <v>0.4</v>
      </c>
      <c r="C94" s="1">
        <v>2.1428569999999998</v>
      </c>
      <c r="D94" s="1">
        <f t="shared" si="14"/>
        <v>7.4999995E-2</v>
      </c>
      <c r="E94" s="1">
        <v>10</v>
      </c>
      <c r="F94" s="1">
        <v>1.5</v>
      </c>
      <c r="G94" s="1">
        <v>100</v>
      </c>
      <c r="H94" s="1">
        <v>52.675263299999997</v>
      </c>
      <c r="I94" s="1">
        <f t="shared" si="15"/>
        <v>3.5000000000000003E-2</v>
      </c>
      <c r="J94" s="1">
        <f t="shared" si="16"/>
        <v>7.4999995E-2</v>
      </c>
      <c r="K94" s="1">
        <f t="shared" si="17"/>
        <v>4.0000000000000002E-4</v>
      </c>
      <c r="L94" s="1">
        <f t="shared" si="18"/>
        <v>0.36483313053917238</v>
      </c>
      <c r="M94" s="1">
        <f t="shared" si="19"/>
        <v>2.7777777777777776E-2</v>
      </c>
      <c r="N94" s="1">
        <v>235</v>
      </c>
      <c r="O94" s="1">
        <f t="shared" si="27"/>
        <v>3.2</v>
      </c>
      <c r="P94" s="1">
        <v>4148</v>
      </c>
      <c r="Q94" s="1">
        <f>[1]!HeatTransferArea(I94,D94,0.36,K94)</f>
        <v>0.69272113393513746</v>
      </c>
      <c r="R94" s="1">
        <f>[1]!Convection(I94,M94,1000,9*10^-4,K94,0.6,0.36,7)</f>
        <v>25369.458090571381</v>
      </c>
      <c r="S94" s="1">
        <f t="shared" si="20"/>
        <v>0.44797405312450211</v>
      </c>
      <c r="T94" s="1">
        <f t="shared" si="21"/>
        <v>1.1220078291223454E-5</v>
      </c>
      <c r="U94" s="1">
        <f t="shared" si="22"/>
        <v>2.4434840425531916E-6</v>
      </c>
      <c r="V94" s="1">
        <f t="shared" si="23"/>
        <v>2.1428569999999998</v>
      </c>
      <c r="W94" s="1">
        <f t="shared" si="24"/>
        <v>136.65207697587599</v>
      </c>
      <c r="X94" s="1">
        <f t="shared" si="25"/>
        <v>3.125</v>
      </c>
      <c r="Y94" s="1">
        <f t="shared" si="26"/>
        <v>0.12799804773331247</v>
      </c>
      <c r="Z94" s="1">
        <v>52.675263299999997</v>
      </c>
    </row>
    <row r="95" spans="1:26" x14ac:dyDescent="0.25">
      <c r="A95" s="1">
        <f>35</f>
        <v>35</v>
      </c>
      <c r="B95" s="1">
        <v>0.4</v>
      </c>
      <c r="C95" s="1">
        <v>2.8571430000000002</v>
      </c>
      <c r="D95" s="1">
        <f t="shared" si="14"/>
        <v>0.100000005</v>
      </c>
      <c r="E95" s="1">
        <v>10</v>
      </c>
      <c r="F95" s="1">
        <v>0.5</v>
      </c>
      <c r="G95" s="1">
        <v>100</v>
      </c>
      <c r="H95" s="1">
        <v>51.718320380000002</v>
      </c>
      <c r="I95" s="1">
        <f t="shared" si="15"/>
        <v>3.5000000000000003E-2</v>
      </c>
      <c r="J95" s="1">
        <f t="shared" si="16"/>
        <v>0.100000005</v>
      </c>
      <c r="K95" s="1">
        <f t="shared" si="17"/>
        <v>4.0000000000000002E-4</v>
      </c>
      <c r="L95" s="1">
        <f t="shared" si="18"/>
        <v>0.48644423080405397</v>
      </c>
      <c r="M95" s="1">
        <f t="shared" si="19"/>
        <v>2.7777777777777776E-2</v>
      </c>
      <c r="N95" s="1">
        <v>235</v>
      </c>
      <c r="O95" s="1">
        <f t="shared" si="27"/>
        <v>3.2</v>
      </c>
      <c r="P95" s="1">
        <v>4148</v>
      </c>
      <c r="Q95" s="1">
        <f>[1]!HeatTransferArea(I95,D95,0.36,K95)</f>
        <v>0.92362828633681127</v>
      </c>
      <c r="R95" s="1">
        <f>[1]!Convection(I95,M95,1000,9*10^-4,K95,0.6,0.36,7)</f>
        <v>25369.458090571381</v>
      </c>
      <c r="S95" s="1">
        <f t="shared" si="20"/>
        <v>1.0079415019369466</v>
      </c>
      <c r="T95" s="1">
        <f t="shared" si="21"/>
        <v>6.6489368351063999E-6</v>
      </c>
      <c r="U95" s="1">
        <f t="shared" si="22"/>
        <v>8.1449468085106394E-7</v>
      </c>
      <c r="V95" s="1">
        <f t="shared" si="23"/>
        <v>2.8571430000000002</v>
      </c>
      <c r="W95" s="1">
        <f t="shared" si="24"/>
        <v>409.95623092762798</v>
      </c>
      <c r="X95" s="1">
        <f t="shared" si="25"/>
        <v>3.125</v>
      </c>
      <c r="Y95" s="1">
        <f t="shared" si="26"/>
        <v>0.28276360516710497</v>
      </c>
      <c r="Z95" s="1">
        <v>51.718320380000002</v>
      </c>
    </row>
    <row r="96" spans="1:26" x14ac:dyDescent="0.25">
      <c r="A96" s="1">
        <f>35</f>
        <v>35</v>
      </c>
      <c r="B96" s="1">
        <v>0.4</v>
      </c>
      <c r="C96" s="1">
        <v>2.8571430000000002</v>
      </c>
      <c r="D96" s="1">
        <f t="shared" si="14"/>
        <v>0.100000005</v>
      </c>
      <c r="E96" s="1">
        <v>10</v>
      </c>
      <c r="F96" s="1">
        <v>1</v>
      </c>
      <c r="G96" s="1">
        <v>100</v>
      </c>
      <c r="H96" s="1">
        <v>52.113577769999999</v>
      </c>
      <c r="I96" s="1">
        <f t="shared" si="15"/>
        <v>3.5000000000000003E-2</v>
      </c>
      <c r="J96" s="1">
        <f t="shared" si="16"/>
        <v>0.100000005</v>
      </c>
      <c r="K96" s="1">
        <f t="shared" si="17"/>
        <v>4.0000000000000002E-4</v>
      </c>
      <c r="L96" s="1">
        <f t="shared" si="18"/>
        <v>0.48644423080405397</v>
      </c>
      <c r="M96" s="1">
        <f t="shared" si="19"/>
        <v>2.7777777777777776E-2</v>
      </c>
      <c r="N96" s="1">
        <v>235</v>
      </c>
      <c r="O96" s="1">
        <f t="shared" si="27"/>
        <v>3.2</v>
      </c>
      <c r="P96" s="1">
        <v>4148</v>
      </c>
      <c r="Q96" s="1">
        <f>[1]!HeatTransferArea(I96,D96,0.36,K96)</f>
        <v>0.92362828633681127</v>
      </c>
      <c r="R96" s="1">
        <f>[1]!Convection(I96,M96,1000,9*10^-4,K96,0.6,0.36,7)</f>
        <v>25369.458090571381</v>
      </c>
      <c r="S96" s="1">
        <f t="shared" si="20"/>
        <v>0.50397075096847332</v>
      </c>
      <c r="T96" s="1">
        <f t="shared" si="21"/>
        <v>1.32978736702128E-5</v>
      </c>
      <c r="U96" s="1">
        <f t="shared" si="22"/>
        <v>1.6289893617021279E-6</v>
      </c>
      <c r="V96" s="1">
        <f t="shared" si="23"/>
        <v>2.8571430000000002</v>
      </c>
      <c r="W96" s="1">
        <f t="shared" si="24"/>
        <v>204.97811546381399</v>
      </c>
      <c r="X96" s="1">
        <f t="shared" si="25"/>
        <v>3.125</v>
      </c>
      <c r="Y96" s="1">
        <f t="shared" si="26"/>
        <v>0.14246231335559759</v>
      </c>
      <c r="Z96" s="1">
        <v>52.113577769999999</v>
      </c>
    </row>
    <row r="97" spans="1:26" x14ac:dyDescent="0.25">
      <c r="A97" s="1">
        <f>35</f>
        <v>35</v>
      </c>
      <c r="B97" s="1">
        <v>0.4</v>
      </c>
      <c r="C97" s="1">
        <v>2.8571430000000002</v>
      </c>
      <c r="D97" s="1">
        <f t="shared" si="14"/>
        <v>0.100000005</v>
      </c>
      <c r="E97" s="1">
        <v>10</v>
      </c>
      <c r="F97" s="1">
        <v>1.5</v>
      </c>
      <c r="G97" s="1">
        <v>100</v>
      </c>
      <c r="H97" s="1">
        <v>51.806515529999999</v>
      </c>
      <c r="I97" s="1">
        <f t="shared" si="15"/>
        <v>3.5000000000000003E-2</v>
      </c>
      <c r="J97" s="1">
        <f t="shared" si="16"/>
        <v>0.100000005</v>
      </c>
      <c r="K97" s="1">
        <f t="shared" si="17"/>
        <v>4.0000000000000002E-4</v>
      </c>
      <c r="L97" s="1">
        <f t="shared" si="18"/>
        <v>0.48644423080405397</v>
      </c>
      <c r="M97" s="1">
        <f t="shared" si="19"/>
        <v>2.7777777777777776E-2</v>
      </c>
      <c r="N97" s="1">
        <v>235</v>
      </c>
      <c r="O97" s="1">
        <f t="shared" si="27"/>
        <v>3.2</v>
      </c>
      <c r="P97" s="1">
        <v>4148</v>
      </c>
      <c r="Q97" s="1">
        <f>[1]!HeatTransferArea(I97,D97,0.36,K97)</f>
        <v>0.92362828633681127</v>
      </c>
      <c r="R97" s="1">
        <f>[1]!Convection(I97,M97,1000,9*10^-4,K97,0.6,0.36,7)</f>
        <v>25369.458090571381</v>
      </c>
      <c r="S97" s="1">
        <f t="shared" si="20"/>
        <v>0.33598050064564888</v>
      </c>
      <c r="T97" s="1">
        <f t="shared" si="21"/>
        <v>1.99468105053192E-5</v>
      </c>
      <c r="U97" s="1">
        <f t="shared" si="22"/>
        <v>2.4434840425531916E-6</v>
      </c>
      <c r="V97" s="1">
        <f t="shared" si="23"/>
        <v>2.8571430000000002</v>
      </c>
      <c r="W97" s="1">
        <f t="shared" si="24"/>
        <v>136.65207697587599</v>
      </c>
      <c r="X97" s="1">
        <f t="shared" si="25"/>
        <v>3.125</v>
      </c>
      <c r="Y97" s="1">
        <f t="shared" si="26"/>
        <v>9.4415267128907812E-2</v>
      </c>
      <c r="Z97" s="1">
        <v>51.806515529999999</v>
      </c>
    </row>
    <row r="98" spans="1:26" x14ac:dyDescent="0.25">
      <c r="A98" s="1">
        <f>35</f>
        <v>35</v>
      </c>
      <c r="B98" s="1">
        <v>0.4</v>
      </c>
      <c r="C98" s="1">
        <v>3.5714290000000002</v>
      </c>
      <c r="D98" s="1">
        <f t="shared" si="14"/>
        <v>0.12500001499999999</v>
      </c>
      <c r="E98" s="1">
        <v>10</v>
      </c>
      <c r="F98" s="1">
        <v>0.5</v>
      </c>
      <c r="G98" s="1">
        <v>100</v>
      </c>
      <c r="H98" s="1">
        <v>51.68147081</v>
      </c>
      <c r="I98" s="1">
        <f t="shared" si="15"/>
        <v>3.5000000000000003E-2</v>
      </c>
      <c r="J98" s="1">
        <f t="shared" si="16"/>
        <v>0.12500001499999999</v>
      </c>
      <c r="K98" s="1">
        <f t="shared" si="17"/>
        <v>4.0000000000000002E-4</v>
      </c>
      <c r="L98" s="1">
        <f t="shared" si="18"/>
        <v>0.6080553310689355</v>
      </c>
      <c r="M98" s="1">
        <f t="shared" si="19"/>
        <v>2.7777777777777776E-2</v>
      </c>
      <c r="N98" s="1">
        <v>235</v>
      </c>
      <c r="O98" s="1">
        <f t="shared" si="27"/>
        <v>3.2</v>
      </c>
      <c r="P98" s="1">
        <v>4148</v>
      </c>
      <c r="Q98" s="1">
        <f>[1]!HeatTransferArea(I98,D98,0.36,K98)</f>
        <v>1.154535438738485</v>
      </c>
      <c r="R98" s="1">
        <f>[1]!Convection(I98,M98,1000,9*10^-4,K98,0.6,0.36,7)</f>
        <v>25369.458090571381</v>
      </c>
      <c r="S98" s="1">
        <f t="shared" si="20"/>
        <v>0.80635314510484002</v>
      </c>
      <c r="T98" s="1">
        <f t="shared" si="21"/>
        <v>1.038896525930866E-5</v>
      </c>
      <c r="U98" s="1">
        <f t="shared" si="22"/>
        <v>8.1449468085106394E-7</v>
      </c>
      <c r="V98" s="1">
        <f t="shared" si="23"/>
        <v>3.5714290000000002</v>
      </c>
      <c r="W98" s="1">
        <f t="shared" si="24"/>
        <v>409.95623092762793</v>
      </c>
      <c r="X98" s="1">
        <f t="shared" si="25"/>
        <v>3.125</v>
      </c>
      <c r="Y98" s="1">
        <f t="shared" si="26"/>
        <v>0.2260496918886134</v>
      </c>
      <c r="Z98" s="1">
        <v>51.68147081</v>
      </c>
    </row>
    <row r="99" spans="1:26" x14ac:dyDescent="0.25">
      <c r="A99" s="1">
        <f>35</f>
        <v>35</v>
      </c>
      <c r="B99" s="1">
        <v>0.4</v>
      </c>
      <c r="C99" s="1">
        <v>3.5714290000000002</v>
      </c>
      <c r="D99" s="1">
        <f t="shared" si="14"/>
        <v>0.12500001499999999</v>
      </c>
      <c r="E99" s="1">
        <v>10</v>
      </c>
      <c r="F99" s="1">
        <v>1</v>
      </c>
      <c r="G99" s="1">
        <v>100</v>
      </c>
      <c r="H99" s="1">
        <v>51.447401599999999</v>
      </c>
      <c r="I99" s="1">
        <f t="shared" si="15"/>
        <v>3.5000000000000003E-2</v>
      </c>
      <c r="J99" s="1">
        <f t="shared" si="16"/>
        <v>0.12500001499999999</v>
      </c>
      <c r="K99" s="1">
        <f t="shared" si="17"/>
        <v>4.0000000000000002E-4</v>
      </c>
      <c r="L99" s="1">
        <f t="shared" si="18"/>
        <v>0.6080553310689355</v>
      </c>
      <c r="M99" s="1">
        <f t="shared" si="19"/>
        <v>2.7777777777777776E-2</v>
      </c>
      <c r="N99" s="1">
        <v>235</v>
      </c>
      <c r="O99" s="1">
        <f t="shared" si="27"/>
        <v>3.2</v>
      </c>
      <c r="P99" s="1">
        <v>4148</v>
      </c>
      <c r="Q99" s="1">
        <f>[1]!HeatTransferArea(I99,D99,0.36,K99)</f>
        <v>1.154535438738485</v>
      </c>
      <c r="R99" s="1">
        <f>[1]!Convection(I99,M99,1000,9*10^-4,K99,0.6,0.36,7)</f>
        <v>25369.458090571381</v>
      </c>
      <c r="S99" s="1">
        <f t="shared" si="20"/>
        <v>0.40317657255242001</v>
      </c>
      <c r="T99" s="1">
        <f t="shared" si="21"/>
        <v>2.077793051861732E-5</v>
      </c>
      <c r="U99" s="1">
        <f t="shared" si="22"/>
        <v>1.6289893617021279E-6</v>
      </c>
      <c r="V99" s="1">
        <f t="shared" si="23"/>
        <v>3.5714290000000002</v>
      </c>
      <c r="W99" s="1">
        <f t="shared" si="24"/>
        <v>204.97811546381396</v>
      </c>
      <c r="X99" s="1">
        <f t="shared" si="25"/>
        <v>3.125</v>
      </c>
      <c r="Y99" s="1">
        <f t="shared" si="26"/>
        <v>0.11251294804384221</v>
      </c>
      <c r="Z99" s="1">
        <v>51.447401599999999</v>
      </c>
    </row>
    <row r="100" spans="1:26" x14ac:dyDescent="0.25">
      <c r="A100" s="1">
        <f>35</f>
        <v>35</v>
      </c>
      <c r="B100" s="1">
        <v>0.4</v>
      </c>
      <c r="C100" s="1">
        <v>3.5714290000000002</v>
      </c>
      <c r="D100" s="1">
        <f t="shared" si="14"/>
        <v>0.12500001499999999</v>
      </c>
      <c r="E100" s="1">
        <v>10</v>
      </c>
      <c r="F100" s="1">
        <v>1.5</v>
      </c>
      <c r="G100" s="1">
        <v>100</v>
      </c>
      <c r="H100" s="1">
        <v>50.998568050000003</v>
      </c>
      <c r="I100" s="1">
        <f t="shared" si="15"/>
        <v>3.5000000000000003E-2</v>
      </c>
      <c r="J100" s="1">
        <f t="shared" si="16"/>
        <v>0.12500001499999999</v>
      </c>
      <c r="K100" s="1">
        <f t="shared" si="17"/>
        <v>4.0000000000000002E-4</v>
      </c>
      <c r="L100" s="1">
        <f t="shared" si="18"/>
        <v>0.6080553310689355</v>
      </c>
      <c r="M100" s="1">
        <f t="shared" si="19"/>
        <v>2.7777777777777776E-2</v>
      </c>
      <c r="N100" s="1">
        <v>235</v>
      </c>
      <c r="O100" s="1">
        <f t="shared" si="27"/>
        <v>3.2</v>
      </c>
      <c r="P100" s="1">
        <v>4148</v>
      </c>
      <c r="Q100" s="1">
        <f>[1]!HeatTransferArea(I100,D100,0.36,K100)</f>
        <v>1.154535438738485</v>
      </c>
      <c r="R100" s="1">
        <f>[1]!Convection(I100,M100,1000,9*10^-4,K100,0.6,0.36,7)</f>
        <v>25369.458090571381</v>
      </c>
      <c r="S100" s="1">
        <f t="shared" si="20"/>
        <v>0.2687843817016134</v>
      </c>
      <c r="T100" s="1">
        <f t="shared" si="21"/>
        <v>3.1166895777925976E-5</v>
      </c>
      <c r="U100" s="1">
        <f t="shared" si="22"/>
        <v>2.4434840425531916E-6</v>
      </c>
      <c r="V100" s="1">
        <f t="shared" si="23"/>
        <v>3.5714290000000002</v>
      </c>
      <c r="W100" s="1">
        <f t="shared" si="24"/>
        <v>136.65207697587601</v>
      </c>
      <c r="X100" s="1">
        <f t="shared" si="25"/>
        <v>3.125</v>
      </c>
      <c r="Y100" s="1">
        <f t="shared" si="26"/>
        <v>7.4354247365526857E-2</v>
      </c>
      <c r="Z100" s="1">
        <v>50.998568050000003</v>
      </c>
    </row>
    <row r="101" spans="1:26" x14ac:dyDescent="0.25">
      <c r="A101" s="1">
        <f>35</f>
        <v>35</v>
      </c>
      <c r="B101" s="1">
        <v>0.5</v>
      </c>
      <c r="C101" s="1">
        <v>2.1428569999999998</v>
      </c>
      <c r="D101" s="1">
        <f t="shared" si="14"/>
        <v>7.4999995E-2</v>
      </c>
      <c r="E101" s="1">
        <v>10</v>
      </c>
      <c r="F101" s="1">
        <v>0.5</v>
      </c>
      <c r="G101" s="1">
        <v>100</v>
      </c>
      <c r="H101" s="1">
        <v>50.000374399999998</v>
      </c>
      <c r="I101" s="1">
        <f t="shared" si="15"/>
        <v>3.5000000000000003E-2</v>
      </c>
      <c r="J101" s="1">
        <f t="shared" si="16"/>
        <v>7.4999995E-2</v>
      </c>
      <c r="K101" s="1">
        <f t="shared" si="17"/>
        <v>5.0000000000000001E-4</v>
      </c>
      <c r="L101" s="1">
        <f t="shared" si="18"/>
        <v>0.36483313053917238</v>
      </c>
      <c r="M101" s="1">
        <f t="shared" si="19"/>
        <v>2.7777777777777776E-2</v>
      </c>
      <c r="N101" s="1">
        <v>235</v>
      </c>
      <c r="O101" s="1">
        <f t="shared" si="27"/>
        <v>3.2</v>
      </c>
      <c r="P101" s="1">
        <v>4148</v>
      </c>
      <c r="Q101" s="1">
        <f>[1]!HeatTransferArea(I101,D101,0.36,K101)</f>
        <v>0.55417690714810997</v>
      </c>
      <c r="R101" s="1">
        <f>[1]!Convection(I101,M101,1000,9*10^-4,K101,0.6,0.36,7)</f>
        <v>20414.316838490533</v>
      </c>
      <c r="S101" s="1">
        <f t="shared" si="20"/>
        <v>1.3439221593735065</v>
      </c>
      <c r="T101" s="1">
        <f t="shared" si="21"/>
        <v>3.740026097074485E-6</v>
      </c>
      <c r="U101" s="1">
        <f t="shared" si="22"/>
        <v>8.1449468085106394E-7</v>
      </c>
      <c r="V101" s="1">
        <f t="shared" si="23"/>
        <v>2.1428569999999998</v>
      </c>
      <c r="W101" s="1">
        <f t="shared" si="24"/>
        <v>263.90713930717635</v>
      </c>
      <c r="X101" s="1">
        <f t="shared" si="25"/>
        <v>3.125</v>
      </c>
      <c r="Y101" s="1">
        <f t="shared" si="26"/>
        <v>0.36449463608858862</v>
      </c>
      <c r="Z101" s="1">
        <v>50.000374399999998</v>
      </c>
    </row>
    <row r="102" spans="1:26" x14ac:dyDescent="0.25">
      <c r="A102" s="1">
        <f>35</f>
        <v>35</v>
      </c>
      <c r="B102" s="1">
        <v>0.5</v>
      </c>
      <c r="C102" s="1">
        <v>2.1428569999999998</v>
      </c>
      <c r="D102" s="1">
        <f t="shared" si="14"/>
        <v>7.4999995E-2</v>
      </c>
      <c r="E102" s="1">
        <v>10</v>
      </c>
      <c r="F102" s="1">
        <v>1</v>
      </c>
      <c r="G102" s="1">
        <v>100</v>
      </c>
      <c r="H102" s="1">
        <v>52.472756990000001</v>
      </c>
      <c r="I102" s="1">
        <f t="shared" si="15"/>
        <v>3.5000000000000003E-2</v>
      </c>
      <c r="J102" s="1">
        <f t="shared" si="16"/>
        <v>7.4999995E-2</v>
      </c>
      <c r="K102" s="1">
        <f t="shared" si="17"/>
        <v>5.0000000000000001E-4</v>
      </c>
      <c r="L102" s="1">
        <f t="shared" si="18"/>
        <v>0.36483313053917238</v>
      </c>
      <c r="M102" s="1">
        <f t="shared" si="19"/>
        <v>2.7777777777777776E-2</v>
      </c>
      <c r="N102" s="1">
        <v>235</v>
      </c>
      <c r="O102" s="1">
        <f t="shared" si="27"/>
        <v>3.2</v>
      </c>
      <c r="P102" s="1">
        <v>4148</v>
      </c>
      <c r="Q102" s="1">
        <f>[1]!HeatTransferArea(I102,D102,0.36,K102)</f>
        <v>0.55417690714810997</v>
      </c>
      <c r="R102" s="1">
        <f>[1]!Convection(I102,M102,1000,9*10^-4,K102,0.6,0.36,7)</f>
        <v>20414.316838490533</v>
      </c>
      <c r="S102" s="1">
        <f t="shared" si="20"/>
        <v>0.67196107968675323</v>
      </c>
      <c r="T102" s="1">
        <f t="shared" si="21"/>
        <v>7.48005219414897E-6</v>
      </c>
      <c r="U102" s="1">
        <f t="shared" si="22"/>
        <v>1.6289893617021279E-6</v>
      </c>
      <c r="V102" s="1">
        <f t="shared" si="23"/>
        <v>2.1428569999999998</v>
      </c>
      <c r="W102" s="1">
        <f t="shared" si="24"/>
        <v>131.95356965358818</v>
      </c>
      <c r="X102" s="1">
        <f t="shared" si="25"/>
        <v>3.125</v>
      </c>
      <c r="Y102" s="1">
        <f t="shared" si="26"/>
        <v>0.19125895248931371</v>
      </c>
      <c r="Z102" s="1">
        <v>52.472756990000001</v>
      </c>
    </row>
    <row r="103" spans="1:26" x14ac:dyDescent="0.25">
      <c r="A103" s="1">
        <f>35</f>
        <v>35</v>
      </c>
      <c r="B103" s="1">
        <v>0.5</v>
      </c>
      <c r="C103" s="1">
        <v>2.1428569999999998</v>
      </c>
      <c r="D103" s="1">
        <f t="shared" si="14"/>
        <v>7.4999995E-2</v>
      </c>
      <c r="E103" s="1">
        <v>10</v>
      </c>
      <c r="F103" s="1">
        <v>1.5</v>
      </c>
      <c r="G103" s="1">
        <v>100</v>
      </c>
      <c r="H103" s="1">
        <v>52.524280619999999</v>
      </c>
      <c r="I103" s="1">
        <f t="shared" si="15"/>
        <v>3.5000000000000003E-2</v>
      </c>
      <c r="J103" s="1">
        <f t="shared" si="16"/>
        <v>7.4999995E-2</v>
      </c>
      <c r="K103" s="1">
        <f t="shared" si="17"/>
        <v>5.0000000000000001E-4</v>
      </c>
      <c r="L103" s="1">
        <f t="shared" si="18"/>
        <v>0.36483313053917238</v>
      </c>
      <c r="M103" s="1">
        <f t="shared" si="19"/>
        <v>2.7777777777777776E-2</v>
      </c>
      <c r="N103" s="1">
        <v>235</v>
      </c>
      <c r="O103" s="1">
        <f t="shared" si="27"/>
        <v>3.2</v>
      </c>
      <c r="P103" s="1">
        <v>4148</v>
      </c>
      <c r="Q103" s="1">
        <f>[1]!HeatTransferArea(I103,D103,0.36,K103)</f>
        <v>0.55417690714810997</v>
      </c>
      <c r="R103" s="1">
        <f>[1]!Convection(I103,M103,1000,9*10^-4,K103,0.6,0.36,7)</f>
        <v>20414.316838490533</v>
      </c>
      <c r="S103" s="1">
        <f t="shared" si="20"/>
        <v>0.44797405312450211</v>
      </c>
      <c r="T103" s="1">
        <f t="shared" si="21"/>
        <v>1.1220078291223454E-5</v>
      </c>
      <c r="U103" s="1">
        <f t="shared" si="22"/>
        <v>2.4434840425531916E-6</v>
      </c>
      <c r="V103" s="1">
        <f t="shared" si="23"/>
        <v>2.1428569999999998</v>
      </c>
      <c r="W103" s="1">
        <f t="shared" si="24"/>
        <v>87.969046435725431</v>
      </c>
      <c r="X103" s="1">
        <f t="shared" si="25"/>
        <v>3.125</v>
      </c>
      <c r="Y103" s="1">
        <f t="shared" si="26"/>
        <v>0.12763116796715962</v>
      </c>
      <c r="Z103" s="1">
        <v>52.524280619999999</v>
      </c>
    </row>
    <row r="104" spans="1:26" x14ac:dyDescent="0.25">
      <c r="A104" s="1">
        <f>35</f>
        <v>35</v>
      </c>
      <c r="B104" s="1">
        <v>0.5</v>
      </c>
      <c r="C104" s="1">
        <v>2.8571430000000002</v>
      </c>
      <c r="D104" s="1">
        <f t="shared" si="14"/>
        <v>0.100000005</v>
      </c>
      <c r="E104" s="1">
        <v>10</v>
      </c>
      <c r="F104" s="1">
        <v>0.5</v>
      </c>
      <c r="G104" s="1">
        <v>100</v>
      </c>
      <c r="H104" s="1">
        <v>51.59492419</v>
      </c>
      <c r="I104" s="1">
        <f t="shared" si="15"/>
        <v>3.5000000000000003E-2</v>
      </c>
      <c r="J104" s="1">
        <f t="shared" si="16"/>
        <v>0.100000005</v>
      </c>
      <c r="K104" s="1">
        <f t="shared" si="17"/>
        <v>5.0000000000000001E-4</v>
      </c>
      <c r="L104" s="1">
        <f t="shared" si="18"/>
        <v>0.48644423080405397</v>
      </c>
      <c r="M104" s="1">
        <f t="shared" si="19"/>
        <v>2.7777777777777776E-2</v>
      </c>
      <c r="N104" s="1">
        <v>235</v>
      </c>
      <c r="O104" s="1">
        <f t="shared" si="27"/>
        <v>3.2</v>
      </c>
      <c r="P104" s="1">
        <v>4148</v>
      </c>
      <c r="Q104" s="1">
        <f>[1]!HeatTransferArea(I104,D104,0.36,K104)</f>
        <v>0.73890262906944904</v>
      </c>
      <c r="R104" s="1">
        <f>[1]!Convection(I104,M104,1000,9*10^-4,K104,0.6,0.36,7)</f>
        <v>20414.316838490533</v>
      </c>
      <c r="S104" s="1">
        <f t="shared" si="20"/>
        <v>1.0079415019369466</v>
      </c>
      <c r="T104" s="1">
        <f t="shared" si="21"/>
        <v>6.6489368351063999E-6</v>
      </c>
      <c r="U104" s="1">
        <f t="shared" si="22"/>
        <v>8.1449468085106394E-7</v>
      </c>
      <c r="V104" s="1">
        <f t="shared" si="23"/>
        <v>2.8571430000000002</v>
      </c>
      <c r="W104" s="1">
        <f t="shared" si="24"/>
        <v>263.90713930717624</v>
      </c>
      <c r="X104" s="1">
        <f t="shared" si="25"/>
        <v>3.125</v>
      </c>
      <c r="Y104" s="1">
        <f t="shared" si="26"/>
        <v>0.28208895155708985</v>
      </c>
      <c r="Z104" s="1">
        <v>51.59492419</v>
      </c>
    </row>
    <row r="105" spans="1:26" x14ac:dyDescent="0.25">
      <c r="A105" s="1">
        <f>35</f>
        <v>35</v>
      </c>
      <c r="B105" s="1">
        <v>0.5</v>
      </c>
      <c r="C105" s="1">
        <v>2.8571430000000002</v>
      </c>
      <c r="D105" s="1">
        <f t="shared" si="14"/>
        <v>0.100000005</v>
      </c>
      <c r="E105" s="1">
        <v>10</v>
      </c>
      <c r="F105" s="1">
        <v>1</v>
      </c>
      <c r="G105" s="1">
        <v>100</v>
      </c>
      <c r="H105" s="1">
        <v>52.200628260000002</v>
      </c>
      <c r="I105" s="1">
        <f t="shared" si="15"/>
        <v>3.5000000000000003E-2</v>
      </c>
      <c r="J105" s="1">
        <f t="shared" si="16"/>
        <v>0.100000005</v>
      </c>
      <c r="K105" s="1">
        <f t="shared" si="17"/>
        <v>5.0000000000000001E-4</v>
      </c>
      <c r="L105" s="1">
        <f t="shared" si="18"/>
        <v>0.48644423080405397</v>
      </c>
      <c r="M105" s="1">
        <f t="shared" si="19"/>
        <v>2.7777777777777776E-2</v>
      </c>
      <c r="N105" s="1">
        <v>235</v>
      </c>
      <c r="O105" s="1">
        <f t="shared" si="27"/>
        <v>3.2</v>
      </c>
      <c r="P105" s="1">
        <v>4148</v>
      </c>
      <c r="Q105" s="1">
        <f>[1]!HeatTransferArea(I105,D105,0.36,K105)</f>
        <v>0.73890262906944904</v>
      </c>
      <c r="R105" s="1">
        <f>[1]!Convection(I105,M105,1000,9*10^-4,K105,0.6,0.36,7)</f>
        <v>20414.316838490533</v>
      </c>
      <c r="S105" s="1">
        <f t="shared" si="20"/>
        <v>0.50397075096847332</v>
      </c>
      <c r="T105" s="1">
        <f t="shared" si="21"/>
        <v>1.32978736702128E-5</v>
      </c>
      <c r="U105" s="1">
        <f t="shared" si="22"/>
        <v>1.6289893617021279E-6</v>
      </c>
      <c r="V105" s="1">
        <f t="shared" si="23"/>
        <v>2.8571430000000002</v>
      </c>
      <c r="W105" s="1">
        <f t="shared" si="24"/>
        <v>131.95356965358812</v>
      </c>
      <c r="X105" s="1">
        <f t="shared" si="25"/>
        <v>3.125</v>
      </c>
      <c r="Y105" s="1">
        <f t="shared" si="26"/>
        <v>0.14270028232097687</v>
      </c>
      <c r="Z105" s="1">
        <v>52.200628260000002</v>
      </c>
    </row>
    <row r="106" spans="1:26" x14ac:dyDescent="0.25">
      <c r="A106" s="1">
        <f>35</f>
        <v>35</v>
      </c>
      <c r="B106" s="1">
        <v>0.5</v>
      </c>
      <c r="C106" s="1">
        <v>2.8571430000000002</v>
      </c>
      <c r="D106" s="1">
        <f t="shared" si="14"/>
        <v>0.100000005</v>
      </c>
      <c r="E106" s="1">
        <v>10</v>
      </c>
      <c r="F106" s="1">
        <v>1.5</v>
      </c>
      <c r="G106" s="1">
        <v>100</v>
      </c>
      <c r="H106" s="1">
        <v>51.919809559999997</v>
      </c>
      <c r="I106" s="1">
        <f t="shared" si="15"/>
        <v>3.5000000000000003E-2</v>
      </c>
      <c r="J106" s="1">
        <f t="shared" si="16"/>
        <v>0.100000005</v>
      </c>
      <c r="K106" s="1">
        <f t="shared" si="17"/>
        <v>5.0000000000000001E-4</v>
      </c>
      <c r="L106" s="1">
        <f t="shared" si="18"/>
        <v>0.48644423080405397</v>
      </c>
      <c r="M106" s="1">
        <f t="shared" si="19"/>
        <v>2.7777777777777776E-2</v>
      </c>
      <c r="N106" s="1">
        <v>235</v>
      </c>
      <c r="O106" s="1">
        <f t="shared" si="27"/>
        <v>3.2</v>
      </c>
      <c r="P106" s="1">
        <v>4148</v>
      </c>
      <c r="Q106" s="1">
        <f>[1]!HeatTransferArea(I106,D106,0.36,K106)</f>
        <v>0.73890262906944904</v>
      </c>
      <c r="R106" s="1">
        <f>[1]!Convection(I106,M106,1000,9*10^-4,K106,0.6,0.36,7)</f>
        <v>20414.316838490533</v>
      </c>
      <c r="S106" s="1">
        <f t="shared" si="20"/>
        <v>0.33598050064564888</v>
      </c>
      <c r="T106" s="1">
        <f t="shared" si="21"/>
        <v>1.99468105053192E-5</v>
      </c>
      <c r="U106" s="1">
        <f t="shared" si="22"/>
        <v>2.4434840425531916E-6</v>
      </c>
      <c r="V106" s="1">
        <f t="shared" si="23"/>
        <v>2.8571430000000002</v>
      </c>
      <c r="W106" s="1">
        <f t="shared" si="24"/>
        <v>87.969046435725417</v>
      </c>
      <c r="X106" s="1">
        <f t="shared" si="25"/>
        <v>3.125</v>
      </c>
      <c r="Y106" s="1">
        <f t="shared" si="26"/>
        <v>9.4621740889922798E-2</v>
      </c>
      <c r="Z106" s="1">
        <v>51.919809559999997</v>
      </c>
    </row>
    <row r="107" spans="1:26" x14ac:dyDescent="0.25">
      <c r="A107" s="1">
        <f>35</f>
        <v>35</v>
      </c>
      <c r="B107" s="1">
        <v>0.5</v>
      </c>
      <c r="C107" s="1">
        <v>3.5714290000000002</v>
      </c>
      <c r="D107" s="1">
        <f t="shared" si="14"/>
        <v>0.12500001499999999</v>
      </c>
      <c r="E107" s="1">
        <v>10</v>
      </c>
      <c r="F107" s="1">
        <v>0.5</v>
      </c>
      <c r="G107" s="1">
        <v>100</v>
      </c>
      <c r="H107" s="1">
        <v>51.83854745</v>
      </c>
      <c r="I107" s="1">
        <f t="shared" si="15"/>
        <v>3.5000000000000003E-2</v>
      </c>
      <c r="J107" s="1">
        <f t="shared" si="16"/>
        <v>0.12500001499999999</v>
      </c>
      <c r="K107" s="1">
        <f t="shared" si="17"/>
        <v>5.0000000000000001E-4</v>
      </c>
      <c r="L107" s="1">
        <f t="shared" si="18"/>
        <v>0.6080553310689355</v>
      </c>
      <c r="M107" s="1">
        <f t="shared" si="19"/>
        <v>2.7777777777777776E-2</v>
      </c>
      <c r="N107" s="1">
        <v>235</v>
      </c>
      <c r="O107" s="1">
        <f t="shared" si="27"/>
        <v>3.2</v>
      </c>
      <c r="P107" s="1">
        <v>4148</v>
      </c>
      <c r="Q107" s="1">
        <f>[1]!HeatTransferArea(I107,D107,0.36,K107)</f>
        <v>0.92362835099078811</v>
      </c>
      <c r="R107" s="1">
        <f>[1]!Convection(I107,M107,1000,9*10^-4,K107,0.6,0.36,7)</f>
        <v>20414.316838490533</v>
      </c>
      <c r="S107" s="1">
        <f t="shared" si="20"/>
        <v>0.80635314510484002</v>
      </c>
      <c r="T107" s="1">
        <f t="shared" si="21"/>
        <v>1.038896525930866E-5</v>
      </c>
      <c r="U107" s="1">
        <f t="shared" si="22"/>
        <v>8.1449468085106394E-7</v>
      </c>
      <c r="V107" s="1">
        <f t="shared" si="23"/>
        <v>3.5714290000000002</v>
      </c>
      <c r="W107" s="1">
        <f t="shared" si="24"/>
        <v>263.90713930717629</v>
      </c>
      <c r="X107" s="1">
        <f t="shared" si="25"/>
        <v>3.125</v>
      </c>
      <c r="Y107" s="1">
        <f t="shared" si="26"/>
        <v>0.22673672972864384</v>
      </c>
      <c r="Z107" s="1">
        <v>51.83854745</v>
      </c>
    </row>
    <row r="108" spans="1:26" x14ac:dyDescent="0.25">
      <c r="A108" s="1">
        <f>35</f>
        <v>35</v>
      </c>
      <c r="B108" s="1">
        <v>0.5</v>
      </c>
      <c r="C108" s="1">
        <v>3.5714290000000002</v>
      </c>
      <c r="D108" s="1">
        <f t="shared" si="14"/>
        <v>0.12500001499999999</v>
      </c>
      <c r="E108" s="1">
        <v>10</v>
      </c>
      <c r="F108" s="1">
        <v>1</v>
      </c>
      <c r="G108" s="1">
        <v>100</v>
      </c>
      <c r="H108" s="1">
        <v>51.721557560000001</v>
      </c>
      <c r="I108" s="1">
        <f t="shared" si="15"/>
        <v>3.5000000000000003E-2</v>
      </c>
      <c r="J108" s="1">
        <f t="shared" si="16"/>
        <v>0.12500001499999999</v>
      </c>
      <c r="K108" s="1">
        <f t="shared" si="17"/>
        <v>5.0000000000000001E-4</v>
      </c>
      <c r="L108" s="1">
        <f t="shared" si="18"/>
        <v>0.6080553310689355</v>
      </c>
      <c r="M108" s="1">
        <f t="shared" si="19"/>
        <v>2.7777777777777776E-2</v>
      </c>
      <c r="N108" s="1">
        <v>235</v>
      </c>
      <c r="O108" s="1">
        <f t="shared" si="27"/>
        <v>3.2</v>
      </c>
      <c r="P108" s="1">
        <v>4148</v>
      </c>
      <c r="Q108" s="1">
        <f>[1]!HeatTransferArea(I108,D108,0.36,K108)</f>
        <v>0.92362835099078811</v>
      </c>
      <c r="R108" s="1">
        <f>[1]!Convection(I108,M108,1000,9*10^-4,K108,0.6,0.36,7)</f>
        <v>20414.316838490533</v>
      </c>
      <c r="S108" s="1">
        <f t="shared" si="20"/>
        <v>0.40317657255242001</v>
      </c>
      <c r="T108" s="1">
        <f t="shared" si="21"/>
        <v>2.077793051861732E-5</v>
      </c>
      <c r="U108" s="1">
        <f t="shared" si="22"/>
        <v>1.6289893617021279E-6</v>
      </c>
      <c r="V108" s="1">
        <f t="shared" si="23"/>
        <v>3.5714290000000002</v>
      </c>
      <c r="W108" s="1">
        <f t="shared" si="24"/>
        <v>131.95356965358815</v>
      </c>
      <c r="X108" s="1">
        <f t="shared" si="25"/>
        <v>3.125</v>
      </c>
      <c r="Y108" s="1">
        <f t="shared" si="26"/>
        <v>0.11311251370360509</v>
      </c>
      <c r="Z108" s="1">
        <v>51.721557560000001</v>
      </c>
    </row>
    <row r="109" spans="1:26" x14ac:dyDescent="0.25">
      <c r="A109" s="1">
        <f>35</f>
        <v>35</v>
      </c>
      <c r="B109" s="1">
        <v>0.5</v>
      </c>
      <c r="C109" s="1">
        <v>3.5714290000000002</v>
      </c>
      <c r="D109" s="1">
        <f t="shared" si="14"/>
        <v>0.12500001499999999</v>
      </c>
      <c r="E109" s="1">
        <v>10</v>
      </c>
      <c r="F109" s="1">
        <v>1.5</v>
      </c>
      <c r="G109" s="1">
        <v>100</v>
      </c>
      <c r="H109" s="1">
        <v>51.274292119999998</v>
      </c>
      <c r="I109" s="1">
        <f t="shared" si="15"/>
        <v>3.5000000000000003E-2</v>
      </c>
      <c r="J109" s="1">
        <f t="shared" si="16"/>
        <v>0.12500001499999999</v>
      </c>
      <c r="K109" s="1">
        <f t="shared" si="17"/>
        <v>5.0000000000000001E-4</v>
      </c>
      <c r="L109" s="1">
        <f t="shared" si="18"/>
        <v>0.6080553310689355</v>
      </c>
      <c r="M109" s="1">
        <f t="shared" si="19"/>
        <v>2.7777777777777776E-2</v>
      </c>
      <c r="N109" s="1">
        <v>235</v>
      </c>
      <c r="O109" s="1">
        <f t="shared" si="27"/>
        <v>3.2</v>
      </c>
      <c r="P109" s="1">
        <v>4148</v>
      </c>
      <c r="Q109" s="1">
        <f>[1]!HeatTransferArea(I109,D109,0.36,K109)</f>
        <v>0.92362835099078811</v>
      </c>
      <c r="R109" s="1">
        <f>[1]!Convection(I109,M109,1000,9*10^-4,K109,0.6,0.36,7)</f>
        <v>20414.316838490533</v>
      </c>
      <c r="S109" s="1">
        <f t="shared" si="20"/>
        <v>0.2687843817016134</v>
      </c>
      <c r="T109" s="1">
        <f t="shared" si="21"/>
        <v>3.1166895777925976E-5</v>
      </c>
      <c r="U109" s="1">
        <f t="shared" si="22"/>
        <v>2.4434840425531916E-6</v>
      </c>
      <c r="V109" s="1">
        <f t="shared" si="23"/>
        <v>3.5714290000000002</v>
      </c>
      <c r="W109" s="1">
        <f t="shared" si="24"/>
        <v>87.969046435725446</v>
      </c>
      <c r="X109" s="1">
        <f t="shared" si="25"/>
        <v>3.125</v>
      </c>
      <c r="Y109" s="1">
        <f t="shared" si="26"/>
        <v>7.4756244058557714E-2</v>
      </c>
      <c r="Z109" s="1">
        <v>51.274292119999998</v>
      </c>
    </row>
    <row r="110" spans="1:26" x14ac:dyDescent="0.25">
      <c r="A110" s="1">
        <f>35</f>
        <v>35</v>
      </c>
      <c r="B110" s="1">
        <v>0.3</v>
      </c>
      <c r="C110" s="1">
        <v>2.1428569999999998</v>
      </c>
      <c r="D110" s="1">
        <f t="shared" si="14"/>
        <v>7.4999995E-2</v>
      </c>
      <c r="E110" s="1">
        <v>10</v>
      </c>
      <c r="F110" s="1">
        <v>0.5</v>
      </c>
      <c r="G110" s="1">
        <v>125</v>
      </c>
      <c r="H110" s="1">
        <v>60.129255430000001</v>
      </c>
      <c r="I110" s="1">
        <f t="shared" si="15"/>
        <v>3.5000000000000003E-2</v>
      </c>
      <c r="J110" s="1">
        <f t="shared" si="16"/>
        <v>7.4999995E-2</v>
      </c>
      <c r="K110" s="1">
        <f t="shared" si="17"/>
        <v>2.9999999999999997E-4</v>
      </c>
      <c r="L110" s="1">
        <f t="shared" si="18"/>
        <v>0.36483313053917238</v>
      </c>
      <c r="M110" s="1">
        <f t="shared" si="19"/>
        <v>3.4722222222222224E-2</v>
      </c>
      <c r="N110" s="1">
        <v>235</v>
      </c>
      <c r="O110" s="1">
        <f t="shared" si="27"/>
        <v>3.2</v>
      </c>
      <c r="P110" s="1">
        <v>4148</v>
      </c>
      <c r="Q110" s="1">
        <f>[1]!HeatTransferArea(I110,D110,0.36,K110)</f>
        <v>0.92362817858018342</v>
      </c>
      <c r="R110" s="1">
        <f>[1]!Convection(I110,M110,1000,9*10^-4,K110,0.6,0.36,7)</f>
        <v>33773.470677395402</v>
      </c>
      <c r="S110" s="1">
        <f t="shared" si="20"/>
        <v>1.6799026992168833</v>
      </c>
      <c r="T110" s="1">
        <f t="shared" si="21"/>
        <v>3.740026097074485E-6</v>
      </c>
      <c r="U110" s="1">
        <f t="shared" si="22"/>
        <v>8.1449468085106394E-7</v>
      </c>
      <c r="V110" s="1">
        <f t="shared" si="23"/>
        <v>2.1428569999999998</v>
      </c>
      <c r="W110" s="1">
        <f t="shared" si="24"/>
        <v>727.68048860534145</v>
      </c>
      <c r="X110" s="1">
        <f t="shared" si="25"/>
        <v>3.125</v>
      </c>
      <c r="Y110" s="1">
        <f t="shared" si="26"/>
        <v>0.43833253929065863</v>
      </c>
      <c r="Z110" s="1">
        <v>60.129255430000001</v>
      </c>
    </row>
    <row r="111" spans="1:26" x14ac:dyDescent="0.25">
      <c r="A111" s="1">
        <f>35</f>
        <v>35</v>
      </c>
      <c r="B111" s="1">
        <v>0.3</v>
      </c>
      <c r="C111" s="1">
        <v>2.1428569999999998</v>
      </c>
      <c r="D111" s="1">
        <f t="shared" si="14"/>
        <v>7.4999995E-2</v>
      </c>
      <c r="E111" s="1">
        <v>10</v>
      </c>
      <c r="F111" s="1">
        <v>1</v>
      </c>
      <c r="G111" s="1">
        <v>125</v>
      </c>
      <c r="H111" s="1">
        <v>65.137978529999998</v>
      </c>
      <c r="I111" s="1">
        <f t="shared" si="15"/>
        <v>3.5000000000000003E-2</v>
      </c>
      <c r="J111" s="1">
        <f t="shared" si="16"/>
        <v>7.4999995E-2</v>
      </c>
      <c r="K111" s="1">
        <f t="shared" si="17"/>
        <v>2.9999999999999997E-4</v>
      </c>
      <c r="L111" s="1">
        <f t="shared" si="18"/>
        <v>0.36483313053917238</v>
      </c>
      <c r="M111" s="1">
        <f t="shared" si="19"/>
        <v>3.4722222222222224E-2</v>
      </c>
      <c r="N111" s="1">
        <v>235</v>
      </c>
      <c r="O111" s="1">
        <f t="shared" si="27"/>
        <v>3.2</v>
      </c>
      <c r="P111" s="1">
        <v>4148</v>
      </c>
      <c r="Q111" s="1">
        <f>[1]!HeatTransferArea(I111,D111,0.36,K111)</f>
        <v>0.92362817858018342</v>
      </c>
      <c r="R111" s="1">
        <f>[1]!Convection(I111,M111,1000,9*10^-4,K111,0.6,0.36,7)</f>
        <v>33773.470677395402</v>
      </c>
      <c r="S111" s="1">
        <f t="shared" si="20"/>
        <v>0.83995134960844164</v>
      </c>
      <c r="T111" s="1">
        <f t="shared" si="21"/>
        <v>7.48005219414897E-6</v>
      </c>
      <c r="U111" s="1">
        <f t="shared" si="22"/>
        <v>1.6289893617021279E-6</v>
      </c>
      <c r="V111" s="1">
        <f t="shared" si="23"/>
        <v>2.1428569999999998</v>
      </c>
      <c r="W111" s="1">
        <f t="shared" si="24"/>
        <v>363.84024430267073</v>
      </c>
      <c r="X111" s="1">
        <f t="shared" si="25"/>
        <v>3.125</v>
      </c>
      <c r="Y111" s="1">
        <f t="shared" si="26"/>
        <v>0.23742265997750858</v>
      </c>
      <c r="Z111" s="1">
        <v>65.137978529999998</v>
      </c>
    </row>
    <row r="112" spans="1:26" x14ac:dyDescent="0.25">
      <c r="A112" s="1">
        <f>35</f>
        <v>35</v>
      </c>
      <c r="B112" s="1">
        <v>0.3</v>
      </c>
      <c r="C112" s="1">
        <v>2.1428569999999998</v>
      </c>
      <c r="D112" s="1">
        <f t="shared" si="14"/>
        <v>7.4999995E-2</v>
      </c>
      <c r="E112" s="1">
        <v>10</v>
      </c>
      <c r="F112" s="1">
        <v>1.5</v>
      </c>
      <c r="G112" s="1">
        <v>125</v>
      </c>
      <c r="H112" s="1">
        <v>65.272049030000005</v>
      </c>
      <c r="I112" s="1">
        <f t="shared" si="15"/>
        <v>3.5000000000000003E-2</v>
      </c>
      <c r="J112" s="1">
        <f t="shared" si="16"/>
        <v>7.4999995E-2</v>
      </c>
      <c r="K112" s="1">
        <f t="shared" si="17"/>
        <v>2.9999999999999997E-4</v>
      </c>
      <c r="L112" s="1">
        <f t="shared" si="18"/>
        <v>0.36483313053917238</v>
      </c>
      <c r="M112" s="1">
        <f t="shared" si="19"/>
        <v>3.4722222222222224E-2</v>
      </c>
      <c r="N112" s="1">
        <v>235</v>
      </c>
      <c r="O112" s="1">
        <f t="shared" si="27"/>
        <v>3.2</v>
      </c>
      <c r="P112" s="1">
        <v>4148</v>
      </c>
      <c r="Q112" s="1">
        <f>[1]!HeatTransferArea(I112,D112,0.36,K112)</f>
        <v>0.92362817858018342</v>
      </c>
      <c r="R112" s="1">
        <f>[1]!Convection(I112,M112,1000,9*10^-4,K112,0.6,0.36,7)</f>
        <v>33773.470677395402</v>
      </c>
      <c r="S112" s="1">
        <f t="shared" si="20"/>
        <v>0.55996756640562761</v>
      </c>
      <c r="T112" s="1">
        <f t="shared" si="21"/>
        <v>1.1220078291223454E-5</v>
      </c>
      <c r="U112" s="1">
        <f t="shared" si="22"/>
        <v>2.4434840425531916E-6</v>
      </c>
      <c r="V112" s="1">
        <f t="shared" si="23"/>
        <v>2.1428569999999998</v>
      </c>
      <c r="W112" s="1">
        <f t="shared" si="24"/>
        <v>242.56016286844712</v>
      </c>
      <c r="X112" s="1">
        <f t="shared" si="25"/>
        <v>3.125</v>
      </c>
      <c r="Y112" s="1">
        <f t="shared" si="26"/>
        <v>0.15860755739958593</v>
      </c>
      <c r="Z112" s="1">
        <v>65.272049030000005</v>
      </c>
    </row>
    <row r="113" spans="1:26" x14ac:dyDescent="0.25">
      <c r="A113" s="1">
        <f>35</f>
        <v>35</v>
      </c>
      <c r="B113" s="1">
        <v>0.3</v>
      </c>
      <c r="C113" s="1">
        <v>2.8571430000000002</v>
      </c>
      <c r="D113" s="1">
        <f t="shared" si="14"/>
        <v>0.100000005</v>
      </c>
      <c r="E113" s="1">
        <v>10</v>
      </c>
      <c r="F113" s="1">
        <v>0.5</v>
      </c>
      <c r="G113" s="1">
        <v>125</v>
      </c>
      <c r="H113" s="1">
        <v>62.851490169999998</v>
      </c>
      <c r="I113" s="1">
        <f t="shared" si="15"/>
        <v>3.5000000000000003E-2</v>
      </c>
      <c r="J113" s="1">
        <f t="shared" si="16"/>
        <v>0.100000005</v>
      </c>
      <c r="K113" s="1">
        <f t="shared" si="17"/>
        <v>2.9999999999999997E-4</v>
      </c>
      <c r="L113" s="1">
        <f t="shared" si="18"/>
        <v>0.48644423080405397</v>
      </c>
      <c r="M113" s="1">
        <f t="shared" si="19"/>
        <v>3.4722222222222224E-2</v>
      </c>
      <c r="N113" s="1">
        <v>235</v>
      </c>
      <c r="O113" s="1">
        <f t="shared" si="27"/>
        <v>3.2</v>
      </c>
      <c r="P113" s="1">
        <v>4148</v>
      </c>
      <c r="Q113" s="1">
        <f>[1]!HeatTransferArea(I113,D113,0.36,K113)</f>
        <v>1.2315043817824152</v>
      </c>
      <c r="R113" s="1">
        <f>[1]!Convection(I113,M113,1000,9*10^-4,K113,0.6,0.36,7)</f>
        <v>33773.470677395402</v>
      </c>
      <c r="S113" s="1">
        <f t="shared" si="20"/>
        <v>1.2599268774211834</v>
      </c>
      <c r="T113" s="1">
        <f t="shared" si="21"/>
        <v>6.6489368351063999E-6</v>
      </c>
      <c r="U113" s="1">
        <f t="shared" si="22"/>
        <v>8.1449468085106394E-7</v>
      </c>
      <c r="V113" s="1">
        <f t="shared" si="23"/>
        <v>2.8571430000000002</v>
      </c>
      <c r="W113" s="1">
        <f t="shared" si="24"/>
        <v>727.68048860534134</v>
      </c>
      <c r="X113" s="1">
        <f t="shared" si="25"/>
        <v>3.125</v>
      </c>
      <c r="Y113" s="1">
        <f t="shared" si="26"/>
        <v>0.34363285234349406</v>
      </c>
      <c r="Z113" s="1">
        <v>62.851490169999998</v>
      </c>
    </row>
    <row r="114" spans="1:26" x14ac:dyDescent="0.25">
      <c r="A114" s="1">
        <f>35</f>
        <v>35</v>
      </c>
      <c r="B114" s="1">
        <v>0.3</v>
      </c>
      <c r="C114" s="1">
        <v>2.8571430000000002</v>
      </c>
      <c r="D114" s="1">
        <f t="shared" si="14"/>
        <v>0.100000005</v>
      </c>
      <c r="E114" s="1">
        <v>10</v>
      </c>
      <c r="F114" s="1">
        <v>1</v>
      </c>
      <c r="G114" s="1">
        <v>125</v>
      </c>
      <c r="H114" s="1">
        <v>64.164834519999999</v>
      </c>
      <c r="I114" s="1">
        <f t="shared" si="15"/>
        <v>3.5000000000000003E-2</v>
      </c>
      <c r="J114" s="1">
        <f t="shared" si="16"/>
        <v>0.100000005</v>
      </c>
      <c r="K114" s="1">
        <f t="shared" si="17"/>
        <v>2.9999999999999997E-4</v>
      </c>
      <c r="L114" s="1">
        <f t="shared" si="18"/>
        <v>0.48644423080405397</v>
      </c>
      <c r="M114" s="1">
        <f t="shared" si="19"/>
        <v>3.4722222222222224E-2</v>
      </c>
      <c r="N114" s="1">
        <v>235</v>
      </c>
      <c r="O114" s="1">
        <f t="shared" si="27"/>
        <v>3.2</v>
      </c>
      <c r="P114" s="1">
        <v>4148</v>
      </c>
      <c r="Q114" s="1">
        <f>[1]!HeatTransferArea(I114,D114,0.36,K114)</f>
        <v>1.2315043817824152</v>
      </c>
      <c r="R114" s="1">
        <f>[1]!Convection(I114,M114,1000,9*10^-4,K114,0.6,0.36,7)</f>
        <v>33773.470677395402</v>
      </c>
      <c r="S114" s="1">
        <f t="shared" si="20"/>
        <v>0.62996343871059168</v>
      </c>
      <c r="T114" s="1">
        <f t="shared" si="21"/>
        <v>1.32978736702128E-5</v>
      </c>
      <c r="U114" s="1">
        <f t="shared" si="22"/>
        <v>1.6289893617021279E-6</v>
      </c>
      <c r="V114" s="1">
        <f t="shared" si="23"/>
        <v>2.8571430000000002</v>
      </c>
      <c r="W114" s="1">
        <f t="shared" si="24"/>
        <v>363.84024430267067</v>
      </c>
      <c r="X114" s="1">
        <f t="shared" si="25"/>
        <v>3.125</v>
      </c>
      <c r="Y114" s="1">
        <f t="shared" si="26"/>
        <v>0.17540670115074131</v>
      </c>
      <c r="Z114" s="1">
        <v>64.164834519999999</v>
      </c>
    </row>
    <row r="115" spans="1:26" x14ac:dyDescent="0.25">
      <c r="A115" s="1">
        <f>35</f>
        <v>35</v>
      </c>
      <c r="B115" s="1">
        <v>0.3</v>
      </c>
      <c r="C115" s="1">
        <v>2.8571430000000002</v>
      </c>
      <c r="D115" s="1">
        <f t="shared" si="14"/>
        <v>0.100000005</v>
      </c>
      <c r="E115" s="1">
        <v>10</v>
      </c>
      <c r="F115" s="1">
        <v>1.5</v>
      </c>
      <c r="G115" s="1">
        <v>125</v>
      </c>
      <c r="H115" s="1">
        <v>63.859831360000001</v>
      </c>
      <c r="I115" s="1">
        <f t="shared" si="15"/>
        <v>3.5000000000000003E-2</v>
      </c>
      <c r="J115" s="1">
        <f t="shared" si="16"/>
        <v>0.100000005</v>
      </c>
      <c r="K115" s="1">
        <f t="shared" si="17"/>
        <v>2.9999999999999997E-4</v>
      </c>
      <c r="L115" s="1">
        <f t="shared" si="18"/>
        <v>0.48644423080405397</v>
      </c>
      <c r="M115" s="1">
        <f t="shared" si="19"/>
        <v>3.4722222222222224E-2</v>
      </c>
      <c r="N115" s="1">
        <v>235</v>
      </c>
      <c r="O115" s="1">
        <f t="shared" si="27"/>
        <v>3.2</v>
      </c>
      <c r="P115" s="1">
        <v>4148</v>
      </c>
      <c r="Q115" s="1">
        <f>[1]!HeatTransferArea(I115,D115,0.36,K115)</f>
        <v>1.2315043817824152</v>
      </c>
      <c r="R115" s="1">
        <f>[1]!Convection(I115,M115,1000,9*10^-4,K115,0.6,0.36,7)</f>
        <v>33773.470677395402</v>
      </c>
      <c r="S115" s="1">
        <f t="shared" si="20"/>
        <v>0.4199756258070611</v>
      </c>
      <c r="T115" s="1">
        <f t="shared" si="21"/>
        <v>1.99468105053192E-5</v>
      </c>
      <c r="U115" s="1">
        <f t="shared" si="22"/>
        <v>2.4434840425531916E-6</v>
      </c>
      <c r="V115" s="1">
        <f t="shared" si="23"/>
        <v>2.8571430000000002</v>
      </c>
      <c r="W115" s="1">
        <f t="shared" si="24"/>
        <v>242.56016286844709</v>
      </c>
      <c r="X115" s="1">
        <f t="shared" si="25"/>
        <v>3.125</v>
      </c>
      <c r="Y115" s="1">
        <f t="shared" si="26"/>
        <v>0.11638194491520948</v>
      </c>
      <c r="Z115" s="1">
        <v>63.859831360000001</v>
      </c>
    </row>
    <row r="116" spans="1:26" x14ac:dyDescent="0.25">
      <c r="A116" s="1">
        <f>35</f>
        <v>35</v>
      </c>
      <c r="B116" s="1">
        <v>0.3</v>
      </c>
      <c r="C116" s="1">
        <v>3.5714290000000002</v>
      </c>
      <c r="D116" s="1">
        <f t="shared" si="14"/>
        <v>0.12500001499999999</v>
      </c>
      <c r="E116" s="1">
        <v>10</v>
      </c>
      <c r="F116" s="1">
        <v>0.5</v>
      </c>
      <c r="G116" s="1">
        <v>125</v>
      </c>
      <c r="H116" s="1">
        <v>62.99920024</v>
      </c>
      <c r="I116" s="1">
        <f t="shared" si="15"/>
        <v>3.5000000000000003E-2</v>
      </c>
      <c r="J116" s="1">
        <f t="shared" si="16"/>
        <v>0.12500001499999999</v>
      </c>
      <c r="K116" s="1">
        <f t="shared" si="17"/>
        <v>2.9999999999999997E-4</v>
      </c>
      <c r="L116" s="1">
        <f t="shared" si="18"/>
        <v>0.6080553310689355</v>
      </c>
      <c r="M116" s="1">
        <f t="shared" si="19"/>
        <v>3.4722222222222224E-2</v>
      </c>
      <c r="N116" s="1">
        <v>235</v>
      </c>
      <c r="O116" s="1">
        <f t="shared" si="27"/>
        <v>3.2</v>
      </c>
      <c r="P116" s="1">
        <v>4148</v>
      </c>
      <c r="Q116" s="1">
        <f>[1]!HeatTransferArea(I116,D116,0.36,K116)</f>
        <v>1.5393805849846469</v>
      </c>
      <c r="R116" s="1">
        <f>[1]!Convection(I116,M116,1000,9*10^-4,K116,0.6,0.36,7)</f>
        <v>33773.470677395402</v>
      </c>
      <c r="S116" s="1">
        <f t="shared" si="20"/>
        <v>1.00794143138105</v>
      </c>
      <c r="T116" s="1">
        <f t="shared" si="21"/>
        <v>1.038896525930866E-5</v>
      </c>
      <c r="U116" s="1">
        <f t="shared" si="22"/>
        <v>8.1449468085106394E-7</v>
      </c>
      <c r="V116" s="1">
        <f t="shared" si="23"/>
        <v>3.5714290000000002</v>
      </c>
      <c r="W116" s="1">
        <f t="shared" si="24"/>
        <v>727.68048860534122</v>
      </c>
      <c r="X116" s="1">
        <f t="shared" si="25"/>
        <v>3.125</v>
      </c>
      <c r="Y116" s="1">
        <f t="shared" si="26"/>
        <v>0.27555233201152501</v>
      </c>
      <c r="Z116" s="1">
        <v>62.99920024</v>
      </c>
    </row>
    <row r="117" spans="1:26" x14ac:dyDescent="0.25">
      <c r="A117" s="1">
        <f>35</f>
        <v>35</v>
      </c>
      <c r="B117" s="1">
        <v>0.3</v>
      </c>
      <c r="C117" s="1">
        <v>3.5714290000000002</v>
      </c>
      <c r="D117" s="1">
        <f t="shared" si="14"/>
        <v>0.12500001499999999</v>
      </c>
      <c r="E117" s="1">
        <v>10</v>
      </c>
      <c r="F117" s="1">
        <v>1</v>
      </c>
      <c r="G117" s="1">
        <v>125</v>
      </c>
      <c r="H117" s="1">
        <v>63.037733709999998</v>
      </c>
      <c r="I117" s="1">
        <f t="shared" si="15"/>
        <v>3.5000000000000003E-2</v>
      </c>
      <c r="J117" s="1">
        <f t="shared" si="16"/>
        <v>0.12500001499999999</v>
      </c>
      <c r="K117" s="1">
        <f t="shared" si="17"/>
        <v>2.9999999999999997E-4</v>
      </c>
      <c r="L117" s="1">
        <f t="shared" si="18"/>
        <v>0.6080553310689355</v>
      </c>
      <c r="M117" s="1">
        <f t="shared" si="19"/>
        <v>3.4722222222222224E-2</v>
      </c>
      <c r="N117" s="1">
        <v>235</v>
      </c>
      <c r="O117" s="1">
        <f t="shared" si="27"/>
        <v>3.2</v>
      </c>
      <c r="P117" s="1">
        <v>4148</v>
      </c>
      <c r="Q117" s="1">
        <f>[1]!HeatTransferArea(I117,D117,0.36,K117)</f>
        <v>1.5393805849846469</v>
      </c>
      <c r="R117" s="1">
        <f>[1]!Convection(I117,M117,1000,9*10^-4,K117,0.6,0.36,7)</f>
        <v>33773.470677395402</v>
      </c>
      <c r="S117" s="1">
        <f t="shared" si="20"/>
        <v>0.50397071569052498</v>
      </c>
      <c r="T117" s="1">
        <f t="shared" si="21"/>
        <v>2.077793051861732E-5</v>
      </c>
      <c r="U117" s="1">
        <f t="shared" si="22"/>
        <v>1.6289893617021279E-6</v>
      </c>
      <c r="V117" s="1">
        <f t="shared" si="23"/>
        <v>3.5714290000000002</v>
      </c>
      <c r="W117" s="1">
        <f t="shared" si="24"/>
        <v>363.84024430267061</v>
      </c>
      <c r="X117" s="1">
        <f t="shared" si="25"/>
        <v>3.125</v>
      </c>
      <c r="Y117" s="1">
        <f t="shared" si="26"/>
        <v>0.13786043681776128</v>
      </c>
      <c r="Z117" s="1">
        <v>63.037733709999998</v>
      </c>
    </row>
    <row r="118" spans="1:26" x14ac:dyDescent="0.25">
      <c r="A118" s="1">
        <f>35</f>
        <v>35</v>
      </c>
      <c r="B118" s="1">
        <v>0.3</v>
      </c>
      <c r="C118" s="1">
        <v>3.5714290000000002</v>
      </c>
      <c r="D118" s="1">
        <f t="shared" si="14"/>
        <v>0.12500001499999999</v>
      </c>
      <c r="E118" s="1">
        <v>10</v>
      </c>
      <c r="F118" s="1">
        <v>1.5</v>
      </c>
      <c r="G118" s="1">
        <v>125</v>
      </c>
      <c r="H118" s="1">
        <v>62.53768367</v>
      </c>
      <c r="I118" s="1">
        <f t="shared" si="15"/>
        <v>3.5000000000000003E-2</v>
      </c>
      <c r="J118" s="1">
        <f t="shared" si="16"/>
        <v>0.12500001499999999</v>
      </c>
      <c r="K118" s="1">
        <f t="shared" si="17"/>
        <v>2.9999999999999997E-4</v>
      </c>
      <c r="L118" s="1">
        <f t="shared" si="18"/>
        <v>0.6080553310689355</v>
      </c>
      <c r="M118" s="1">
        <f t="shared" si="19"/>
        <v>3.4722222222222224E-2</v>
      </c>
      <c r="N118" s="1">
        <v>235</v>
      </c>
      <c r="O118" s="1">
        <f t="shared" si="27"/>
        <v>3.2</v>
      </c>
      <c r="P118" s="1">
        <v>4148</v>
      </c>
      <c r="Q118" s="1">
        <f>[1]!HeatTransferArea(I118,D118,0.36,K118)</f>
        <v>1.5393805849846469</v>
      </c>
      <c r="R118" s="1">
        <f>[1]!Convection(I118,M118,1000,9*10^-4,K118,0.6,0.36,7)</f>
        <v>33773.470677395402</v>
      </c>
      <c r="S118" s="1">
        <f t="shared" si="20"/>
        <v>0.33598047712701673</v>
      </c>
      <c r="T118" s="1">
        <f t="shared" si="21"/>
        <v>3.1166895777925976E-5</v>
      </c>
      <c r="U118" s="1">
        <f t="shared" si="22"/>
        <v>2.4434840425531916E-6</v>
      </c>
      <c r="V118" s="1">
        <f t="shared" si="23"/>
        <v>3.5714290000000002</v>
      </c>
      <c r="W118" s="1">
        <f t="shared" si="24"/>
        <v>242.56016286844712</v>
      </c>
      <c r="X118" s="1">
        <f t="shared" si="25"/>
        <v>3.125</v>
      </c>
      <c r="Y118" s="1">
        <f t="shared" si="26"/>
        <v>9.1177901244351683E-2</v>
      </c>
      <c r="Z118" s="1">
        <v>62.53768367</v>
      </c>
    </row>
    <row r="119" spans="1:26" x14ac:dyDescent="0.25">
      <c r="A119" s="1">
        <f>35</f>
        <v>35</v>
      </c>
      <c r="B119" s="1">
        <v>0.4</v>
      </c>
      <c r="C119" s="1">
        <v>2.1428569999999998</v>
      </c>
      <c r="D119" s="1">
        <f t="shared" si="14"/>
        <v>7.4999995E-2</v>
      </c>
      <c r="E119" s="1">
        <v>10</v>
      </c>
      <c r="F119" s="1">
        <v>0.5</v>
      </c>
      <c r="G119" s="1">
        <v>125</v>
      </c>
      <c r="H119" s="1">
        <v>59.434847849999997</v>
      </c>
      <c r="I119" s="1">
        <f t="shared" si="15"/>
        <v>3.5000000000000003E-2</v>
      </c>
      <c r="J119" s="1">
        <f t="shared" si="16"/>
        <v>7.4999995E-2</v>
      </c>
      <c r="K119" s="1">
        <f t="shared" si="17"/>
        <v>4.0000000000000002E-4</v>
      </c>
      <c r="L119" s="1">
        <f t="shared" si="18"/>
        <v>0.36483313053917238</v>
      </c>
      <c r="M119" s="1">
        <f t="shared" si="19"/>
        <v>3.4722222222222224E-2</v>
      </c>
      <c r="N119" s="1">
        <v>235</v>
      </c>
      <c r="O119" s="1">
        <f t="shared" si="27"/>
        <v>3.2</v>
      </c>
      <c r="P119" s="1">
        <v>4148</v>
      </c>
      <c r="Q119" s="1">
        <f>[1]!HeatTransferArea(I119,D119,0.36,K119)</f>
        <v>0.69272113393513746</v>
      </c>
      <c r="R119" s="1">
        <f>[1]!Convection(I119,M119,1000,9*10^-4,K119,0.6,0.36,7)</f>
        <v>25517.896048113165</v>
      </c>
      <c r="S119" s="1">
        <f t="shared" si="20"/>
        <v>1.6799026992168833</v>
      </c>
      <c r="T119" s="1">
        <f t="shared" si="21"/>
        <v>3.740026097074485E-6</v>
      </c>
      <c r="U119" s="1">
        <f t="shared" si="22"/>
        <v>8.1449468085106394E-7</v>
      </c>
      <c r="V119" s="1">
        <f t="shared" si="23"/>
        <v>2.1428569999999998</v>
      </c>
      <c r="W119" s="1">
        <f t="shared" si="24"/>
        <v>412.35490516746296</v>
      </c>
      <c r="X119" s="1">
        <f t="shared" si="25"/>
        <v>3.125</v>
      </c>
      <c r="Y119" s="1">
        <f t="shared" si="26"/>
        <v>0.43327042043241948</v>
      </c>
      <c r="Z119" s="1">
        <v>59.434847849999997</v>
      </c>
    </row>
    <row r="120" spans="1:26" x14ac:dyDescent="0.25">
      <c r="A120" s="1">
        <f>35</f>
        <v>35</v>
      </c>
      <c r="B120" s="1">
        <v>0.4</v>
      </c>
      <c r="C120" s="1">
        <v>2.1428569999999998</v>
      </c>
      <c r="D120" s="1">
        <f t="shared" si="14"/>
        <v>7.4999995E-2</v>
      </c>
      <c r="E120" s="1">
        <v>10</v>
      </c>
      <c r="F120" s="1">
        <v>1</v>
      </c>
      <c r="G120" s="1">
        <v>125</v>
      </c>
      <c r="H120" s="1">
        <v>65.326250020000003</v>
      </c>
      <c r="I120" s="1">
        <f t="shared" si="15"/>
        <v>3.5000000000000003E-2</v>
      </c>
      <c r="J120" s="1">
        <f t="shared" si="16"/>
        <v>7.4999995E-2</v>
      </c>
      <c r="K120" s="1">
        <f t="shared" si="17"/>
        <v>4.0000000000000002E-4</v>
      </c>
      <c r="L120" s="1">
        <f t="shared" si="18"/>
        <v>0.36483313053917238</v>
      </c>
      <c r="M120" s="1">
        <f t="shared" si="19"/>
        <v>3.4722222222222224E-2</v>
      </c>
      <c r="N120" s="1">
        <v>235</v>
      </c>
      <c r="O120" s="1">
        <f t="shared" si="27"/>
        <v>3.2</v>
      </c>
      <c r="P120" s="1">
        <v>4148</v>
      </c>
      <c r="Q120" s="1">
        <f>[1]!HeatTransferArea(I120,D120,0.36,K120)</f>
        <v>0.69272113393513746</v>
      </c>
      <c r="R120" s="1">
        <f>[1]!Convection(I120,M120,1000,9*10^-4,K120,0.6,0.36,7)</f>
        <v>25517.896048113165</v>
      </c>
      <c r="S120" s="1">
        <f t="shared" si="20"/>
        <v>0.83995134960844164</v>
      </c>
      <c r="T120" s="1">
        <f t="shared" si="21"/>
        <v>7.48005219414897E-6</v>
      </c>
      <c r="U120" s="1">
        <f t="shared" si="22"/>
        <v>1.6289893617021279E-6</v>
      </c>
      <c r="V120" s="1">
        <f t="shared" si="23"/>
        <v>2.1428569999999998</v>
      </c>
      <c r="W120" s="1">
        <f t="shared" si="24"/>
        <v>206.17745258373148</v>
      </c>
      <c r="X120" s="1">
        <f t="shared" si="25"/>
        <v>3.125</v>
      </c>
      <c r="Y120" s="1">
        <f t="shared" si="26"/>
        <v>0.23810889432131987</v>
      </c>
      <c r="Z120" s="1">
        <v>65.326250020000003</v>
      </c>
    </row>
    <row r="121" spans="1:26" x14ac:dyDescent="0.25">
      <c r="A121" s="1">
        <f>35</f>
        <v>35</v>
      </c>
      <c r="B121" s="1">
        <v>0.4</v>
      </c>
      <c r="C121" s="1">
        <v>2.1428569999999998</v>
      </c>
      <c r="D121" s="1">
        <f t="shared" si="14"/>
        <v>7.4999995E-2</v>
      </c>
      <c r="E121" s="1">
        <v>10</v>
      </c>
      <c r="F121" s="1">
        <v>1.5</v>
      </c>
      <c r="G121" s="1">
        <v>125</v>
      </c>
      <c r="H121" s="1">
        <v>65.710018579999996</v>
      </c>
      <c r="I121" s="1">
        <f t="shared" si="15"/>
        <v>3.5000000000000003E-2</v>
      </c>
      <c r="J121" s="1">
        <f t="shared" si="16"/>
        <v>7.4999995E-2</v>
      </c>
      <c r="K121" s="1">
        <f t="shared" si="17"/>
        <v>4.0000000000000002E-4</v>
      </c>
      <c r="L121" s="1">
        <f t="shared" si="18"/>
        <v>0.36483313053917238</v>
      </c>
      <c r="M121" s="1">
        <f t="shared" si="19"/>
        <v>3.4722222222222224E-2</v>
      </c>
      <c r="N121" s="1">
        <v>235</v>
      </c>
      <c r="O121" s="1">
        <f t="shared" si="27"/>
        <v>3.2</v>
      </c>
      <c r="P121" s="1">
        <v>4148</v>
      </c>
      <c r="Q121" s="1">
        <f>[1]!HeatTransferArea(I121,D121,0.36,K121)</f>
        <v>0.69272113393513746</v>
      </c>
      <c r="R121" s="1">
        <f>[1]!Convection(I121,M121,1000,9*10^-4,K121,0.6,0.36,7)</f>
        <v>25517.896048113165</v>
      </c>
      <c r="S121" s="1">
        <f t="shared" si="20"/>
        <v>0.55996756640562761</v>
      </c>
      <c r="T121" s="1">
        <f t="shared" si="21"/>
        <v>1.1220078291223454E-5</v>
      </c>
      <c r="U121" s="1">
        <f t="shared" si="22"/>
        <v>2.4434840425531916E-6</v>
      </c>
      <c r="V121" s="1">
        <f t="shared" si="23"/>
        <v>2.1428569999999998</v>
      </c>
      <c r="W121" s="1">
        <f t="shared" si="24"/>
        <v>137.45163505582096</v>
      </c>
      <c r="X121" s="1">
        <f t="shared" si="25"/>
        <v>3.125</v>
      </c>
      <c r="Y121" s="1">
        <f t="shared" si="26"/>
        <v>0.15967179977550655</v>
      </c>
      <c r="Z121" s="1">
        <v>65.710018579999996</v>
      </c>
    </row>
    <row r="122" spans="1:26" x14ac:dyDescent="0.25">
      <c r="A122" s="1">
        <f>35</f>
        <v>35</v>
      </c>
      <c r="B122" s="1">
        <v>0.4</v>
      </c>
      <c r="C122" s="1">
        <v>2.8571430000000002</v>
      </c>
      <c r="D122" s="1">
        <f t="shared" si="14"/>
        <v>0.100000005</v>
      </c>
      <c r="E122" s="1">
        <v>10</v>
      </c>
      <c r="F122" s="1">
        <v>0.5</v>
      </c>
      <c r="G122" s="1">
        <v>125</v>
      </c>
      <c r="H122" s="1">
        <v>63.10287975</v>
      </c>
      <c r="I122" s="1">
        <f t="shared" si="15"/>
        <v>3.5000000000000003E-2</v>
      </c>
      <c r="J122" s="1">
        <f t="shared" si="16"/>
        <v>0.100000005</v>
      </c>
      <c r="K122" s="1">
        <f t="shared" si="17"/>
        <v>4.0000000000000002E-4</v>
      </c>
      <c r="L122" s="1">
        <f t="shared" si="18"/>
        <v>0.48644423080405397</v>
      </c>
      <c r="M122" s="1">
        <f t="shared" si="19"/>
        <v>3.4722222222222224E-2</v>
      </c>
      <c r="N122" s="1">
        <v>235</v>
      </c>
      <c r="O122" s="1">
        <f t="shared" si="27"/>
        <v>3.2</v>
      </c>
      <c r="P122" s="1">
        <v>4148</v>
      </c>
      <c r="Q122" s="1">
        <f>[1]!HeatTransferArea(I122,D122,0.36,K122)</f>
        <v>0.92362828633681127</v>
      </c>
      <c r="R122" s="1">
        <f>[1]!Convection(I122,M122,1000,9*10^-4,K122,0.6,0.36,7)</f>
        <v>25517.896048113165</v>
      </c>
      <c r="S122" s="1">
        <f t="shared" si="20"/>
        <v>1.2599268774211834</v>
      </c>
      <c r="T122" s="1">
        <f t="shared" si="21"/>
        <v>6.6489368351063999E-6</v>
      </c>
      <c r="U122" s="1">
        <f t="shared" si="22"/>
        <v>8.1449468085106394E-7</v>
      </c>
      <c r="V122" s="1">
        <f t="shared" si="23"/>
        <v>2.8571430000000002</v>
      </c>
      <c r="W122" s="1">
        <f t="shared" si="24"/>
        <v>412.3549051674629</v>
      </c>
      <c r="X122" s="1">
        <f t="shared" si="25"/>
        <v>3.125</v>
      </c>
      <c r="Y122" s="1">
        <f t="shared" si="26"/>
        <v>0.34500729419349918</v>
      </c>
      <c r="Z122" s="1">
        <v>63.10287975</v>
      </c>
    </row>
    <row r="123" spans="1:26" x14ac:dyDescent="0.25">
      <c r="A123" s="1">
        <f>35</f>
        <v>35</v>
      </c>
      <c r="B123" s="1">
        <v>0.4</v>
      </c>
      <c r="C123" s="1">
        <v>2.8571430000000002</v>
      </c>
      <c r="D123" s="1">
        <f t="shared" si="14"/>
        <v>0.100000005</v>
      </c>
      <c r="E123" s="1">
        <v>10</v>
      </c>
      <c r="F123" s="1">
        <v>1</v>
      </c>
      <c r="G123" s="1">
        <v>125</v>
      </c>
      <c r="H123" s="1">
        <v>64.947478369999999</v>
      </c>
      <c r="I123" s="1">
        <f t="shared" si="15"/>
        <v>3.5000000000000003E-2</v>
      </c>
      <c r="J123" s="1">
        <f t="shared" si="16"/>
        <v>0.100000005</v>
      </c>
      <c r="K123" s="1">
        <f t="shared" si="17"/>
        <v>4.0000000000000002E-4</v>
      </c>
      <c r="L123" s="1">
        <f t="shared" si="18"/>
        <v>0.48644423080405397</v>
      </c>
      <c r="M123" s="1">
        <f t="shared" si="19"/>
        <v>3.4722222222222224E-2</v>
      </c>
      <c r="N123" s="1">
        <v>235</v>
      </c>
      <c r="O123" s="1">
        <f t="shared" si="27"/>
        <v>3.2</v>
      </c>
      <c r="P123" s="1">
        <v>4148</v>
      </c>
      <c r="Q123" s="1">
        <f>[1]!HeatTransferArea(I123,D123,0.36,K123)</f>
        <v>0.92362828633681127</v>
      </c>
      <c r="R123" s="1">
        <f>[1]!Convection(I123,M123,1000,9*10^-4,K123,0.6,0.36,7)</f>
        <v>25517.896048113165</v>
      </c>
      <c r="S123" s="1">
        <f t="shared" si="20"/>
        <v>0.62996343871059168</v>
      </c>
      <c r="T123" s="1">
        <f t="shared" si="21"/>
        <v>1.32978736702128E-5</v>
      </c>
      <c r="U123" s="1">
        <f t="shared" si="22"/>
        <v>1.6289893617021279E-6</v>
      </c>
      <c r="V123" s="1">
        <f t="shared" si="23"/>
        <v>2.8571430000000002</v>
      </c>
      <c r="W123" s="1">
        <f t="shared" si="24"/>
        <v>206.17745258373145</v>
      </c>
      <c r="X123" s="1">
        <f t="shared" si="25"/>
        <v>3.125</v>
      </c>
      <c r="Y123" s="1">
        <f t="shared" si="26"/>
        <v>0.17754620602021345</v>
      </c>
      <c r="Z123" s="1">
        <v>64.947478369999999</v>
      </c>
    </row>
    <row r="124" spans="1:26" x14ac:dyDescent="0.25">
      <c r="A124" s="1">
        <f>35</f>
        <v>35</v>
      </c>
      <c r="B124" s="1">
        <v>0.4</v>
      </c>
      <c r="C124" s="1">
        <v>2.8571430000000002</v>
      </c>
      <c r="D124" s="1">
        <f t="shared" si="14"/>
        <v>0.100000005</v>
      </c>
      <c r="E124" s="1">
        <v>10</v>
      </c>
      <c r="F124" s="1">
        <v>1.5</v>
      </c>
      <c r="G124" s="1">
        <v>125</v>
      </c>
      <c r="H124" s="1">
        <v>64.789756949999997</v>
      </c>
      <c r="I124" s="1">
        <f t="shared" si="15"/>
        <v>3.5000000000000003E-2</v>
      </c>
      <c r="J124" s="1">
        <f t="shared" si="16"/>
        <v>0.100000005</v>
      </c>
      <c r="K124" s="1">
        <f t="shared" si="17"/>
        <v>4.0000000000000002E-4</v>
      </c>
      <c r="L124" s="1">
        <f t="shared" si="18"/>
        <v>0.48644423080405397</v>
      </c>
      <c r="M124" s="1">
        <f t="shared" si="19"/>
        <v>3.4722222222222224E-2</v>
      </c>
      <c r="N124" s="1">
        <v>235</v>
      </c>
      <c r="O124" s="1">
        <f t="shared" si="27"/>
        <v>3.2</v>
      </c>
      <c r="P124" s="1">
        <v>4148</v>
      </c>
      <c r="Q124" s="1">
        <f>[1]!HeatTransferArea(I124,D124,0.36,K124)</f>
        <v>0.92362828633681127</v>
      </c>
      <c r="R124" s="1">
        <f>[1]!Convection(I124,M124,1000,9*10^-4,K124,0.6,0.36,7)</f>
        <v>25517.896048113165</v>
      </c>
      <c r="S124" s="1">
        <f t="shared" si="20"/>
        <v>0.4199756258070611</v>
      </c>
      <c r="T124" s="1">
        <f t="shared" si="21"/>
        <v>1.99468105053192E-5</v>
      </c>
      <c r="U124" s="1">
        <f t="shared" si="22"/>
        <v>2.4434840425531916E-6</v>
      </c>
      <c r="V124" s="1">
        <f t="shared" si="23"/>
        <v>2.8571430000000002</v>
      </c>
      <c r="W124" s="1">
        <f t="shared" si="24"/>
        <v>137.45163505582096</v>
      </c>
      <c r="X124" s="1">
        <f t="shared" si="25"/>
        <v>3.125</v>
      </c>
      <c r="Y124" s="1">
        <f t="shared" si="26"/>
        <v>0.11807669647476987</v>
      </c>
      <c r="Z124" s="1">
        <v>64.789756949999997</v>
      </c>
    </row>
    <row r="125" spans="1:26" x14ac:dyDescent="0.25">
      <c r="A125" s="1">
        <f>35</f>
        <v>35</v>
      </c>
      <c r="B125" s="1">
        <v>0.4</v>
      </c>
      <c r="C125" s="1">
        <v>3.5714290000000002</v>
      </c>
      <c r="D125" s="1">
        <f t="shared" si="14"/>
        <v>0.12500001499999999</v>
      </c>
      <c r="E125" s="1">
        <v>10</v>
      </c>
      <c r="F125" s="1">
        <v>0.5</v>
      </c>
      <c r="G125" s="1">
        <v>125</v>
      </c>
      <c r="H125" s="1">
        <v>63.811205999999999</v>
      </c>
      <c r="I125" s="1">
        <f t="shared" si="15"/>
        <v>3.5000000000000003E-2</v>
      </c>
      <c r="J125" s="1">
        <f t="shared" si="16"/>
        <v>0.12500001499999999</v>
      </c>
      <c r="K125" s="1">
        <f t="shared" si="17"/>
        <v>4.0000000000000002E-4</v>
      </c>
      <c r="L125" s="1">
        <f t="shared" si="18"/>
        <v>0.6080553310689355</v>
      </c>
      <c r="M125" s="1">
        <f t="shared" si="19"/>
        <v>3.4722222222222224E-2</v>
      </c>
      <c r="N125" s="1">
        <v>235</v>
      </c>
      <c r="O125" s="1">
        <f t="shared" si="27"/>
        <v>3.2</v>
      </c>
      <c r="P125" s="1">
        <v>4148</v>
      </c>
      <c r="Q125" s="1">
        <f>[1]!HeatTransferArea(I125,D125,0.36,K125)</f>
        <v>1.154535438738485</v>
      </c>
      <c r="R125" s="1">
        <f>[1]!Convection(I125,M125,1000,9*10^-4,K125,0.6,0.36,7)</f>
        <v>25517.896048113165</v>
      </c>
      <c r="S125" s="1">
        <f t="shared" si="20"/>
        <v>1.00794143138105</v>
      </c>
      <c r="T125" s="1">
        <f t="shared" si="21"/>
        <v>1.038896525930866E-5</v>
      </c>
      <c r="U125" s="1">
        <f t="shared" si="22"/>
        <v>8.1449468085106394E-7</v>
      </c>
      <c r="V125" s="1">
        <f t="shared" si="23"/>
        <v>3.5714290000000002</v>
      </c>
      <c r="W125" s="1">
        <f t="shared" si="24"/>
        <v>412.35490516746285</v>
      </c>
      <c r="X125" s="1">
        <f t="shared" si="25"/>
        <v>3.125</v>
      </c>
      <c r="Y125" s="1">
        <f t="shared" si="26"/>
        <v>0.27910396568183193</v>
      </c>
      <c r="Z125" s="1">
        <v>63.811205999999999</v>
      </c>
    </row>
    <row r="126" spans="1:26" x14ac:dyDescent="0.25">
      <c r="A126" s="1">
        <f>35</f>
        <v>35</v>
      </c>
      <c r="B126" s="1">
        <v>0.4</v>
      </c>
      <c r="C126" s="1">
        <v>3.5714290000000002</v>
      </c>
      <c r="D126" s="1">
        <f t="shared" si="14"/>
        <v>0.12500001499999999</v>
      </c>
      <c r="E126" s="1">
        <v>10</v>
      </c>
      <c r="F126" s="1">
        <v>1</v>
      </c>
      <c r="G126" s="1">
        <v>125</v>
      </c>
      <c r="H126" s="1">
        <v>64.22753908</v>
      </c>
      <c r="I126" s="1">
        <f t="shared" si="15"/>
        <v>3.5000000000000003E-2</v>
      </c>
      <c r="J126" s="1">
        <f t="shared" si="16"/>
        <v>0.12500001499999999</v>
      </c>
      <c r="K126" s="1">
        <f t="shared" si="17"/>
        <v>4.0000000000000002E-4</v>
      </c>
      <c r="L126" s="1">
        <f t="shared" si="18"/>
        <v>0.6080553310689355</v>
      </c>
      <c r="M126" s="1">
        <f t="shared" si="19"/>
        <v>3.4722222222222224E-2</v>
      </c>
      <c r="N126" s="1">
        <v>235</v>
      </c>
      <c r="O126" s="1">
        <f t="shared" si="27"/>
        <v>3.2</v>
      </c>
      <c r="P126" s="1">
        <v>4148</v>
      </c>
      <c r="Q126" s="1">
        <f>[1]!HeatTransferArea(I126,D126,0.36,K126)</f>
        <v>1.154535438738485</v>
      </c>
      <c r="R126" s="1">
        <f>[1]!Convection(I126,M126,1000,9*10^-4,K126,0.6,0.36,7)</f>
        <v>25517.896048113165</v>
      </c>
      <c r="S126" s="1">
        <f t="shared" si="20"/>
        <v>0.50397071569052498</v>
      </c>
      <c r="T126" s="1">
        <f t="shared" si="21"/>
        <v>2.077793051861732E-5</v>
      </c>
      <c r="U126" s="1">
        <f t="shared" si="22"/>
        <v>1.6289893617021279E-6</v>
      </c>
      <c r="V126" s="1">
        <f t="shared" si="23"/>
        <v>3.5714290000000002</v>
      </c>
      <c r="W126" s="1">
        <f t="shared" si="24"/>
        <v>206.17745258373142</v>
      </c>
      <c r="X126" s="1">
        <f t="shared" si="25"/>
        <v>3.125</v>
      </c>
      <c r="Y126" s="1">
        <f t="shared" si="26"/>
        <v>0.14046248290004767</v>
      </c>
      <c r="Z126" s="1">
        <v>64.22753908</v>
      </c>
    </row>
    <row r="127" spans="1:26" x14ac:dyDescent="0.25">
      <c r="A127" s="1">
        <f>35</f>
        <v>35</v>
      </c>
      <c r="B127" s="1">
        <v>0.4</v>
      </c>
      <c r="C127" s="1">
        <v>3.5714290000000002</v>
      </c>
      <c r="D127" s="1">
        <f t="shared" si="14"/>
        <v>0.12500001499999999</v>
      </c>
      <c r="E127" s="1">
        <v>10</v>
      </c>
      <c r="F127" s="1">
        <v>1.5</v>
      </c>
      <c r="G127" s="1">
        <v>125</v>
      </c>
      <c r="H127" s="1">
        <v>63.83472914</v>
      </c>
      <c r="I127" s="1">
        <f t="shared" si="15"/>
        <v>3.5000000000000003E-2</v>
      </c>
      <c r="J127" s="1">
        <f t="shared" si="16"/>
        <v>0.12500001499999999</v>
      </c>
      <c r="K127" s="1">
        <f t="shared" si="17"/>
        <v>4.0000000000000002E-4</v>
      </c>
      <c r="L127" s="1">
        <f t="shared" si="18"/>
        <v>0.6080553310689355</v>
      </c>
      <c r="M127" s="1">
        <f t="shared" si="19"/>
        <v>3.4722222222222224E-2</v>
      </c>
      <c r="N127" s="1">
        <v>235</v>
      </c>
      <c r="O127" s="1">
        <f t="shared" si="27"/>
        <v>3.2</v>
      </c>
      <c r="P127" s="1">
        <v>4148</v>
      </c>
      <c r="Q127" s="1">
        <f>[1]!HeatTransferArea(I127,D127,0.36,K127)</f>
        <v>1.154535438738485</v>
      </c>
      <c r="R127" s="1">
        <f>[1]!Convection(I127,M127,1000,9*10^-4,K127,0.6,0.36,7)</f>
        <v>25517.896048113165</v>
      </c>
      <c r="S127" s="1">
        <f t="shared" si="20"/>
        <v>0.33598047712701673</v>
      </c>
      <c r="T127" s="1">
        <f t="shared" si="21"/>
        <v>3.1166895777925976E-5</v>
      </c>
      <c r="U127" s="1">
        <f t="shared" si="22"/>
        <v>2.4434840425531916E-6</v>
      </c>
      <c r="V127" s="1">
        <f t="shared" si="23"/>
        <v>3.5714290000000002</v>
      </c>
      <c r="W127" s="1">
        <f t="shared" si="24"/>
        <v>137.45163505582099</v>
      </c>
      <c r="X127" s="1">
        <f t="shared" si="25"/>
        <v>3.125</v>
      </c>
      <c r="Y127" s="1">
        <f t="shared" si="26"/>
        <v>9.3068951197482985E-2</v>
      </c>
      <c r="Z127" s="1">
        <v>63.83472914</v>
      </c>
    </row>
    <row r="128" spans="1:26" x14ac:dyDescent="0.25">
      <c r="A128" s="1">
        <f>35</f>
        <v>35</v>
      </c>
      <c r="B128" s="1">
        <v>0.5</v>
      </c>
      <c r="C128" s="1">
        <v>2.1428569999999998</v>
      </c>
      <c r="D128" s="1">
        <f t="shared" si="14"/>
        <v>7.4999995E-2</v>
      </c>
      <c r="E128" s="1">
        <v>10</v>
      </c>
      <c r="F128" s="1">
        <v>0.5</v>
      </c>
      <c r="G128" s="1">
        <v>125</v>
      </c>
      <c r="H128" s="1">
        <v>58.047726419999996</v>
      </c>
      <c r="I128" s="1">
        <f t="shared" si="15"/>
        <v>3.5000000000000003E-2</v>
      </c>
      <c r="J128" s="1">
        <f t="shared" si="16"/>
        <v>7.4999995E-2</v>
      </c>
      <c r="K128" s="1">
        <f t="shared" si="17"/>
        <v>5.0000000000000001E-4</v>
      </c>
      <c r="L128" s="1">
        <f t="shared" si="18"/>
        <v>0.36483313053917238</v>
      </c>
      <c r="M128" s="1">
        <f t="shared" si="19"/>
        <v>3.4722222222222224E-2</v>
      </c>
      <c r="N128" s="1">
        <v>235</v>
      </c>
      <c r="O128" s="1">
        <f t="shared" si="27"/>
        <v>3.2</v>
      </c>
      <c r="P128" s="1">
        <v>4148</v>
      </c>
      <c r="Q128" s="1">
        <f>[1]!HeatTransferArea(I128,D128,0.36,K128)</f>
        <v>0.55417690714810997</v>
      </c>
      <c r="R128" s="1">
        <f>[1]!Convection(I128,M128,1000,9*10^-4,K128,0.6,0.36,7)</f>
        <v>20550.079694253804</v>
      </c>
      <c r="S128" s="1">
        <f t="shared" si="20"/>
        <v>1.6799026992168833</v>
      </c>
      <c r="T128" s="1">
        <f t="shared" si="21"/>
        <v>3.740026097074485E-6</v>
      </c>
      <c r="U128" s="1">
        <f t="shared" si="22"/>
        <v>8.1449468085106394E-7</v>
      </c>
      <c r="V128" s="1">
        <f t="shared" si="23"/>
        <v>2.1428569999999998</v>
      </c>
      <c r="W128" s="1">
        <f t="shared" si="24"/>
        <v>265.66222066366356</v>
      </c>
      <c r="X128" s="1">
        <f t="shared" si="25"/>
        <v>3.125</v>
      </c>
      <c r="Y128" s="1">
        <f t="shared" si="26"/>
        <v>0.42315852973348633</v>
      </c>
      <c r="Z128" s="1">
        <v>58.047726419999996</v>
      </c>
    </row>
    <row r="129" spans="1:26" x14ac:dyDescent="0.25">
      <c r="A129" s="1">
        <f>35</f>
        <v>35</v>
      </c>
      <c r="B129" s="1">
        <v>0.5</v>
      </c>
      <c r="C129" s="1">
        <v>2.1428569999999998</v>
      </c>
      <c r="D129" s="1">
        <f t="shared" si="14"/>
        <v>7.4999995E-2</v>
      </c>
      <c r="E129" s="1">
        <v>10</v>
      </c>
      <c r="F129" s="1">
        <v>1</v>
      </c>
      <c r="G129" s="1">
        <v>125</v>
      </c>
      <c r="H129" s="1">
        <v>64.776025520000005</v>
      </c>
      <c r="I129" s="1">
        <f t="shared" si="15"/>
        <v>3.5000000000000003E-2</v>
      </c>
      <c r="J129" s="1">
        <f t="shared" si="16"/>
        <v>7.4999995E-2</v>
      </c>
      <c r="K129" s="1">
        <f t="shared" si="17"/>
        <v>5.0000000000000001E-4</v>
      </c>
      <c r="L129" s="1">
        <f t="shared" si="18"/>
        <v>0.36483313053917238</v>
      </c>
      <c r="M129" s="1">
        <f t="shared" si="19"/>
        <v>3.4722222222222224E-2</v>
      </c>
      <c r="N129" s="1">
        <v>235</v>
      </c>
      <c r="O129" s="1">
        <f t="shared" si="27"/>
        <v>3.2</v>
      </c>
      <c r="P129" s="1">
        <v>4148</v>
      </c>
      <c r="Q129" s="1">
        <f>[1]!HeatTransferArea(I129,D129,0.36,K129)</f>
        <v>0.55417690714810997</v>
      </c>
      <c r="R129" s="1">
        <f>[1]!Convection(I129,M129,1000,9*10^-4,K129,0.6,0.36,7)</f>
        <v>20550.079694253804</v>
      </c>
      <c r="S129" s="1">
        <f t="shared" si="20"/>
        <v>0.83995134960844164</v>
      </c>
      <c r="T129" s="1">
        <f t="shared" si="21"/>
        <v>7.48005219414897E-6</v>
      </c>
      <c r="U129" s="1">
        <f t="shared" si="22"/>
        <v>1.6289893617021279E-6</v>
      </c>
      <c r="V129" s="1">
        <f t="shared" si="23"/>
        <v>2.1428569999999998</v>
      </c>
      <c r="W129" s="1">
        <f t="shared" si="24"/>
        <v>132.83111033183178</v>
      </c>
      <c r="X129" s="1">
        <f t="shared" si="25"/>
        <v>3.125</v>
      </c>
      <c r="Y129" s="1">
        <f t="shared" si="26"/>
        <v>0.23610337054973662</v>
      </c>
      <c r="Z129" s="1">
        <v>64.776025520000005</v>
      </c>
    </row>
    <row r="130" spans="1:26" x14ac:dyDescent="0.25">
      <c r="A130" s="1">
        <f>35</f>
        <v>35</v>
      </c>
      <c r="B130" s="1">
        <v>0.5</v>
      </c>
      <c r="C130" s="1">
        <v>2.1428569999999998</v>
      </c>
      <c r="D130" s="1">
        <f t="shared" ref="D130:D193" si="28">C130*A130/1000</f>
        <v>7.4999995E-2</v>
      </c>
      <c r="E130" s="1">
        <v>10</v>
      </c>
      <c r="F130" s="1">
        <v>1.5</v>
      </c>
      <c r="G130" s="1">
        <v>125</v>
      </c>
      <c r="H130" s="1">
        <v>65.355774909999994</v>
      </c>
      <c r="I130" s="1">
        <f t="shared" ref="I130:I193" si="29">A130/1000</f>
        <v>3.5000000000000003E-2</v>
      </c>
      <c r="J130" s="1">
        <f t="shared" ref="J130:J193" si="30">D130</f>
        <v>7.4999995E-2</v>
      </c>
      <c r="K130" s="1">
        <f t="shared" ref="K130:K193" si="31">B130/1000</f>
        <v>5.0000000000000001E-4</v>
      </c>
      <c r="L130" s="1">
        <f t="shared" ref="L130:L193" si="32">PI()*I130^2*J130/4*(1-0.36)*7900</f>
        <v>0.36483313053917238</v>
      </c>
      <c r="M130" s="1">
        <f t="shared" ref="M130:M193" si="33">G130/3600</f>
        <v>3.4722222222222224E-2</v>
      </c>
      <c r="N130" s="1">
        <v>235</v>
      </c>
      <c r="O130" s="1">
        <f t="shared" si="27"/>
        <v>3.2</v>
      </c>
      <c r="P130" s="1">
        <v>4148</v>
      </c>
      <c r="Q130" s="1">
        <f>[1]!HeatTransferArea(I130,D130,0.36,K130)</f>
        <v>0.55417690714810997</v>
      </c>
      <c r="R130" s="1">
        <f>[1]!Convection(I130,M130,1000,9*10^-4,K130,0.6,0.36,7)</f>
        <v>20550.079694253804</v>
      </c>
      <c r="S130" s="1">
        <f t="shared" ref="S130:S193" si="34">M130*P130/(2*F130*L130*N130)</f>
        <v>0.55996756640562761</v>
      </c>
      <c r="T130" s="1">
        <f t="shared" ref="T130:T193" si="35">J130^2*F130/(N130*O130)</f>
        <v>1.1220078291223454E-5</v>
      </c>
      <c r="U130" s="1">
        <f t="shared" ref="U130:U193" si="36">I130^2*F130/(N130*O130)</f>
        <v>2.4434840425531916E-6</v>
      </c>
      <c r="V130" s="1">
        <f t="shared" ref="V130:V193" si="37">C130</f>
        <v>2.1428569999999998</v>
      </c>
      <c r="W130" s="1">
        <f t="shared" ref="W130:W193" si="38">R130*Q130/(F130*L130*N130)</f>
        <v>88.554073554554492</v>
      </c>
      <c r="X130" s="1">
        <f t="shared" ref="X130:X193" si="39">E130/O130</f>
        <v>3.125</v>
      </c>
      <c r="Y130" s="1">
        <f t="shared" ref="Y130:Y193" si="40">H130/(L130*F130*N130*O130)</f>
        <v>0.158811006770569</v>
      </c>
      <c r="Z130" s="1">
        <v>65.355774909999994</v>
      </c>
    </row>
    <row r="131" spans="1:26" x14ac:dyDescent="0.25">
      <c r="A131" s="1">
        <f>35</f>
        <v>35</v>
      </c>
      <c r="B131" s="1">
        <v>0.5</v>
      </c>
      <c r="C131" s="1">
        <v>2.8571430000000002</v>
      </c>
      <c r="D131" s="1">
        <f t="shared" si="28"/>
        <v>0.100000005</v>
      </c>
      <c r="E131" s="1">
        <v>10</v>
      </c>
      <c r="F131" s="1">
        <v>0.5</v>
      </c>
      <c r="G131" s="1">
        <v>125</v>
      </c>
      <c r="H131" s="1">
        <v>62.673137070000003</v>
      </c>
      <c r="I131" s="1">
        <f t="shared" si="29"/>
        <v>3.5000000000000003E-2</v>
      </c>
      <c r="J131" s="1">
        <f t="shared" si="30"/>
        <v>0.100000005</v>
      </c>
      <c r="K131" s="1">
        <f t="shared" si="31"/>
        <v>5.0000000000000001E-4</v>
      </c>
      <c r="L131" s="1">
        <f t="shared" si="32"/>
        <v>0.48644423080405397</v>
      </c>
      <c r="M131" s="1">
        <f t="shared" si="33"/>
        <v>3.4722222222222224E-2</v>
      </c>
      <c r="N131" s="1">
        <v>235</v>
      </c>
      <c r="O131" s="1">
        <f t="shared" ref="O131:O194" si="41">3.2</f>
        <v>3.2</v>
      </c>
      <c r="P131" s="1">
        <v>4148</v>
      </c>
      <c r="Q131" s="1">
        <f>[1]!HeatTransferArea(I131,D131,0.36,K131)</f>
        <v>0.73890262906944904</v>
      </c>
      <c r="R131" s="1">
        <f>[1]!Convection(I131,M131,1000,9*10^-4,K131,0.6,0.36,7)</f>
        <v>20550.079694253804</v>
      </c>
      <c r="S131" s="1">
        <f t="shared" si="34"/>
        <v>1.2599268774211834</v>
      </c>
      <c r="T131" s="1">
        <f t="shared" si="35"/>
        <v>6.6489368351063999E-6</v>
      </c>
      <c r="U131" s="1">
        <f t="shared" si="36"/>
        <v>8.1449468085106394E-7</v>
      </c>
      <c r="V131" s="1">
        <f t="shared" si="37"/>
        <v>2.8571430000000002</v>
      </c>
      <c r="W131" s="1">
        <f t="shared" si="38"/>
        <v>265.6622206636635</v>
      </c>
      <c r="X131" s="1">
        <f t="shared" si="39"/>
        <v>3.125</v>
      </c>
      <c r="Y131" s="1">
        <f t="shared" si="40"/>
        <v>0.34265772853478987</v>
      </c>
      <c r="Z131" s="1">
        <v>62.673137070000003</v>
      </c>
    </row>
    <row r="132" spans="1:26" x14ac:dyDescent="0.25">
      <c r="A132" s="1">
        <f>35</f>
        <v>35</v>
      </c>
      <c r="B132" s="1">
        <v>0.5</v>
      </c>
      <c r="C132" s="1">
        <v>2.8571430000000002</v>
      </c>
      <c r="D132" s="1">
        <f t="shared" si="28"/>
        <v>0.100000005</v>
      </c>
      <c r="E132" s="1">
        <v>10</v>
      </c>
      <c r="F132" s="1">
        <v>1</v>
      </c>
      <c r="G132" s="1">
        <v>125</v>
      </c>
      <c r="H132" s="1">
        <v>64.964804849999993</v>
      </c>
      <c r="I132" s="1">
        <f t="shared" si="29"/>
        <v>3.5000000000000003E-2</v>
      </c>
      <c r="J132" s="1">
        <f t="shared" si="30"/>
        <v>0.100000005</v>
      </c>
      <c r="K132" s="1">
        <f t="shared" si="31"/>
        <v>5.0000000000000001E-4</v>
      </c>
      <c r="L132" s="1">
        <f t="shared" si="32"/>
        <v>0.48644423080405397</v>
      </c>
      <c r="M132" s="1">
        <f t="shared" si="33"/>
        <v>3.4722222222222224E-2</v>
      </c>
      <c r="N132" s="1">
        <v>235</v>
      </c>
      <c r="O132" s="1">
        <f t="shared" si="41"/>
        <v>3.2</v>
      </c>
      <c r="P132" s="1">
        <v>4148</v>
      </c>
      <c r="Q132" s="1">
        <f>[1]!HeatTransferArea(I132,D132,0.36,K132)</f>
        <v>0.73890262906944904</v>
      </c>
      <c r="R132" s="1">
        <f>[1]!Convection(I132,M132,1000,9*10^-4,K132,0.6,0.36,7)</f>
        <v>20550.079694253804</v>
      </c>
      <c r="S132" s="1">
        <f t="shared" si="34"/>
        <v>0.62996343871059168</v>
      </c>
      <c r="T132" s="1">
        <f t="shared" si="35"/>
        <v>1.32978736702128E-5</v>
      </c>
      <c r="U132" s="1">
        <f t="shared" si="36"/>
        <v>1.6289893617021279E-6</v>
      </c>
      <c r="V132" s="1">
        <f t="shared" si="37"/>
        <v>2.8571430000000002</v>
      </c>
      <c r="W132" s="1">
        <f t="shared" si="38"/>
        <v>132.83111033183175</v>
      </c>
      <c r="X132" s="1">
        <f t="shared" si="39"/>
        <v>3.125</v>
      </c>
      <c r="Y132" s="1">
        <f t="shared" si="40"/>
        <v>0.17759357122768402</v>
      </c>
      <c r="Z132" s="1">
        <v>64.964804849999993</v>
      </c>
    </row>
    <row r="133" spans="1:26" x14ac:dyDescent="0.25">
      <c r="A133" s="1">
        <f>35</f>
        <v>35</v>
      </c>
      <c r="B133" s="1">
        <v>0.5</v>
      </c>
      <c r="C133" s="1">
        <v>2.8571430000000002</v>
      </c>
      <c r="D133" s="1">
        <f t="shared" si="28"/>
        <v>0.100000005</v>
      </c>
      <c r="E133" s="1">
        <v>10</v>
      </c>
      <c r="F133" s="1">
        <v>1.5</v>
      </c>
      <c r="G133" s="1">
        <v>125</v>
      </c>
      <c r="H133" s="1">
        <v>64.896154620000004</v>
      </c>
      <c r="I133" s="1">
        <f t="shared" si="29"/>
        <v>3.5000000000000003E-2</v>
      </c>
      <c r="J133" s="1">
        <f t="shared" si="30"/>
        <v>0.100000005</v>
      </c>
      <c r="K133" s="1">
        <f t="shared" si="31"/>
        <v>5.0000000000000001E-4</v>
      </c>
      <c r="L133" s="1">
        <f t="shared" si="32"/>
        <v>0.48644423080405397</v>
      </c>
      <c r="M133" s="1">
        <f t="shared" si="33"/>
        <v>3.4722222222222224E-2</v>
      </c>
      <c r="N133" s="1">
        <v>235</v>
      </c>
      <c r="O133" s="1">
        <f t="shared" si="41"/>
        <v>3.2</v>
      </c>
      <c r="P133" s="1">
        <v>4148</v>
      </c>
      <c r="Q133" s="1">
        <f>[1]!HeatTransferArea(I133,D133,0.36,K133)</f>
        <v>0.73890262906944904</v>
      </c>
      <c r="R133" s="1">
        <f>[1]!Convection(I133,M133,1000,9*10^-4,K133,0.6,0.36,7)</f>
        <v>20550.079694253804</v>
      </c>
      <c r="S133" s="1">
        <f t="shared" si="34"/>
        <v>0.4199756258070611</v>
      </c>
      <c r="T133" s="1">
        <f t="shared" si="35"/>
        <v>1.99468105053192E-5</v>
      </c>
      <c r="U133" s="1">
        <f t="shared" si="36"/>
        <v>2.4434840425531916E-6</v>
      </c>
      <c r="V133" s="1">
        <f t="shared" si="37"/>
        <v>2.8571430000000002</v>
      </c>
      <c r="W133" s="1">
        <f t="shared" si="38"/>
        <v>88.554073554554492</v>
      </c>
      <c r="X133" s="1">
        <f t="shared" si="39"/>
        <v>3.125</v>
      </c>
      <c r="Y133" s="1">
        <f t="shared" si="40"/>
        <v>0.11827060190022021</v>
      </c>
      <c r="Z133" s="1">
        <v>64.896154620000004</v>
      </c>
    </row>
    <row r="134" spans="1:26" x14ac:dyDescent="0.25">
      <c r="A134" s="1">
        <f>35</f>
        <v>35</v>
      </c>
      <c r="B134" s="1">
        <v>0.5</v>
      </c>
      <c r="C134" s="1">
        <v>3.5714290000000002</v>
      </c>
      <c r="D134" s="1">
        <f t="shared" si="28"/>
        <v>0.12500001499999999</v>
      </c>
      <c r="E134" s="1">
        <v>10</v>
      </c>
      <c r="F134" s="1">
        <v>0.5</v>
      </c>
      <c r="G134" s="1">
        <v>125</v>
      </c>
      <c r="H134" s="1">
        <v>63.875425659999998</v>
      </c>
      <c r="I134" s="1">
        <f t="shared" si="29"/>
        <v>3.5000000000000003E-2</v>
      </c>
      <c r="J134" s="1">
        <f t="shared" si="30"/>
        <v>0.12500001499999999</v>
      </c>
      <c r="K134" s="1">
        <f t="shared" si="31"/>
        <v>5.0000000000000001E-4</v>
      </c>
      <c r="L134" s="1">
        <f t="shared" si="32"/>
        <v>0.6080553310689355</v>
      </c>
      <c r="M134" s="1">
        <f t="shared" si="33"/>
        <v>3.4722222222222224E-2</v>
      </c>
      <c r="N134" s="1">
        <v>235</v>
      </c>
      <c r="O134" s="1">
        <f t="shared" si="41"/>
        <v>3.2</v>
      </c>
      <c r="P134" s="1">
        <v>4148</v>
      </c>
      <c r="Q134" s="1">
        <f>[1]!HeatTransferArea(I134,D134,0.36,K134)</f>
        <v>0.92362835099078811</v>
      </c>
      <c r="R134" s="1">
        <f>[1]!Convection(I134,M134,1000,9*10^-4,K134,0.6,0.36,7)</f>
        <v>20550.079694253804</v>
      </c>
      <c r="S134" s="1">
        <f t="shared" si="34"/>
        <v>1.00794143138105</v>
      </c>
      <c r="T134" s="1">
        <f t="shared" si="35"/>
        <v>1.038896525930866E-5</v>
      </c>
      <c r="U134" s="1">
        <f t="shared" si="36"/>
        <v>8.1449468085106394E-7</v>
      </c>
      <c r="V134" s="1">
        <f t="shared" si="37"/>
        <v>3.5714290000000002</v>
      </c>
      <c r="W134" s="1">
        <f t="shared" si="38"/>
        <v>265.66222066366345</v>
      </c>
      <c r="X134" s="1">
        <f t="shared" si="39"/>
        <v>3.125</v>
      </c>
      <c r="Y134" s="1">
        <f t="shared" si="40"/>
        <v>0.27938485618530773</v>
      </c>
      <c r="Z134" s="1">
        <v>63.875425659999998</v>
      </c>
    </row>
    <row r="135" spans="1:26" x14ac:dyDescent="0.25">
      <c r="A135" s="1">
        <f>35</f>
        <v>35</v>
      </c>
      <c r="B135" s="1">
        <v>0.5</v>
      </c>
      <c r="C135" s="1">
        <v>3.5714290000000002</v>
      </c>
      <c r="D135" s="1">
        <f t="shared" si="28"/>
        <v>0.12500001499999999</v>
      </c>
      <c r="E135" s="1">
        <v>10</v>
      </c>
      <c r="F135" s="1">
        <v>1</v>
      </c>
      <c r="G135" s="1">
        <v>125</v>
      </c>
      <c r="H135" s="1">
        <v>64.568357779999999</v>
      </c>
      <c r="I135" s="1">
        <f t="shared" si="29"/>
        <v>3.5000000000000003E-2</v>
      </c>
      <c r="J135" s="1">
        <f t="shared" si="30"/>
        <v>0.12500001499999999</v>
      </c>
      <c r="K135" s="1">
        <f t="shared" si="31"/>
        <v>5.0000000000000001E-4</v>
      </c>
      <c r="L135" s="1">
        <f t="shared" si="32"/>
        <v>0.6080553310689355</v>
      </c>
      <c r="M135" s="1">
        <f t="shared" si="33"/>
        <v>3.4722222222222224E-2</v>
      </c>
      <c r="N135" s="1">
        <v>235</v>
      </c>
      <c r="O135" s="1">
        <f t="shared" si="41"/>
        <v>3.2</v>
      </c>
      <c r="P135" s="1">
        <v>4148</v>
      </c>
      <c r="Q135" s="1">
        <f>[1]!HeatTransferArea(I135,D135,0.36,K135)</f>
        <v>0.92362835099078811</v>
      </c>
      <c r="R135" s="1">
        <f>[1]!Convection(I135,M135,1000,9*10^-4,K135,0.6,0.36,7)</f>
        <v>20550.079694253804</v>
      </c>
      <c r="S135" s="1">
        <f t="shared" si="34"/>
        <v>0.50397071569052498</v>
      </c>
      <c r="T135" s="1">
        <f t="shared" si="35"/>
        <v>2.077793051861732E-5</v>
      </c>
      <c r="U135" s="1">
        <f t="shared" si="36"/>
        <v>1.6289893617021279E-6</v>
      </c>
      <c r="V135" s="1">
        <f t="shared" si="37"/>
        <v>3.5714290000000002</v>
      </c>
      <c r="W135" s="1">
        <f t="shared" si="38"/>
        <v>132.83111033183172</v>
      </c>
      <c r="X135" s="1">
        <f t="shared" si="39"/>
        <v>3.125</v>
      </c>
      <c r="Y135" s="1">
        <f t="shared" si="40"/>
        <v>0.1412078367078767</v>
      </c>
      <c r="Z135" s="1">
        <v>64.568357779999999</v>
      </c>
    </row>
    <row r="136" spans="1:26" x14ac:dyDescent="0.25">
      <c r="A136" s="1">
        <f>35</f>
        <v>35</v>
      </c>
      <c r="B136" s="1">
        <v>0.5</v>
      </c>
      <c r="C136" s="1">
        <v>3.5714290000000002</v>
      </c>
      <c r="D136" s="1">
        <f t="shared" si="28"/>
        <v>0.12500001499999999</v>
      </c>
      <c r="E136" s="1">
        <v>10</v>
      </c>
      <c r="F136" s="1">
        <v>1.5</v>
      </c>
      <c r="G136" s="1">
        <v>125</v>
      </c>
      <c r="H136" s="1">
        <v>64.212026100000003</v>
      </c>
      <c r="I136" s="1">
        <f t="shared" si="29"/>
        <v>3.5000000000000003E-2</v>
      </c>
      <c r="J136" s="1">
        <f t="shared" si="30"/>
        <v>0.12500001499999999</v>
      </c>
      <c r="K136" s="1">
        <f t="shared" si="31"/>
        <v>5.0000000000000001E-4</v>
      </c>
      <c r="L136" s="1">
        <f t="shared" si="32"/>
        <v>0.6080553310689355</v>
      </c>
      <c r="M136" s="1">
        <f t="shared" si="33"/>
        <v>3.4722222222222224E-2</v>
      </c>
      <c r="N136" s="1">
        <v>235</v>
      </c>
      <c r="O136" s="1">
        <f t="shared" si="41"/>
        <v>3.2</v>
      </c>
      <c r="P136" s="1">
        <v>4148</v>
      </c>
      <c r="Q136" s="1">
        <f>[1]!HeatTransferArea(I136,D136,0.36,K136)</f>
        <v>0.92362835099078811</v>
      </c>
      <c r="R136" s="1">
        <f>[1]!Convection(I136,M136,1000,9*10^-4,K136,0.6,0.36,7)</f>
        <v>20550.079694253804</v>
      </c>
      <c r="S136" s="1">
        <f t="shared" si="34"/>
        <v>0.33598047712701673</v>
      </c>
      <c r="T136" s="1">
        <f t="shared" si="35"/>
        <v>3.1166895777925976E-5</v>
      </c>
      <c r="U136" s="1">
        <f t="shared" si="36"/>
        <v>2.4434840425531916E-6</v>
      </c>
      <c r="V136" s="1">
        <f t="shared" si="37"/>
        <v>3.5714290000000002</v>
      </c>
      <c r="W136" s="1">
        <f t="shared" si="38"/>
        <v>88.554073554554506</v>
      </c>
      <c r="X136" s="1">
        <f t="shared" si="39"/>
        <v>3.125</v>
      </c>
      <c r="Y136" s="1">
        <f t="shared" si="40"/>
        <v>9.3619037848280656E-2</v>
      </c>
      <c r="Z136" s="1">
        <v>64.212026100000003</v>
      </c>
    </row>
    <row r="137" spans="1:26" s="2" customFormat="1" x14ac:dyDescent="0.25">
      <c r="A137" s="1">
        <f>25</f>
        <v>25</v>
      </c>
      <c r="B137" s="1">
        <v>0.3</v>
      </c>
      <c r="C137" s="1">
        <v>3</v>
      </c>
      <c r="D137" s="1">
        <f t="shared" si="28"/>
        <v>7.4999999999999997E-2</v>
      </c>
      <c r="E137" s="1">
        <v>10</v>
      </c>
      <c r="F137" s="1">
        <v>0.5</v>
      </c>
      <c r="G137" s="1">
        <v>100</v>
      </c>
      <c r="H137" s="1">
        <v>12.21349946</v>
      </c>
      <c r="I137" s="1">
        <f t="shared" si="29"/>
        <v>2.5000000000000001E-2</v>
      </c>
      <c r="J137" s="1">
        <f t="shared" si="30"/>
        <v>7.4999999999999997E-2</v>
      </c>
      <c r="K137" s="1">
        <f t="shared" si="31"/>
        <v>2.9999999999999997E-4</v>
      </c>
      <c r="L137" s="1">
        <f t="shared" si="32"/>
        <v>0.18613936472519524</v>
      </c>
      <c r="M137" s="1">
        <f t="shared" si="33"/>
        <v>2.7777777777777776E-2</v>
      </c>
      <c r="N137" s="1">
        <v>235</v>
      </c>
      <c r="O137" s="1">
        <f t="shared" si="41"/>
        <v>3.2</v>
      </c>
      <c r="P137" s="1">
        <v>4148</v>
      </c>
      <c r="Q137" s="1">
        <f>[1]!HeatTransferArea(I137,D137,0.36,K137)</f>
        <v>0.47123889803846908</v>
      </c>
      <c r="R137" s="1">
        <f>[1]!Convection(I137,M137,1000,9*10^-4,K137,0.6,0.36,7)</f>
        <v>34185.213621900613</v>
      </c>
      <c r="S137" s="1">
        <f t="shared" si="34"/>
        <v>2.6340872567662443</v>
      </c>
      <c r="T137" s="1">
        <f t="shared" si="35"/>
        <v>3.7400265957446807E-6</v>
      </c>
      <c r="U137" s="1">
        <f t="shared" si="36"/>
        <v>4.1555851063829797E-7</v>
      </c>
      <c r="V137" s="1">
        <f t="shared" si="37"/>
        <v>3</v>
      </c>
      <c r="W137" s="1">
        <f t="shared" si="38"/>
        <v>736.55186904175866</v>
      </c>
      <c r="X137" s="1">
        <f t="shared" si="39"/>
        <v>3.125</v>
      </c>
      <c r="Y137" s="1">
        <f t="shared" si="40"/>
        <v>0.17450747926287768</v>
      </c>
      <c r="Z137" s="1">
        <v>12.21349946</v>
      </c>
    </row>
    <row r="138" spans="1:26" x14ac:dyDescent="0.25">
      <c r="A138" s="1">
        <f>25</f>
        <v>25</v>
      </c>
      <c r="B138" s="1">
        <v>0.3</v>
      </c>
      <c r="C138" s="1">
        <v>3</v>
      </c>
      <c r="D138" s="1">
        <f t="shared" si="28"/>
        <v>7.4999999999999997E-2</v>
      </c>
      <c r="E138" s="1">
        <v>10</v>
      </c>
      <c r="F138" s="1">
        <v>1</v>
      </c>
      <c r="G138" s="1">
        <v>100</v>
      </c>
      <c r="H138" s="1">
        <v>48.980884140000001</v>
      </c>
      <c r="I138" s="1">
        <f t="shared" si="29"/>
        <v>2.5000000000000001E-2</v>
      </c>
      <c r="J138" s="1">
        <f t="shared" si="30"/>
        <v>7.4999999999999997E-2</v>
      </c>
      <c r="K138" s="1">
        <f t="shared" si="31"/>
        <v>2.9999999999999997E-4</v>
      </c>
      <c r="L138" s="1">
        <f t="shared" si="32"/>
        <v>0.18613936472519524</v>
      </c>
      <c r="M138" s="1">
        <f t="shared" si="33"/>
        <v>2.7777777777777776E-2</v>
      </c>
      <c r="N138" s="1">
        <v>235</v>
      </c>
      <c r="O138" s="1">
        <f t="shared" si="41"/>
        <v>3.2</v>
      </c>
      <c r="P138" s="1">
        <v>4148</v>
      </c>
      <c r="Q138" s="1">
        <f>[1]!HeatTransferArea(I138,D138,0.36,K138)</f>
        <v>0.47123889803846908</v>
      </c>
      <c r="R138" s="1">
        <f>[1]!Convection(I138,M138,1000,9*10^-4,K138,0.6,0.36,7)</f>
        <v>34185.213621900613</v>
      </c>
      <c r="S138" s="1">
        <f t="shared" si="34"/>
        <v>1.3170436283831222</v>
      </c>
      <c r="T138" s="1">
        <f t="shared" si="35"/>
        <v>7.4800531914893613E-6</v>
      </c>
      <c r="U138" s="1">
        <f t="shared" si="36"/>
        <v>8.3111702127659595E-7</v>
      </c>
      <c r="V138" s="1">
        <f t="shared" si="37"/>
        <v>3</v>
      </c>
      <c r="W138" s="1">
        <f t="shared" si="38"/>
        <v>368.27593452087933</v>
      </c>
      <c r="X138" s="1">
        <f t="shared" si="39"/>
        <v>3.125</v>
      </c>
      <c r="Y138" s="1">
        <f t="shared" si="40"/>
        <v>0.34992143944215909</v>
      </c>
      <c r="Z138" s="1">
        <v>48.980884140000001</v>
      </c>
    </row>
    <row r="139" spans="1:26" x14ac:dyDescent="0.25">
      <c r="A139" s="1">
        <f>25</f>
        <v>25</v>
      </c>
      <c r="B139" s="1">
        <v>0.3</v>
      </c>
      <c r="C139" s="1">
        <v>3</v>
      </c>
      <c r="D139" s="1">
        <f t="shared" si="28"/>
        <v>7.4999999999999997E-2</v>
      </c>
      <c r="E139" s="1">
        <v>10</v>
      </c>
      <c r="F139" s="1">
        <v>1.5</v>
      </c>
      <c r="G139" s="1">
        <v>100</v>
      </c>
      <c r="H139" s="1">
        <v>50.551791020000003</v>
      </c>
      <c r="I139" s="1">
        <f t="shared" si="29"/>
        <v>2.5000000000000001E-2</v>
      </c>
      <c r="J139" s="1">
        <f t="shared" si="30"/>
        <v>7.4999999999999997E-2</v>
      </c>
      <c r="K139" s="1">
        <f t="shared" si="31"/>
        <v>2.9999999999999997E-4</v>
      </c>
      <c r="L139" s="1">
        <f t="shared" si="32"/>
        <v>0.18613936472519524</v>
      </c>
      <c r="M139" s="1">
        <f t="shared" si="33"/>
        <v>2.7777777777777776E-2</v>
      </c>
      <c r="N139" s="1">
        <v>235</v>
      </c>
      <c r="O139" s="1">
        <f t="shared" si="41"/>
        <v>3.2</v>
      </c>
      <c r="P139" s="1">
        <v>4148</v>
      </c>
      <c r="Q139" s="1">
        <f>[1]!HeatTransferArea(I139,D139,0.36,K139)</f>
        <v>0.47123889803846908</v>
      </c>
      <c r="R139" s="1">
        <f>[1]!Convection(I139,M139,1000,9*10^-4,K139,0.6,0.36,7)</f>
        <v>34185.213621900613</v>
      </c>
      <c r="S139" s="1">
        <f t="shared" si="34"/>
        <v>0.87802908558874804</v>
      </c>
      <c r="T139" s="1">
        <f t="shared" si="35"/>
        <v>1.1220079787234043E-5</v>
      </c>
      <c r="U139" s="1">
        <f t="shared" si="36"/>
        <v>1.2466755319148938E-6</v>
      </c>
      <c r="V139" s="1">
        <f t="shared" si="37"/>
        <v>3</v>
      </c>
      <c r="W139" s="1">
        <f t="shared" si="38"/>
        <v>245.5172896805862</v>
      </c>
      <c r="X139" s="1">
        <f t="shared" si="39"/>
        <v>3.125</v>
      </c>
      <c r="Y139" s="1">
        <f t="shared" si="40"/>
        <v>0.24076270829163257</v>
      </c>
      <c r="Z139" s="1">
        <v>50.551791020000003</v>
      </c>
    </row>
    <row r="140" spans="1:26" x14ac:dyDescent="0.25">
      <c r="A140" s="1">
        <f>25</f>
        <v>25</v>
      </c>
      <c r="B140" s="1">
        <v>0.3</v>
      </c>
      <c r="C140" s="1">
        <v>4</v>
      </c>
      <c r="D140" s="1">
        <f t="shared" si="28"/>
        <v>0.1</v>
      </c>
      <c r="E140" s="1">
        <v>10</v>
      </c>
      <c r="F140" s="1">
        <v>0.5</v>
      </c>
      <c r="G140" s="1">
        <v>100</v>
      </c>
      <c r="H140" s="1">
        <v>42.028898699999999</v>
      </c>
      <c r="I140" s="1">
        <f t="shared" si="29"/>
        <v>2.5000000000000001E-2</v>
      </c>
      <c r="J140" s="1">
        <f t="shared" si="30"/>
        <v>0.1</v>
      </c>
      <c r="K140" s="1">
        <f t="shared" si="31"/>
        <v>2.9999999999999997E-4</v>
      </c>
      <c r="L140" s="1">
        <f t="shared" si="32"/>
        <v>0.24818581963359368</v>
      </c>
      <c r="M140" s="1">
        <f t="shared" si="33"/>
        <v>2.7777777777777776E-2</v>
      </c>
      <c r="N140" s="1">
        <v>235</v>
      </c>
      <c r="O140" s="1">
        <f t="shared" si="41"/>
        <v>3.2</v>
      </c>
      <c r="P140" s="1">
        <v>4148</v>
      </c>
      <c r="Q140" s="1">
        <f>[1]!HeatTransferArea(I140,D140,0.36,K140)</f>
        <v>0.62831853071795885</v>
      </c>
      <c r="R140" s="1">
        <f>[1]!Convection(I140,M140,1000,9*10^-4,K140,0.6,0.36,7)</f>
        <v>34185.213621900613</v>
      </c>
      <c r="S140" s="1">
        <f t="shared" si="34"/>
        <v>1.9755654425746829</v>
      </c>
      <c r="T140" s="1">
        <f t="shared" si="35"/>
        <v>6.6489361702127676E-6</v>
      </c>
      <c r="U140" s="1">
        <f t="shared" si="36"/>
        <v>4.1555851063829797E-7</v>
      </c>
      <c r="V140" s="1">
        <f t="shared" si="37"/>
        <v>4</v>
      </c>
      <c r="W140" s="1">
        <f t="shared" si="38"/>
        <v>736.55186904175866</v>
      </c>
      <c r="X140" s="1">
        <f t="shared" si="39"/>
        <v>3.125</v>
      </c>
      <c r="Y140" s="1">
        <f t="shared" si="40"/>
        <v>0.45038425672054494</v>
      </c>
      <c r="Z140" s="1">
        <v>42.028898699999999</v>
      </c>
    </row>
    <row r="141" spans="1:26" x14ac:dyDescent="0.25">
      <c r="A141" s="1">
        <f>25</f>
        <v>25</v>
      </c>
      <c r="B141" s="1">
        <v>0.3</v>
      </c>
      <c r="C141" s="1">
        <v>4</v>
      </c>
      <c r="D141" s="1">
        <f t="shared" si="28"/>
        <v>0.1</v>
      </c>
      <c r="E141" s="1">
        <v>10</v>
      </c>
      <c r="F141" s="1">
        <v>1</v>
      </c>
      <c r="G141" s="1">
        <v>100</v>
      </c>
      <c r="H141" s="1">
        <v>49.445233780000002</v>
      </c>
      <c r="I141" s="1">
        <f t="shared" si="29"/>
        <v>2.5000000000000001E-2</v>
      </c>
      <c r="J141" s="1">
        <f t="shared" si="30"/>
        <v>0.1</v>
      </c>
      <c r="K141" s="1">
        <f t="shared" si="31"/>
        <v>2.9999999999999997E-4</v>
      </c>
      <c r="L141" s="1">
        <f t="shared" si="32"/>
        <v>0.24818581963359368</v>
      </c>
      <c r="M141" s="1">
        <f t="shared" si="33"/>
        <v>2.7777777777777776E-2</v>
      </c>
      <c r="N141" s="1">
        <v>235</v>
      </c>
      <c r="O141" s="1">
        <f t="shared" si="41"/>
        <v>3.2</v>
      </c>
      <c r="P141" s="1">
        <v>4148</v>
      </c>
      <c r="Q141" s="1">
        <f>[1]!HeatTransferArea(I141,D141,0.36,K141)</f>
        <v>0.62831853071795885</v>
      </c>
      <c r="R141" s="1">
        <f>[1]!Convection(I141,M141,1000,9*10^-4,K141,0.6,0.36,7)</f>
        <v>34185.213621900613</v>
      </c>
      <c r="S141" s="1">
        <f t="shared" si="34"/>
        <v>0.98778272128734146</v>
      </c>
      <c r="T141" s="1">
        <f t="shared" si="35"/>
        <v>1.3297872340425535E-5</v>
      </c>
      <c r="U141" s="1">
        <f t="shared" si="36"/>
        <v>8.3111702127659595E-7</v>
      </c>
      <c r="V141" s="1">
        <f t="shared" si="37"/>
        <v>4</v>
      </c>
      <c r="W141" s="1">
        <f t="shared" si="38"/>
        <v>368.27593452087933</v>
      </c>
      <c r="X141" s="1">
        <f t="shared" si="39"/>
        <v>3.125</v>
      </c>
      <c r="Y141" s="1">
        <f t="shared" si="40"/>
        <v>0.2649290791954404</v>
      </c>
      <c r="Z141" s="1">
        <v>49.445233780000002</v>
      </c>
    </row>
    <row r="142" spans="1:26" x14ac:dyDescent="0.25">
      <c r="A142" s="1">
        <f>25</f>
        <v>25</v>
      </c>
      <c r="B142" s="1">
        <v>0.3</v>
      </c>
      <c r="C142" s="1">
        <v>4</v>
      </c>
      <c r="D142" s="1">
        <f t="shared" si="28"/>
        <v>0.1</v>
      </c>
      <c r="E142" s="1">
        <v>10</v>
      </c>
      <c r="F142" s="1">
        <v>1.5</v>
      </c>
      <c r="G142" s="1">
        <v>100</v>
      </c>
      <c r="H142" s="1">
        <v>49.785726160000003</v>
      </c>
      <c r="I142" s="1">
        <f t="shared" si="29"/>
        <v>2.5000000000000001E-2</v>
      </c>
      <c r="J142" s="1">
        <f t="shared" si="30"/>
        <v>0.1</v>
      </c>
      <c r="K142" s="1">
        <f t="shared" si="31"/>
        <v>2.9999999999999997E-4</v>
      </c>
      <c r="L142" s="1">
        <f t="shared" si="32"/>
        <v>0.24818581963359368</v>
      </c>
      <c r="M142" s="1">
        <f t="shared" si="33"/>
        <v>2.7777777777777776E-2</v>
      </c>
      <c r="N142" s="1">
        <v>235</v>
      </c>
      <c r="O142" s="1">
        <f t="shared" si="41"/>
        <v>3.2</v>
      </c>
      <c r="P142" s="1">
        <v>4148</v>
      </c>
      <c r="Q142" s="1">
        <f>[1]!HeatTransferArea(I142,D142,0.36,K142)</f>
        <v>0.62831853071795885</v>
      </c>
      <c r="R142" s="1">
        <f>[1]!Convection(I142,M142,1000,9*10^-4,K142,0.6,0.36,7)</f>
        <v>34185.213621900613</v>
      </c>
      <c r="S142" s="1">
        <f t="shared" si="34"/>
        <v>0.65852181419156097</v>
      </c>
      <c r="T142" s="1">
        <f t="shared" si="35"/>
        <v>1.99468085106383E-5</v>
      </c>
      <c r="U142" s="1">
        <f t="shared" si="36"/>
        <v>1.2466755319148938E-6</v>
      </c>
      <c r="V142" s="1">
        <f t="shared" si="37"/>
        <v>4</v>
      </c>
      <c r="W142" s="1">
        <f t="shared" si="38"/>
        <v>245.5172896805862</v>
      </c>
      <c r="X142" s="1">
        <f t="shared" si="39"/>
        <v>3.125</v>
      </c>
      <c r="Y142" s="1">
        <f t="shared" si="40"/>
        <v>0.17783563187412435</v>
      </c>
      <c r="Z142" s="1">
        <v>49.785726160000003</v>
      </c>
    </row>
    <row r="143" spans="1:26" x14ac:dyDescent="0.25">
      <c r="A143" s="1">
        <f>25</f>
        <v>25</v>
      </c>
      <c r="B143" s="1">
        <v>0.3</v>
      </c>
      <c r="C143" s="1">
        <v>5</v>
      </c>
      <c r="D143" s="1">
        <f t="shared" si="28"/>
        <v>0.125</v>
      </c>
      <c r="E143" s="1">
        <v>10</v>
      </c>
      <c r="F143" s="1">
        <v>0.5</v>
      </c>
      <c r="G143" s="1">
        <v>100</v>
      </c>
      <c r="H143" s="1">
        <v>46.034613630000003</v>
      </c>
      <c r="I143" s="1">
        <f t="shared" si="29"/>
        <v>2.5000000000000001E-2</v>
      </c>
      <c r="J143" s="1">
        <f t="shared" si="30"/>
        <v>0.125</v>
      </c>
      <c r="K143" s="1">
        <f t="shared" si="31"/>
        <v>2.9999999999999997E-4</v>
      </c>
      <c r="L143" s="1">
        <f t="shared" si="32"/>
        <v>0.31023227454199215</v>
      </c>
      <c r="M143" s="1">
        <f t="shared" si="33"/>
        <v>2.7777777777777776E-2</v>
      </c>
      <c r="N143" s="1">
        <v>235</v>
      </c>
      <c r="O143" s="1">
        <f t="shared" si="41"/>
        <v>3.2</v>
      </c>
      <c r="P143" s="1">
        <v>4148</v>
      </c>
      <c r="Q143" s="1">
        <f>[1]!HeatTransferArea(I143,D143,0.36,K143)</f>
        <v>0.7853981633974485</v>
      </c>
      <c r="R143" s="1">
        <f>[1]!Convection(I143,M143,1000,9*10^-4,K143,0.6,0.36,7)</f>
        <v>34185.213621900613</v>
      </c>
      <c r="S143" s="1">
        <f t="shared" si="34"/>
        <v>1.5804523540597462</v>
      </c>
      <c r="T143" s="1">
        <f t="shared" si="35"/>
        <v>1.0388962765957447E-5</v>
      </c>
      <c r="U143" s="1">
        <f t="shared" si="36"/>
        <v>4.1555851063829797E-7</v>
      </c>
      <c r="V143" s="1">
        <f t="shared" si="37"/>
        <v>5</v>
      </c>
      <c r="W143" s="1">
        <f t="shared" si="38"/>
        <v>736.55186904175855</v>
      </c>
      <c r="X143" s="1">
        <f t="shared" si="39"/>
        <v>3.125</v>
      </c>
      <c r="Y143" s="1">
        <f t="shared" si="40"/>
        <v>0.39464779491193314</v>
      </c>
      <c r="Z143" s="1">
        <v>46.034613630000003</v>
      </c>
    </row>
    <row r="144" spans="1:26" x14ac:dyDescent="0.25">
      <c r="A144" s="1">
        <f>25</f>
        <v>25</v>
      </c>
      <c r="B144" s="1">
        <v>0.3</v>
      </c>
      <c r="C144" s="1">
        <v>5</v>
      </c>
      <c r="D144" s="1">
        <f t="shared" si="28"/>
        <v>0.125</v>
      </c>
      <c r="E144" s="1">
        <v>10</v>
      </c>
      <c r="F144" s="1">
        <v>1</v>
      </c>
      <c r="G144" s="1">
        <v>100</v>
      </c>
      <c r="H144" s="1">
        <v>48.836247299999997</v>
      </c>
      <c r="I144" s="1">
        <f t="shared" si="29"/>
        <v>2.5000000000000001E-2</v>
      </c>
      <c r="J144" s="1">
        <f t="shared" si="30"/>
        <v>0.125</v>
      </c>
      <c r="K144" s="1">
        <f t="shared" si="31"/>
        <v>2.9999999999999997E-4</v>
      </c>
      <c r="L144" s="1">
        <f t="shared" si="32"/>
        <v>0.31023227454199215</v>
      </c>
      <c r="M144" s="1">
        <f t="shared" si="33"/>
        <v>2.7777777777777776E-2</v>
      </c>
      <c r="N144" s="1">
        <v>235</v>
      </c>
      <c r="O144" s="1">
        <f t="shared" si="41"/>
        <v>3.2</v>
      </c>
      <c r="P144" s="1">
        <v>4148</v>
      </c>
      <c r="Q144" s="1">
        <f>[1]!HeatTransferArea(I144,D144,0.36,K144)</f>
        <v>0.7853981633974485</v>
      </c>
      <c r="R144" s="1">
        <f>[1]!Convection(I144,M144,1000,9*10^-4,K144,0.6,0.36,7)</f>
        <v>34185.213621900613</v>
      </c>
      <c r="S144" s="1">
        <f t="shared" si="34"/>
        <v>0.79022617702987308</v>
      </c>
      <c r="T144" s="1">
        <f t="shared" si="35"/>
        <v>2.0777925531914893E-5</v>
      </c>
      <c r="U144" s="1">
        <f t="shared" si="36"/>
        <v>8.3111702127659595E-7</v>
      </c>
      <c r="V144" s="1">
        <f t="shared" si="37"/>
        <v>5</v>
      </c>
      <c r="W144" s="1">
        <f t="shared" si="38"/>
        <v>368.27593452087928</v>
      </c>
      <c r="X144" s="1">
        <f t="shared" si="39"/>
        <v>3.125</v>
      </c>
      <c r="Y144" s="1">
        <f t="shared" si="40"/>
        <v>0.20933288876523634</v>
      </c>
      <c r="Z144" s="1">
        <v>48.836247299999997</v>
      </c>
    </row>
    <row r="145" spans="1:26" x14ac:dyDescent="0.25">
      <c r="A145" s="1">
        <f>25</f>
        <v>25</v>
      </c>
      <c r="B145" s="1">
        <v>0.3</v>
      </c>
      <c r="C145" s="1">
        <v>5</v>
      </c>
      <c r="D145" s="1">
        <f t="shared" si="28"/>
        <v>0.125</v>
      </c>
      <c r="E145" s="1">
        <v>10</v>
      </c>
      <c r="F145" s="1">
        <v>1.5</v>
      </c>
      <c r="G145" s="1">
        <v>100</v>
      </c>
      <c r="H145" s="1">
        <v>48.734413250000003</v>
      </c>
      <c r="I145" s="1">
        <f t="shared" si="29"/>
        <v>2.5000000000000001E-2</v>
      </c>
      <c r="J145" s="1">
        <f t="shared" si="30"/>
        <v>0.125</v>
      </c>
      <c r="K145" s="1">
        <f t="shared" si="31"/>
        <v>2.9999999999999997E-4</v>
      </c>
      <c r="L145" s="1">
        <f t="shared" si="32"/>
        <v>0.31023227454199215</v>
      </c>
      <c r="M145" s="1">
        <f t="shared" si="33"/>
        <v>2.7777777777777776E-2</v>
      </c>
      <c r="N145" s="1">
        <v>235</v>
      </c>
      <c r="O145" s="1">
        <f t="shared" si="41"/>
        <v>3.2</v>
      </c>
      <c r="P145" s="1">
        <v>4148</v>
      </c>
      <c r="Q145" s="1">
        <f>[1]!HeatTransferArea(I145,D145,0.36,K145)</f>
        <v>0.7853981633974485</v>
      </c>
      <c r="R145" s="1">
        <f>[1]!Convection(I145,M145,1000,9*10^-4,K145,0.6,0.36,7)</f>
        <v>34185.213621900613</v>
      </c>
      <c r="S145" s="1">
        <f t="shared" si="34"/>
        <v>0.52681745135324864</v>
      </c>
      <c r="T145" s="1">
        <f t="shared" si="35"/>
        <v>3.1166888297872338E-5</v>
      </c>
      <c r="U145" s="1">
        <f t="shared" si="36"/>
        <v>1.2466755319148938E-6</v>
      </c>
      <c r="V145" s="1">
        <f t="shared" si="37"/>
        <v>5</v>
      </c>
      <c r="W145" s="1">
        <f t="shared" si="38"/>
        <v>245.51728968058615</v>
      </c>
      <c r="X145" s="1">
        <f t="shared" si="39"/>
        <v>3.125</v>
      </c>
      <c r="Y145" s="1">
        <f t="shared" si="40"/>
        <v>0.13926425652968236</v>
      </c>
      <c r="Z145" s="1">
        <v>48.734413250000003</v>
      </c>
    </row>
    <row r="146" spans="1:26" x14ac:dyDescent="0.25">
      <c r="A146" s="1">
        <f>25</f>
        <v>25</v>
      </c>
      <c r="B146" s="1">
        <v>0.4</v>
      </c>
      <c r="C146" s="1">
        <v>3</v>
      </c>
      <c r="D146" s="1">
        <f t="shared" si="28"/>
        <v>7.4999999999999997E-2</v>
      </c>
      <c r="E146" s="1">
        <v>10</v>
      </c>
      <c r="F146" s="1">
        <v>0.5</v>
      </c>
      <c r="G146" s="1">
        <v>100</v>
      </c>
      <c r="H146" s="1">
        <v>10.389395090000001</v>
      </c>
      <c r="I146" s="1">
        <f t="shared" si="29"/>
        <v>2.5000000000000001E-2</v>
      </c>
      <c r="J146" s="1">
        <f t="shared" si="30"/>
        <v>7.4999999999999997E-2</v>
      </c>
      <c r="K146" s="1">
        <f t="shared" si="31"/>
        <v>4.0000000000000002E-4</v>
      </c>
      <c r="L146" s="1">
        <f t="shared" si="32"/>
        <v>0.18613936472519524</v>
      </c>
      <c r="M146" s="1">
        <f t="shared" si="33"/>
        <v>2.7777777777777776E-2</v>
      </c>
      <c r="N146" s="1">
        <v>235</v>
      </c>
      <c r="O146" s="1">
        <f t="shared" si="41"/>
        <v>3.2</v>
      </c>
      <c r="P146" s="1">
        <v>4148</v>
      </c>
      <c r="Q146" s="1">
        <f>[1]!HeatTransferArea(I146,D146,0.36,K146)</f>
        <v>0.35342917352885178</v>
      </c>
      <c r="R146" s="1">
        <f>[1]!Convection(I146,M146,1000,9*10^-4,K146,0.6,0.36,7)</f>
        <v>25884.883040575744</v>
      </c>
      <c r="S146" s="1">
        <f t="shared" si="34"/>
        <v>2.6340872567662443</v>
      </c>
      <c r="T146" s="1">
        <f t="shared" si="35"/>
        <v>3.7400265957446807E-6</v>
      </c>
      <c r="U146" s="1">
        <f t="shared" si="36"/>
        <v>4.1555851063829797E-7</v>
      </c>
      <c r="V146" s="1">
        <f t="shared" si="37"/>
        <v>3</v>
      </c>
      <c r="W146" s="1">
        <f t="shared" si="38"/>
        <v>418.28520938177888</v>
      </c>
      <c r="X146" s="1">
        <f t="shared" si="39"/>
        <v>3.125</v>
      </c>
      <c r="Y146" s="1">
        <f t="shared" si="40"/>
        <v>0.14844452682540329</v>
      </c>
      <c r="Z146" s="1">
        <v>10.389395090000001</v>
      </c>
    </row>
    <row r="147" spans="1:26" x14ac:dyDescent="0.25">
      <c r="A147" s="1">
        <f>25</f>
        <v>25</v>
      </c>
      <c r="B147" s="1">
        <v>0.4</v>
      </c>
      <c r="C147" s="1">
        <v>3</v>
      </c>
      <c r="D147" s="1">
        <f t="shared" si="28"/>
        <v>7.4999999999999997E-2</v>
      </c>
      <c r="E147" s="1">
        <v>10</v>
      </c>
      <c r="F147" s="1">
        <v>1</v>
      </c>
      <c r="G147" s="1">
        <v>100</v>
      </c>
      <c r="H147" s="1">
        <v>48.62765014</v>
      </c>
      <c r="I147" s="1">
        <f t="shared" si="29"/>
        <v>2.5000000000000001E-2</v>
      </c>
      <c r="J147" s="1">
        <f t="shared" si="30"/>
        <v>7.4999999999999997E-2</v>
      </c>
      <c r="K147" s="1">
        <f t="shared" si="31"/>
        <v>4.0000000000000002E-4</v>
      </c>
      <c r="L147" s="1">
        <f t="shared" si="32"/>
        <v>0.18613936472519524</v>
      </c>
      <c r="M147" s="1">
        <f t="shared" si="33"/>
        <v>2.7777777777777776E-2</v>
      </c>
      <c r="N147" s="1">
        <v>235</v>
      </c>
      <c r="O147" s="1">
        <f t="shared" si="41"/>
        <v>3.2</v>
      </c>
      <c r="P147" s="1">
        <v>4148</v>
      </c>
      <c r="Q147" s="1">
        <f>[1]!HeatTransferArea(I147,D147,0.36,K147)</f>
        <v>0.35342917352885178</v>
      </c>
      <c r="R147" s="1">
        <f>[1]!Convection(I147,M147,1000,9*10^-4,K147,0.6,0.36,7)</f>
        <v>25884.883040575744</v>
      </c>
      <c r="S147" s="1">
        <f t="shared" si="34"/>
        <v>1.3170436283831222</v>
      </c>
      <c r="T147" s="1">
        <f t="shared" si="35"/>
        <v>7.4800531914893613E-6</v>
      </c>
      <c r="U147" s="1">
        <f t="shared" si="36"/>
        <v>8.3111702127659595E-7</v>
      </c>
      <c r="V147" s="1">
        <f t="shared" si="37"/>
        <v>3</v>
      </c>
      <c r="W147" s="1">
        <f t="shared" si="38"/>
        <v>209.14260469088944</v>
      </c>
      <c r="X147" s="1">
        <f t="shared" si="39"/>
        <v>3.125</v>
      </c>
      <c r="Y147" s="1">
        <f t="shared" si="40"/>
        <v>0.34739792130013009</v>
      </c>
      <c r="Z147" s="1">
        <v>48.62765014</v>
      </c>
    </row>
    <row r="148" spans="1:26" x14ac:dyDescent="0.25">
      <c r="A148" s="1">
        <f>25</f>
        <v>25</v>
      </c>
      <c r="B148" s="1">
        <v>0.4</v>
      </c>
      <c r="C148" s="1">
        <v>3</v>
      </c>
      <c r="D148" s="1">
        <f t="shared" si="28"/>
        <v>7.4999999999999997E-2</v>
      </c>
      <c r="E148" s="1">
        <v>10</v>
      </c>
      <c r="F148" s="1">
        <v>1.5</v>
      </c>
      <c r="G148" s="1">
        <v>100</v>
      </c>
      <c r="H148" s="1">
        <v>50.665215629999999</v>
      </c>
      <c r="I148" s="1">
        <f t="shared" si="29"/>
        <v>2.5000000000000001E-2</v>
      </c>
      <c r="J148" s="1">
        <f t="shared" si="30"/>
        <v>7.4999999999999997E-2</v>
      </c>
      <c r="K148" s="1">
        <f t="shared" si="31"/>
        <v>4.0000000000000002E-4</v>
      </c>
      <c r="L148" s="1">
        <f t="shared" si="32"/>
        <v>0.18613936472519524</v>
      </c>
      <c r="M148" s="1">
        <f t="shared" si="33"/>
        <v>2.7777777777777776E-2</v>
      </c>
      <c r="N148" s="1">
        <v>235</v>
      </c>
      <c r="O148" s="1">
        <f t="shared" si="41"/>
        <v>3.2</v>
      </c>
      <c r="P148" s="1">
        <v>4148</v>
      </c>
      <c r="Q148" s="1">
        <f>[1]!HeatTransferArea(I148,D148,0.36,K148)</f>
        <v>0.35342917352885178</v>
      </c>
      <c r="R148" s="1">
        <f>[1]!Convection(I148,M148,1000,9*10^-4,K148,0.6,0.36,7)</f>
        <v>25884.883040575744</v>
      </c>
      <c r="S148" s="1">
        <f t="shared" si="34"/>
        <v>0.87802908558874804</v>
      </c>
      <c r="T148" s="1">
        <f t="shared" si="35"/>
        <v>1.1220079787234043E-5</v>
      </c>
      <c r="U148" s="1">
        <f t="shared" si="36"/>
        <v>1.2466755319148938E-6</v>
      </c>
      <c r="V148" s="1">
        <f t="shared" si="37"/>
        <v>3</v>
      </c>
      <c r="W148" s="1">
        <f t="shared" si="38"/>
        <v>139.4284031272596</v>
      </c>
      <c r="X148" s="1">
        <f t="shared" si="39"/>
        <v>3.125</v>
      </c>
      <c r="Y148" s="1">
        <f t="shared" si="40"/>
        <v>0.24130291499330447</v>
      </c>
      <c r="Z148" s="1">
        <v>50.665215629999999</v>
      </c>
    </row>
    <row r="149" spans="1:26" x14ac:dyDescent="0.25">
      <c r="A149" s="1">
        <f>25</f>
        <v>25</v>
      </c>
      <c r="B149" s="1">
        <v>0.4</v>
      </c>
      <c r="C149" s="1">
        <v>4</v>
      </c>
      <c r="D149" s="1">
        <f t="shared" si="28"/>
        <v>0.1</v>
      </c>
      <c r="E149" s="1">
        <v>10</v>
      </c>
      <c r="F149" s="1">
        <v>0.5</v>
      </c>
      <c r="G149" s="1">
        <v>100</v>
      </c>
      <c r="H149" s="1">
        <v>41.551920359999997</v>
      </c>
      <c r="I149" s="1">
        <f t="shared" si="29"/>
        <v>2.5000000000000001E-2</v>
      </c>
      <c r="J149" s="1">
        <f t="shared" si="30"/>
        <v>0.1</v>
      </c>
      <c r="K149" s="1">
        <f t="shared" si="31"/>
        <v>4.0000000000000002E-4</v>
      </c>
      <c r="L149" s="1">
        <f t="shared" si="32"/>
        <v>0.24818581963359368</v>
      </c>
      <c r="M149" s="1">
        <f t="shared" si="33"/>
        <v>2.7777777777777776E-2</v>
      </c>
      <c r="N149" s="1">
        <v>235</v>
      </c>
      <c r="O149" s="1">
        <f t="shared" si="41"/>
        <v>3.2</v>
      </c>
      <c r="P149" s="1">
        <v>4148</v>
      </c>
      <c r="Q149" s="1">
        <f>[1]!HeatTransferArea(I149,D149,0.36,K149)</f>
        <v>0.47123889803846908</v>
      </c>
      <c r="R149" s="1">
        <f>[1]!Convection(I149,M149,1000,9*10^-4,K149,0.6,0.36,7)</f>
        <v>25884.883040575744</v>
      </c>
      <c r="S149" s="1">
        <f t="shared" si="34"/>
        <v>1.9755654425746829</v>
      </c>
      <c r="T149" s="1">
        <f t="shared" si="35"/>
        <v>6.6489361702127676E-6</v>
      </c>
      <c r="U149" s="1">
        <f t="shared" si="36"/>
        <v>4.1555851063829797E-7</v>
      </c>
      <c r="V149" s="1">
        <f t="shared" si="37"/>
        <v>4</v>
      </c>
      <c r="W149" s="1">
        <f t="shared" si="38"/>
        <v>418.28520938177883</v>
      </c>
      <c r="X149" s="1">
        <f t="shared" si="39"/>
        <v>3.125</v>
      </c>
      <c r="Y149" s="1">
        <f t="shared" si="40"/>
        <v>0.44527292756899856</v>
      </c>
      <c r="Z149" s="1">
        <v>41.551920359999997</v>
      </c>
    </row>
    <row r="150" spans="1:26" x14ac:dyDescent="0.25">
      <c r="A150" s="1">
        <f>25</f>
        <v>25</v>
      </c>
      <c r="B150" s="1">
        <v>0.4</v>
      </c>
      <c r="C150" s="1">
        <v>4</v>
      </c>
      <c r="D150" s="1">
        <f t="shared" si="28"/>
        <v>0.1</v>
      </c>
      <c r="E150" s="1">
        <v>10</v>
      </c>
      <c r="F150" s="1">
        <v>1</v>
      </c>
      <c r="G150" s="1">
        <v>100</v>
      </c>
      <c r="H150" s="1">
        <v>50.016092290000003</v>
      </c>
      <c r="I150" s="1">
        <f t="shared" si="29"/>
        <v>2.5000000000000001E-2</v>
      </c>
      <c r="J150" s="1">
        <f t="shared" si="30"/>
        <v>0.1</v>
      </c>
      <c r="K150" s="1">
        <f t="shared" si="31"/>
        <v>4.0000000000000002E-4</v>
      </c>
      <c r="L150" s="1">
        <f t="shared" si="32"/>
        <v>0.24818581963359368</v>
      </c>
      <c r="M150" s="1">
        <f t="shared" si="33"/>
        <v>2.7777777777777776E-2</v>
      </c>
      <c r="N150" s="1">
        <v>235</v>
      </c>
      <c r="O150" s="1">
        <f t="shared" si="41"/>
        <v>3.2</v>
      </c>
      <c r="P150" s="1">
        <v>4148</v>
      </c>
      <c r="Q150" s="1">
        <f>[1]!HeatTransferArea(I150,D150,0.36,K150)</f>
        <v>0.47123889803846908</v>
      </c>
      <c r="R150" s="1">
        <f>[1]!Convection(I150,M150,1000,9*10^-4,K150,0.6,0.36,7)</f>
        <v>25884.883040575744</v>
      </c>
      <c r="S150" s="1">
        <f t="shared" si="34"/>
        <v>0.98778272128734146</v>
      </c>
      <c r="T150" s="1">
        <f t="shared" si="35"/>
        <v>1.3297872340425535E-5</v>
      </c>
      <c r="U150" s="1">
        <f t="shared" si="36"/>
        <v>8.3111702127659595E-7</v>
      </c>
      <c r="V150" s="1">
        <f t="shared" si="37"/>
        <v>4</v>
      </c>
      <c r="W150" s="1">
        <f t="shared" si="38"/>
        <v>209.14260469088941</v>
      </c>
      <c r="X150" s="1">
        <f t="shared" si="39"/>
        <v>3.125</v>
      </c>
      <c r="Y150" s="1">
        <f t="shared" si="40"/>
        <v>0.26798775660160029</v>
      </c>
      <c r="Z150" s="1">
        <v>50.016092290000003</v>
      </c>
    </row>
    <row r="151" spans="1:26" x14ac:dyDescent="0.25">
      <c r="A151" s="1">
        <f>25</f>
        <v>25</v>
      </c>
      <c r="B151" s="1">
        <v>0.4</v>
      </c>
      <c r="C151" s="1">
        <v>4</v>
      </c>
      <c r="D151" s="1">
        <f t="shared" si="28"/>
        <v>0.1</v>
      </c>
      <c r="E151" s="1">
        <v>10</v>
      </c>
      <c r="F151" s="1">
        <v>1.5</v>
      </c>
      <c r="G151" s="1">
        <v>100</v>
      </c>
      <c r="H151" s="1">
        <v>50.660508559999997</v>
      </c>
      <c r="I151" s="1">
        <f t="shared" si="29"/>
        <v>2.5000000000000001E-2</v>
      </c>
      <c r="J151" s="1">
        <f t="shared" si="30"/>
        <v>0.1</v>
      </c>
      <c r="K151" s="1">
        <f t="shared" si="31"/>
        <v>4.0000000000000002E-4</v>
      </c>
      <c r="L151" s="1">
        <f t="shared" si="32"/>
        <v>0.24818581963359368</v>
      </c>
      <c r="M151" s="1">
        <f t="shared" si="33"/>
        <v>2.7777777777777776E-2</v>
      </c>
      <c r="N151" s="1">
        <v>235</v>
      </c>
      <c r="O151" s="1">
        <f t="shared" si="41"/>
        <v>3.2</v>
      </c>
      <c r="P151" s="1">
        <v>4148</v>
      </c>
      <c r="Q151" s="1">
        <f>[1]!HeatTransferArea(I151,D151,0.36,K151)</f>
        <v>0.47123889803846908</v>
      </c>
      <c r="R151" s="1">
        <f>[1]!Convection(I151,M151,1000,9*10^-4,K151,0.6,0.36,7)</f>
        <v>25884.883040575744</v>
      </c>
      <c r="S151" s="1">
        <f t="shared" si="34"/>
        <v>0.65852181419156097</v>
      </c>
      <c r="T151" s="1">
        <f t="shared" si="35"/>
        <v>1.99468085106383E-5</v>
      </c>
      <c r="U151" s="1">
        <f t="shared" si="36"/>
        <v>1.2466755319148938E-6</v>
      </c>
      <c r="V151" s="1">
        <f t="shared" si="37"/>
        <v>4</v>
      </c>
      <c r="W151" s="1">
        <f t="shared" si="38"/>
        <v>139.42840312725963</v>
      </c>
      <c r="X151" s="1">
        <f t="shared" si="39"/>
        <v>3.125</v>
      </c>
      <c r="Y151" s="1">
        <f t="shared" si="40"/>
        <v>0.18096037249468705</v>
      </c>
      <c r="Z151" s="1">
        <v>50.660508559999997</v>
      </c>
    </row>
    <row r="152" spans="1:26" x14ac:dyDescent="0.25">
      <c r="A152" s="1">
        <f>25</f>
        <v>25</v>
      </c>
      <c r="B152" s="1">
        <v>0.4</v>
      </c>
      <c r="C152" s="1">
        <v>5</v>
      </c>
      <c r="D152" s="1">
        <f t="shared" si="28"/>
        <v>0.125</v>
      </c>
      <c r="E152" s="1">
        <v>10</v>
      </c>
      <c r="F152" s="1">
        <v>0.5</v>
      </c>
      <c r="G152" s="1">
        <v>100</v>
      </c>
      <c r="H152" s="1">
        <v>46.506139419999997</v>
      </c>
      <c r="I152" s="1">
        <f t="shared" si="29"/>
        <v>2.5000000000000001E-2</v>
      </c>
      <c r="J152" s="1">
        <f t="shared" si="30"/>
        <v>0.125</v>
      </c>
      <c r="K152" s="1">
        <f t="shared" si="31"/>
        <v>4.0000000000000002E-4</v>
      </c>
      <c r="L152" s="1">
        <f t="shared" si="32"/>
        <v>0.31023227454199215</v>
      </c>
      <c r="M152" s="1">
        <f t="shared" si="33"/>
        <v>2.7777777777777776E-2</v>
      </c>
      <c r="N152" s="1">
        <v>235</v>
      </c>
      <c r="O152" s="1">
        <f t="shared" si="41"/>
        <v>3.2</v>
      </c>
      <c r="P152" s="1">
        <v>4148</v>
      </c>
      <c r="Q152" s="1">
        <f>[1]!HeatTransferArea(I152,D152,0.36,K152)</f>
        <v>0.58904862254808632</v>
      </c>
      <c r="R152" s="1">
        <f>[1]!Convection(I152,M152,1000,9*10^-4,K152,0.6,0.36,7)</f>
        <v>25884.883040575744</v>
      </c>
      <c r="S152" s="1">
        <f t="shared" si="34"/>
        <v>1.5804523540597462</v>
      </c>
      <c r="T152" s="1">
        <f t="shared" si="35"/>
        <v>1.0388962765957447E-5</v>
      </c>
      <c r="U152" s="1">
        <f t="shared" si="36"/>
        <v>4.1555851063829797E-7</v>
      </c>
      <c r="V152" s="1">
        <f t="shared" si="37"/>
        <v>5</v>
      </c>
      <c r="W152" s="1">
        <f t="shared" si="38"/>
        <v>418.28520938177877</v>
      </c>
      <c r="X152" s="1">
        <f t="shared" si="39"/>
        <v>3.125</v>
      </c>
      <c r="Y152" s="1">
        <f t="shared" si="40"/>
        <v>0.398690114344942</v>
      </c>
      <c r="Z152" s="1">
        <v>46.506139419999997</v>
      </c>
    </row>
    <row r="153" spans="1:26" x14ac:dyDescent="0.25">
      <c r="A153" s="1">
        <f>25</f>
        <v>25</v>
      </c>
      <c r="B153" s="1">
        <v>0.4</v>
      </c>
      <c r="C153" s="1">
        <v>5</v>
      </c>
      <c r="D153" s="1">
        <f t="shared" si="28"/>
        <v>0.125</v>
      </c>
      <c r="E153" s="1">
        <v>10</v>
      </c>
      <c r="F153" s="1">
        <v>1</v>
      </c>
      <c r="G153" s="1">
        <v>100</v>
      </c>
      <c r="H153" s="1">
        <v>50.022426699999997</v>
      </c>
      <c r="I153" s="1">
        <f t="shared" si="29"/>
        <v>2.5000000000000001E-2</v>
      </c>
      <c r="J153" s="1">
        <f t="shared" si="30"/>
        <v>0.125</v>
      </c>
      <c r="K153" s="1">
        <f t="shared" si="31"/>
        <v>4.0000000000000002E-4</v>
      </c>
      <c r="L153" s="1">
        <f t="shared" si="32"/>
        <v>0.31023227454199215</v>
      </c>
      <c r="M153" s="1">
        <f t="shared" si="33"/>
        <v>2.7777777777777776E-2</v>
      </c>
      <c r="N153" s="1">
        <v>235</v>
      </c>
      <c r="O153" s="1">
        <f t="shared" si="41"/>
        <v>3.2</v>
      </c>
      <c r="P153" s="1">
        <v>4148</v>
      </c>
      <c r="Q153" s="1">
        <f>[1]!HeatTransferArea(I153,D153,0.36,K153)</f>
        <v>0.58904862254808632</v>
      </c>
      <c r="R153" s="1">
        <f>[1]!Convection(I153,M153,1000,9*10^-4,K153,0.6,0.36,7)</f>
        <v>25884.883040575744</v>
      </c>
      <c r="S153" s="1">
        <f t="shared" si="34"/>
        <v>0.79022617702987308</v>
      </c>
      <c r="T153" s="1">
        <f t="shared" si="35"/>
        <v>2.0777925531914893E-5</v>
      </c>
      <c r="U153" s="1">
        <f t="shared" si="36"/>
        <v>8.3111702127659595E-7</v>
      </c>
      <c r="V153" s="1">
        <f t="shared" si="37"/>
        <v>5</v>
      </c>
      <c r="W153" s="1">
        <f t="shared" si="38"/>
        <v>209.14260469088939</v>
      </c>
      <c r="X153" s="1">
        <f t="shared" si="39"/>
        <v>3.125</v>
      </c>
      <c r="Y153" s="1">
        <f t="shared" si="40"/>
        <v>0.21441735725173725</v>
      </c>
      <c r="Z153" s="1">
        <v>50.022426699999997</v>
      </c>
    </row>
    <row r="154" spans="1:26" x14ac:dyDescent="0.25">
      <c r="A154" s="1">
        <f>25</f>
        <v>25</v>
      </c>
      <c r="B154" s="1">
        <v>0.4</v>
      </c>
      <c r="C154" s="1">
        <v>5</v>
      </c>
      <c r="D154" s="1">
        <f t="shared" si="28"/>
        <v>0.125</v>
      </c>
      <c r="E154" s="1">
        <v>10</v>
      </c>
      <c r="F154" s="1">
        <v>1.5</v>
      </c>
      <c r="G154" s="1">
        <v>100</v>
      </c>
      <c r="H154" s="1">
        <v>50.135345880000003</v>
      </c>
      <c r="I154" s="1">
        <f t="shared" si="29"/>
        <v>2.5000000000000001E-2</v>
      </c>
      <c r="J154" s="1">
        <f t="shared" si="30"/>
        <v>0.125</v>
      </c>
      <c r="K154" s="1">
        <f t="shared" si="31"/>
        <v>4.0000000000000002E-4</v>
      </c>
      <c r="L154" s="1">
        <f t="shared" si="32"/>
        <v>0.31023227454199215</v>
      </c>
      <c r="M154" s="1">
        <f t="shared" si="33"/>
        <v>2.7777777777777776E-2</v>
      </c>
      <c r="N154" s="1">
        <v>235</v>
      </c>
      <c r="O154" s="1">
        <f t="shared" si="41"/>
        <v>3.2</v>
      </c>
      <c r="P154" s="1">
        <v>4148</v>
      </c>
      <c r="Q154" s="1">
        <f>[1]!HeatTransferArea(I154,D154,0.36,K154)</f>
        <v>0.58904862254808632</v>
      </c>
      <c r="R154" s="1">
        <f>[1]!Convection(I154,M154,1000,9*10^-4,K154,0.6,0.36,7)</f>
        <v>25884.883040575744</v>
      </c>
      <c r="S154" s="1">
        <f t="shared" si="34"/>
        <v>0.52681745135324864</v>
      </c>
      <c r="T154" s="1">
        <f t="shared" si="35"/>
        <v>3.1166888297872338E-5</v>
      </c>
      <c r="U154" s="1">
        <f t="shared" si="36"/>
        <v>1.2466755319148938E-6</v>
      </c>
      <c r="V154" s="1">
        <f t="shared" si="37"/>
        <v>5</v>
      </c>
      <c r="W154" s="1">
        <f t="shared" si="38"/>
        <v>139.4284031272596</v>
      </c>
      <c r="X154" s="1">
        <f t="shared" si="39"/>
        <v>3.125</v>
      </c>
      <c r="Y154" s="1">
        <f t="shared" si="40"/>
        <v>0.14326758453045854</v>
      </c>
      <c r="Z154" s="1">
        <v>50.135345880000003</v>
      </c>
    </row>
    <row r="155" spans="1:26" s="2" customFormat="1" x14ac:dyDescent="0.25">
      <c r="A155" s="1">
        <f>25</f>
        <v>25</v>
      </c>
      <c r="B155" s="1">
        <v>0.5</v>
      </c>
      <c r="C155" s="1">
        <v>3</v>
      </c>
      <c r="D155" s="1">
        <f t="shared" si="28"/>
        <v>7.4999999999999997E-2</v>
      </c>
      <c r="E155" s="1">
        <v>10</v>
      </c>
      <c r="F155" s="1">
        <v>0.5</v>
      </c>
      <c r="G155" s="1">
        <v>100</v>
      </c>
      <c r="H155" s="1">
        <v>7.8022921900000002</v>
      </c>
      <c r="I155" s="1">
        <f t="shared" si="29"/>
        <v>2.5000000000000001E-2</v>
      </c>
      <c r="J155" s="1">
        <f t="shared" si="30"/>
        <v>7.4999999999999997E-2</v>
      </c>
      <c r="K155" s="1">
        <f t="shared" si="31"/>
        <v>5.0000000000000001E-4</v>
      </c>
      <c r="L155" s="1">
        <f t="shared" si="32"/>
        <v>0.18613936472519524</v>
      </c>
      <c r="M155" s="1">
        <f t="shared" si="33"/>
        <v>2.7777777777777776E-2</v>
      </c>
      <c r="N155" s="1">
        <v>235</v>
      </c>
      <c r="O155" s="1">
        <f t="shared" si="41"/>
        <v>3.2</v>
      </c>
      <c r="P155" s="1">
        <v>4148</v>
      </c>
      <c r="Q155" s="1">
        <f>[1]!HeatTransferArea(I155,D155,0.36,K155)</f>
        <v>0.28274333882308145</v>
      </c>
      <c r="R155" s="1">
        <f>[1]!Convection(I155,M155,1000,9*10^-4,K155,0.6,0.36,7)</f>
        <v>20885.729705543305</v>
      </c>
      <c r="S155" s="1">
        <f t="shared" si="34"/>
        <v>2.6340872567662443</v>
      </c>
      <c r="T155" s="1">
        <f t="shared" si="35"/>
        <v>3.7400265957446807E-6</v>
      </c>
      <c r="U155" s="1">
        <f t="shared" si="36"/>
        <v>4.1555851063829797E-7</v>
      </c>
      <c r="V155" s="1">
        <f t="shared" si="37"/>
        <v>3</v>
      </c>
      <c r="W155" s="1">
        <f t="shared" si="38"/>
        <v>270.00135358633958</v>
      </c>
      <c r="X155" s="1">
        <f t="shared" si="39"/>
        <v>3.125</v>
      </c>
      <c r="Y155" s="1">
        <f t="shared" si="40"/>
        <v>0.1114797889833728</v>
      </c>
      <c r="Z155" s="1">
        <v>7.8022921900000002</v>
      </c>
    </row>
    <row r="156" spans="1:26" x14ac:dyDescent="0.25">
      <c r="A156" s="1">
        <f>25</f>
        <v>25</v>
      </c>
      <c r="B156" s="1">
        <v>0.5</v>
      </c>
      <c r="C156" s="1">
        <v>3</v>
      </c>
      <c r="D156" s="1">
        <f t="shared" si="28"/>
        <v>7.4999999999999997E-2</v>
      </c>
      <c r="E156" s="1">
        <v>10</v>
      </c>
      <c r="F156" s="1">
        <v>1</v>
      </c>
      <c r="G156" s="1">
        <v>100</v>
      </c>
      <c r="H156" s="1">
        <v>47.448119550000001</v>
      </c>
      <c r="I156" s="1">
        <f t="shared" si="29"/>
        <v>2.5000000000000001E-2</v>
      </c>
      <c r="J156" s="1">
        <f t="shared" si="30"/>
        <v>7.4999999999999997E-2</v>
      </c>
      <c r="K156" s="1">
        <f t="shared" si="31"/>
        <v>5.0000000000000001E-4</v>
      </c>
      <c r="L156" s="1">
        <f t="shared" si="32"/>
        <v>0.18613936472519524</v>
      </c>
      <c r="M156" s="1">
        <f t="shared" si="33"/>
        <v>2.7777777777777776E-2</v>
      </c>
      <c r="N156" s="1">
        <v>235</v>
      </c>
      <c r="O156" s="1">
        <f t="shared" si="41"/>
        <v>3.2</v>
      </c>
      <c r="P156" s="1">
        <v>4148</v>
      </c>
      <c r="Q156" s="1">
        <f>[1]!HeatTransferArea(I156,D156,0.36,K156)</f>
        <v>0.28274333882308145</v>
      </c>
      <c r="R156" s="1">
        <f>[1]!Convection(I156,M156,1000,9*10^-4,K156,0.6,0.36,7)</f>
        <v>20885.729705543305</v>
      </c>
      <c r="S156" s="1">
        <f t="shared" si="34"/>
        <v>1.3170436283831222</v>
      </c>
      <c r="T156" s="1">
        <f t="shared" si="35"/>
        <v>7.4800531914893613E-6</v>
      </c>
      <c r="U156" s="1">
        <f t="shared" si="36"/>
        <v>8.3111702127659595E-7</v>
      </c>
      <c r="V156" s="1">
        <f t="shared" si="37"/>
        <v>3</v>
      </c>
      <c r="W156" s="1">
        <f t="shared" si="38"/>
        <v>135.00067679316979</v>
      </c>
      <c r="X156" s="1">
        <f t="shared" si="39"/>
        <v>3.125</v>
      </c>
      <c r="Y156" s="1">
        <f t="shared" si="40"/>
        <v>0.33897130652651486</v>
      </c>
      <c r="Z156" s="1">
        <v>47.448119550000001</v>
      </c>
    </row>
    <row r="157" spans="1:26" x14ac:dyDescent="0.25">
      <c r="A157" s="1">
        <f>25</f>
        <v>25</v>
      </c>
      <c r="B157" s="1">
        <v>0.5</v>
      </c>
      <c r="C157" s="1">
        <v>3</v>
      </c>
      <c r="D157" s="1">
        <f t="shared" si="28"/>
        <v>7.4999999999999997E-2</v>
      </c>
      <c r="E157" s="1">
        <v>10</v>
      </c>
      <c r="F157" s="1">
        <v>1.5</v>
      </c>
      <c r="G157" s="1">
        <v>100</v>
      </c>
      <c r="H157" s="1">
        <v>49.878932200000001</v>
      </c>
      <c r="I157" s="1">
        <f t="shared" si="29"/>
        <v>2.5000000000000001E-2</v>
      </c>
      <c r="J157" s="1">
        <f t="shared" si="30"/>
        <v>7.4999999999999997E-2</v>
      </c>
      <c r="K157" s="1">
        <f t="shared" si="31"/>
        <v>5.0000000000000001E-4</v>
      </c>
      <c r="L157" s="1">
        <f t="shared" si="32"/>
        <v>0.18613936472519524</v>
      </c>
      <c r="M157" s="1">
        <f t="shared" si="33"/>
        <v>2.7777777777777776E-2</v>
      </c>
      <c r="N157" s="1">
        <v>235</v>
      </c>
      <c r="O157" s="1">
        <f t="shared" si="41"/>
        <v>3.2</v>
      </c>
      <c r="P157" s="1">
        <v>4148</v>
      </c>
      <c r="Q157" s="1">
        <f>[1]!HeatTransferArea(I157,D157,0.36,K157)</f>
        <v>0.28274333882308145</v>
      </c>
      <c r="R157" s="1">
        <f>[1]!Convection(I157,M157,1000,9*10^-4,K157,0.6,0.36,7)</f>
        <v>20885.729705543305</v>
      </c>
      <c r="S157" s="1">
        <f t="shared" si="34"/>
        <v>0.87802908558874804</v>
      </c>
      <c r="T157" s="1">
        <f t="shared" si="35"/>
        <v>1.1220079787234043E-5</v>
      </c>
      <c r="U157" s="1">
        <f t="shared" si="36"/>
        <v>1.2466755319148938E-6</v>
      </c>
      <c r="V157" s="1">
        <f t="shared" si="37"/>
        <v>3</v>
      </c>
      <c r="W157" s="1">
        <f t="shared" si="38"/>
        <v>90.00045119544653</v>
      </c>
      <c r="X157" s="1">
        <f t="shared" si="39"/>
        <v>3.125</v>
      </c>
      <c r="Y157" s="1">
        <f t="shared" si="40"/>
        <v>0.23755808767320544</v>
      </c>
      <c r="Z157" s="1">
        <v>49.878932200000001</v>
      </c>
    </row>
    <row r="158" spans="1:26" x14ac:dyDescent="0.25">
      <c r="A158" s="1">
        <f>25</f>
        <v>25</v>
      </c>
      <c r="B158" s="1">
        <v>0.5</v>
      </c>
      <c r="C158" s="1">
        <v>4</v>
      </c>
      <c r="D158" s="1">
        <f t="shared" si="28"/>
        <v>0.1</v>
      </c>
      <c r="E158" s="1">
        <v>10</v>
      </c>
      <c r="F158" s="1">
        <v>0.5</v>
      </c>
      <c r="G158" s="1">
        <v>100</v>
      </c>
      <c r="H158" s="1">
        <v>40.26497818</v>
      </c>
      <c r="I158" s="1">
        <f t="shared" si="29"/>
        <v>2.5000000000000001E-2</v>
      </c>
      <c r="J158" s="1">
        <f t="shared" si="30"/>
        <v>0.1</v>
      </c>
      <c r="K158" s="1">
        <f t="shared" si="31"/>
        <v>5.0000000000000001E-4</v>
      </c>
      <c r="L158" s="1">
        <f t="shared" si="32"/>
        <v>0.24818581963359368</v>
      </c>
      <c r="M158" s="1">
        <f t="shared" si="33"/>
        <v>2.7777777777777776E-2</v>
      </c>
      <c r="N158" s="1">
        <v>235</v>
      </c>
      <c r="O158" s="1">
        <f t="shared" si="41"/>
        <v>3.2</v>
      </c>
      <c r="P158" s="1">
        <v>4148</v>
      </c>
      <c r="Q158" s="1">
        <f>[1]!HeatTransferArea(I158,D158,0.36,K158)</f>
        <v>0.37699111843077526</v>
      </c>
      <c r="R158" s="1">
        <f>[1]!Convection(I158,M158,1000,9*10^-4,K158,0.6,0.36,7)</f>
        <v>20885.729705543305</v>
      </c>
      <c r="S158" s="1">
        <f t="shared" si="34"/>
        <v>1.9755654425746829</v>
      </c>
      <c r="T158" s="1">
        <f t="shared" si="35"/>
        <v>6.6489361702127676E-6</v>
      </c>
      <c r="U158" s="1">
        <f t="shared" si="36"/>
        <v>4.1555851063829797E-7</v>
      </c>
      <c r="V158" s="1">
        <f t="shared" si="37"/>
        <v>4</v>
      </c>
      <c r="W158" s="1">
        <f t="shared" si="38"/>
        <v>270.00135358633958</v>
      </c>
      <c r="X158" s="1">
        <f t="shared" si="39"/>
        <v>3.125</v>
      </c>
      <c r="Y158" s="1">
        <f t="shared" si="40"/>
        <v>0.43148197622100104</v>
      </c>
      <c r="Z158" s="1">
        <v>40.26497818</v>
      </c>
    </row>
    <row r="159" spans="1:26" x14ac:dyDescent="0.25">
      <c r="A159" s="1">
        <f>25</f>
        <v>25</v>
      </c>
      <c r="B159" s="1">
        <v>0.5</v>
      </c>
      <c r="C159" s="1">
        <v>4</v>
      </c>
      <c r="D159" s="1">
        <f t="shared" si="28"/>
        <v>0.1</v>
      </c>
      <c r="E159" s="1">
        <v>10</v>
      </c>
      <c r="F159" s="1">
        <v>1</v>
      </c>
      <c r="G159" s="1">
        <v>100</v>
      </c>
      <c r="H159" s="1">
        <v>49.696030919999998</v>
      </c>
      <c r="I159" s="1">
        <f t="shared" si="29"/>
        <v>2.5000000000000001E-2</v>
      </c>
      <c r="J159" s="1">
        <f t="shared" si="30"/>
        <v>0.1</v>
      </c>
      <c r="K159" s="1">
        <f t="shared" si="31"/>
        <v>5.0000000000000001E-4</v>
      </c>
      <c r="L159" s="1">
        <f t="shared" si="32"/>
        <v>0.24818581963359368</v>
      </c>
      <c r="M159" s="1">
        <f t="shared" si="33"/>
        <v>2.7777777777777776E-2</v>
      </c>
      <c r="N159" s="1">
        <v>235</v>
      </c>
      <c r="O159" s="1">
        <f t="shared" si="41"/>
        <v>3.2</v>
      </c>
      <c r="P159" s="1">
        <v>4148</v>
      </c>
      <c r="Q159" s="1">
        <f>[1]!HeatTransferArea(I159,D159,0.36,K159)</f>
        <v>0.37699111843077526</v>
      </c>
      <c r="R159" s="1">
        <f>[1]!Convection(I159,M159,1000,9*10^-4,K159,0.6,0.36,7)</f>
        <v>20885.729705543305</v>
      </c>
      <c r="S159" s="1">
        <f t="shared" si="34"/>
        <v>0.98778272128734146</v>
      </c>
      <c r="T159" s="1">
        <f t="shared" si="35"/>
        <v>1.3297872340425535E-5</v>
      </c>
      <c r="U159" s="1">
        <f t="shared" si="36"/>
        <v>8.3111702127659595E-7</v>
      </c>
      <c r="V159" s="1">
        <f t="shared" si="37"/>
        <v>4</v>
      </c>
      <c r="W159" s="1">
        <f t="shared" si="38"/>
        <v>135.00067679316979</v>
      </c>
      <c r="X159" s="1">
        <f t="shared" si="39"/>
        <v>3.125</v>
      </c>
      <c r="Y159" s="1">
        <f t="shared" si="40"/>
        <v>0.26627285796410149</v>
      </c>
      <c r="Z159" s="1">
        <v>49.696030919999998</v>
      </c>
    </row>
    <row r="160" spans="1:26" x14ac:dyDescent="0.25">
      <c r="A160" s="1">
        <f>25</f>
        <v>25</v>
      </c>
      <c r="B160" s="1">
        <v>0.5</v>
      </c>
      <c r="C160" s="1">
        <v>4</v>
      </c>
      <c r="D160" s="1">
        <f t="shared" si="28"/>
        <v>0.1</v>
      </c>
      <c r="E160" s="1">
        <v>10</v>
      </c>
      <c r="F160" s="1">
        <v>1.5</v>
      </c>
      <c r="G160" s="1">
        <v>100</v>
      </c>
      <c r="H160" s="1">
        <v>50.576929100000001</v>
      </c>
      <c r="I160" s="1">
        <f t="shared" si="29"/>
        <v>2.5000000000000001E-2</v>
      </c>
      <c r="J160" s="1">
        <f t="shared" si="30"/>
        <v>0.1</v>
      </c>
      <c r="K160" s="1">
        <f t="shared" si="31"/>
        <v>5.0000000000000001E-4</v>
      </c>
      <c r="L160" s="1">
        <f t="shared" si="32"/>
        <v>0.24818581963359368</v>
      </c>
      <c r="M160" s="1">
        <f t="shared" si="33"/>
        <v>2.7777777777777776E-2</v>
      </c>
      <c r="N160" s="1">
        <v>235</v>
      </c>
      <c r="O160" s="1">
        <f t="shared" si="41"/>
        <v>3.2</v>
      </c>
      <c r="P160" s="1">
        <v>4148</v>
      </c>
      <c r="Q160" s="1">
        <f>[1]!HeatTransferArea(I160,D160,0.36,K160)</f>
        <v>0.37699111843077526</v>
      </c>
      <c r="R160" s="1">
        <f>[1]!Convection(I160,M160,1000,9*10^-4,K160,0.6,0.36,7)</f>
        <v>20885.729705543305</v>
      </c>
      <c r="S160" s="1">
        <f t="shared" si="34"/>
        <v>0.65852181419156097</v>
      </c>
      <c r="T160" s="1">
        <f t="shared" si="35"/>
        <v>1.99468085106383E-5</v>
      </c>
      <c r="U160" s="1">
        <f t="shared" si="36"/>
        <v>1.2466755319148938E-6</v>
      </c>
      <c r="V160" s="1">
        <f t="shared" si="37"/>
        <v>4</v>
      </c>
      <c r="W160" s="1">
        <f t="shared" si="38"/>
        <v>90.000451195446516</v>
      </c>
      <c r="X160" s="1">
        <f t="shared" si="39"/>
        <v>3.125</v>
      </c>
      <c r="Y160" s="1">
        <f t="shared" si="40"/>
        <v>0.18066182495451399</v>
      </c>
      <c r="Z160" s="1">
        <v>50.576929100000001</v>
      </c>
    </row>
    <row r="161" spans="1:26" x14ac:dyDescent="0.25">
      <c r="A161" s="1">
        <f>25</f>
        <v>25</v>
      </c>
      <c r="B161" s="1">
        <v>0.5</v>
      </c>
      <c r="C161" s="1">
        <v>5</v>
      </c>
      <c r="D161" s="1">
        <f t="shared" si="28"/>
        <v>0.125</v>
      </c>
      <c r="E161" s="1">
        <v>10</v>
      </c>
      <c r="F161" s="1">
        <v>0.5</v>
      </c>
      <c r="G161" s="1">
        <v>100</v>
      </c>
      <c r="H161" s="1">
        <v>46.095773129999998</v>
      </c>
      <c r="I161" s="1">
        <f t="shared" si="29"/>
        <v>2.5000000000000001E-2</v>
      </c>
      <c r="J161" s="1">
        <f t="shared" si="30"/>
        <v>0.125</v>
      </c>
      <c r="K161" s="1">
        <f t="shared" si="31"/>
        <v>5.0000000000000001E-4</v>
      </c>
      <c r="L161" s="1">
        <f t="shared" si="32"/>
        <v>0.31023227454199215</v>
      </c>
      <c r="M161" s="1">
        <f t="shared" si="33"/>
        <v>2.7777777777777776E-2</v>
      </c>
      <c r="N161" s="1">
        <v>235</v>
      </c>
      <c r="O161" s="1">
        <f t="shared" si="41"/>
        <v>3.2</v>
      </c>
      <c r="P161" s="1">
        <v>4148</v>
      </c>
      <c r="Q161" s="1">
        <f>[1]!HeatTransferArea(I161,D161,0.36,K161)</f>
        <v>0.47123889803846908</v>
      </c>
      <c r="R161" s="1">
        <f>[1]!Convection(I161,M161,1000,9*10^-4,K161,0.6,0.36,7)</f>
        <v>20885.729705543305</v>
      </c>
      <c r="S161" s="1">
        <f t="shared" si="34"/>
        <v>1.5804523540597462</v>
      </c>
      <c r="T161" s="1">
        <f t="shared" si="35"/>
        <v>1.0388962765957447E-5</v>
      </c>
      <c r="U161" s="1">
        <f t="shared" si="36"/>
        <v>4.1555851063829797E-7</v>
      </c>
      <c r="V161" s="1">
        <f t="shared" si="37"/>
        <v>5</v>
      </c>
      <c r="W161" s="1">
        <f t="shared" si="38"/>
        <v>270.00135358633952</v>
      </c>
      <c r="X161" s="1">
        <f t="shared" si="39"/>
        <v>3.125</v>
      </c>
      <c r="Y161" s="1">
        <f t="shared" si="40"/>
        <v>0.39517210607498338</v>
      </c>
      <c r="Z161" s="1">
        <v>46.095773129999998</v>
      </c>
    </row>
    <row r="162" spans="1:26" x14ac:dyDescent="0.25">
      <c r="A162" s="1">
        <f>25</f>
        <v>25</v>
      </c>
      <c r="B162" s="1">
        <v>0.5</v>
      </c>
      <c r="C162" s="1">
        <v>5</v>
      </c>
      <c r="D162" s="1">
        <f t="shared" si="28"/>
        <v>0.125</v>
      </c>
      <c r="E162" s="1">
        <v>10</v>
      </c>
      <c r="F162" s="1">
        <v>1</v>
      </c>
      <c r="G162" s="1">
        <v>100</v>
      </c>
      <c r="H162" s="1">
        <v>50.208405290000002</v>
      </c>
      <c r="I162" s="1">
        <f t="shared" si="29"/>
        <v>2.5000000000000001E-2</v>
      </c>
      <c r="J162" s="1">
        <f t="shared" si="30"/>
        <v>0.125</v>
      </c>
      <c r="K162" s="1">
        <f t="shared" si="31"/>
        <v>5.0000000000000001E-4</v>
      </c>
      <c r="L162" s="1">
        <f t="shared" si="32"/>
        <v>0.31023227454199215</v>
      </c>
      <c r="M162" s="1">
        <f t="shared" si="33"/>
        <v>2.7777777777777776E-2</v>
      </c>
      <c r="N162" s="1">
        <v>235</v>
      </c>
      <c r="O162" s="1">
        <f t="shared" si="41"/>
        <v>3.2</v>
      </c>
      <c r="P162" s="1">
        <v>4148</v>
      </c>
      <c r="Q162" s="1">
        <f>[1]!HeatTransferArea(I162,D162,0.36,K162)</f>
        <v>0.47123889803846908</v>
      </c>
      <c r="R162" s="1">
        <f>[1]!Convection(I162,M162,1000,9*10^-4,K162,0.6,0.36,7)</f>
        <v>20885.729705543305</v>
      </c>
      <c r="S162" s="1">
        <f t="shared" si="34"/>
        <v>0.79022617702987308</v>
      </c>
      <c r="T162" s="1">
        <f t="shared" si="35"/>
        <v>2.0777925531914893E-5</v>
      </c>
      <c r="U162" s="1">
        <f t="shared" si="36"/>
        <v>8.3111702127659595E-7</v>
      </c>
      <c r="V162" s="1">
        <f t="shared" si="37"/>
        <v>5</v>
      </c>
      <c r="W162" s="1">
        <f t="shared" si="38"/>
        <v>135.00067679316976</v>
      </c>
      <c r="X162" s="1">
        <f t="shared" si="39"/>
        <v>3.125</v>
      </c>
      <c r="Y162" s="1">
        <f t="shared" si="40"/>
        <v>0.21521454044343566</v>
      </c>
      <c r="Z162" s="1">
        <v>50.208405290000002</v>
      </c>
    </row>
    <row r="163" spans="1:26" x14ac:dyDescent="0.25">
      <c r="A163" s="1">
        <f>25</f>
        <v>25</v>
      </c>
      <c r="B163" s="1">
        <v>0.5</v>
      </c>
      <c r="C163" s="1">
        <v>5</v>
      </c>
      <c r="D163" s="1">
        <f t="shared" si="28"/>
        <v>0.125</v>
      </c>
      <c r="E163" s="1">
        <v>10</v>
      </c>
      <c r="F163" s="1">
        <v>1.5</v>
      </c>
      <c r="G163" s="1">
        <v>100</v>
      </c>
      <c r="H163" s="1">
        <v>50.475172909999998</v>
      </c>
      <c r="I163" s="1">
        <f t="shared" si="29"/>
        <v>2.5000000000000001E-2</v>
      </c>
      <c r="J163" s="1">
        <f t="shared" si="30"/>
        <v>0.125</v>
      </c>
      <c r="K163" s="1">
        <f t="shared" si="31"/>
        <v>5.0000000000000001E-4</v>
      </c>
      <c r="L163" s="1">
        <f t="shared" si="32"/>
        <v>0.31023227454199215</v>
      </c>
      <c r="M163" s="1">
        <f t="shared" si="33"/>
        <v>2.7777777777777776E-2</v>
      </c>
      <c r="N163" s="1">
        <v>235</v>
      </c>
      <c r="O163" s="1">
        <f t="shared" si="41"/>
        <v>3.2</v>
      </c>
      <c r="P163" s="1">
        <v>4148</v>
      </c>
      <c r="Q163" s="1">
        <f>[1]!HeatTransferArea(I163,D163,0.36,K163)</f>
        <v>0.47123889803846908</v>
      </c>
      <c r="R163" s="1">
        <f>[1]!Convection(I163,M163,1000,9*10^-4,K163,0.6,0.36,7)</f>
        <v>20885.729705543305</v>
      </c>
      <c r="S163" s="1">
        <f t="shared" si="34"/>
        <v>0.52681745135324864</v>
      </c>
      <c r="T163" s="1">
        <f t="shared" si="35"/>
        <v>3.1166888297872338E-5</v>
      </c>
      <c r="U163" s="1">
        <f t="shared" si="36"/>
        <v>1.2466755319148938E-6</v>
      </c>
      <c r="V163" s="1">
        <f t="shared" si="37"/>
        <v>5</v>
      </c>
      <c r="W163" s="1">
        <f t="shared" si="38"/>
        <v>90.000451195446502</v>
      </c>
      <c r="X163" s="1">
        <f t="shared" si="39"/>
        <v>3.125</v>
      </c>
      <c r="Y163" s="1">
        <f t="shared" si="40"/>
        <v>0.14423867981047894</v>
      </c>
      <c r="Z163" s="1">
        <v>50.475172909999998</v>
      </c>
    </row>
    <row r="164" spans="1:26" x14ac:dyDescent="0.25">
      <c r="A164" s="1">
        <f>25</f>
        <v>25</v>
      </c>
      <c r="B164" s="1">
        <v>0.3</v>
      </c>
      <c r="C164" s="1">
        <v>3</v>
      </c>
      <c r="D164" s="1">
        <f t="shared" si="28"/>
        <v>7.4999999999999997E-2</v>
      </c>
      <c r="E164" s="1">
        <v>10</v>
      </c>
      <c r="F164" s="1">
        <v>0.5</v>
      </c>
      <c r="G164" s="1">
        <v>125</v>
      </c>
      <c r="H164" s="1">
        <v>-94.933384599999997</v>
      </c>
      <c r="I164" s="1">
        <f t="shared" si="29"/>
        <v>2.5000000000000001E-2</v>
      </c>
      <c r="J164" s="1">
        <f t="shared" si="30"/>
        <v>7.4999999999999997E-2</v>
      </c>
      <c r="K164" s="1">
        <f t="shared" si="31"/>
        <v>2.9999999999999997E-4</v>
      </c>
      <c r="L164" s="1">
        <f t="shared" si="32"/>
        <v>0.18613936472519524</v>
      </c>
      <c r="M164" s="1">
        <f t="shared" si="33"/>
        <v>3.4722222222222224E-2</v>
      </c>
      <c r="N164" s="1">
        <v>235</v>
      </c>
      <c r="O164" s="1">
        <f t="shared" si="41"/>
        <v>3.2</v>
      </c>
      <c r="P164" s="1">
        <v>4148</v>
      </c>
      <c r="Q164" s="1">
        <f>[1]!HeatTransferArea(I164,D164,0.36,K164)</f>
        <v>0.47123889803846908</v>
      </c>
      <c r="R164" s="1">
        <f>[1]!Convection(I164,M164,1000,9*10^-4,K164,0.6,0.36,7)</f>
        <v>34434.600792169651</v>
      </c>
      <c r="S164" s="1">
        <f t="shared" si="34"/>
        <v>3.2926090709578055</v>
      </c>
      <c r="T164" s="1">
        <f t="shared" si="35"/>
        <v>3.7400265957446807E-6</v>
      </c>
      <c r="U164" s="1">
        <f t="shared" si="36"/>
        <v>4.1555851063829797E-7</v>
      </c>
      <c r="V164" s="1">
        <f t="shared" si="37"/>
        <v>3</v>
      </c>
      <c r="W164" s="1">
        <f t="shared" si="38"/>
        <v>741.92514499692243</v>
      </c>
      <c r="X164" s="1">
        <f t="shared" si="39"/>
        <v>3.125</v>
      </c>
      <c r="Y164" s="1">
        <f t="shared" si="40"/>
        <v>-1.3564159640483</v>
      </c>
      <c r="Z164" s="1">
        <v>-94.933384599999997</v>
      </c>
    </row>
    <row r="165" spans="1:26" x14ac:dyDescent="0.25">
      <c r="A165" s="1">
        <f>25</f>
        <v>25</v>
      </c>
      <c r="B165" s="1">
        <v>0.3</v>
      </c>
      <c r="C165" s="1">
        <v>3</v>
      </c>
      <c r="D165" s="1">
        <f t="shared" si="28"/>
        <v>7.4999999999999997E-2</v>
      </c>
      <c r="E165" s="1">
        <v>10</v>
      </c>
      <c r="F165" s="1">
        <v>1</v>
      </c>
      <c r="G165" s="1">
        <v>125</v>
      </c>
      <c r="H165" s="1">
        <v>57.1450101</v>
      </c>
      <c r="I165" s="1">
        <f t="shared" si="29"/>
        <v>2.5000000000000001E-2</v>
      </c>
      <c r="J165" s="1">
        <f t="shared" si="30"/>
        <v>7.4999999999999997E-2</v>
      </c>
      <c r="K165" s="1">
        <f t="shared" si="31"/>
        <v>2.9999999999999997E-4</v>
      </c>
      <c r="L165" s="1">
        <f t="shared" si="32"/>
        <v>0.18613936472519524</v>
      </c>
      <c r="M165" s="1">
        <f t="shared" si="33"/>
        <v>3.4722222222222224E-2</v>
      </c>
      <c r="N165" s="1">
        <v>235</v>
      </c>
      <c r="O165" s="1">
        <f t="shared" si="41"/>
        <v>3.2</v>
      </c>
      <c r="P165" s="1">
        <v>4148</v>
      </c>
      <c r="Q165" s="1">
        <f>[1]!HeatTransferArea(I165,D165,0.36,K165)</f>
        <v>0.47123889803846908</v>
      </c>
      <c r="R165" s="1">
        <f>[1]!Convection(I165,M165,1000,9*10^-4,K165,0.6,0.36,7)</f>
        <v>34434.600792169651</v>
      </c>
      <c r="S165" s="1">
        <f t="shared" si="34"/>
        <v>1.6463045354789028</v>
      </c>
      <c r="T165" s="1">
        <f t="shared" si="35"/>
        <v>7.4800531914893613E-6</v>
      </c>
      <c r="U165" s="1">
        <f t="shared" si="36"/>
        <v>8.3111702127659595E-7</v>
      </c>
      <c r="V165" s="1">
        <f t="shared" si="37"/>
        <v>3</v>
      </c>
      <c r="W165" s="1">
        <f t="shared" si="38"/>
        <v>370.96257249846121</v>
      </c>
      <c r="X165" s="1">
        <f t="shared" si="39"/>
        <v>3.125</v>
      </c>
      <c r="Y165" s="1">
        <f t="shared" si="40"/>
        <v>0.40824628918445488</v>
      </c>
      <c r="Z165" s="1">
        <v>57.1450101</v>
      </c>
    </row>
    <row r="166" spans="1:26" x14ac:dyDescent="0.25">
      <c r="A166" s="1">
        <f>25</f>
        <v>25</v>
      </c>
      <c r="B166" s="1">
        <v>0.3</v>
      </c>
      <c r="C166" s="1">
        <v>3</v>
      </c>
      <c r="D166" s="1">
        <f t="shared" si="28"/>
        <v>7.4999999999999997E-2</v>
      </c>
      <c r="E166" s="1">
        <v>10</v>
      </c>
      <c r="F166" s="1">
        <v>1.5</v>
      </c>
      <c r="G166" s="1">
        <v>125</v>
      </c>
      <c r="H166" s="1">
        <v>61.525200259999998</v>
      </c>
      <c r="I166" s="1">
        <f t="shared" si="29"/>
        <v>2.5000000000000001E-2</v>
      </c>
      <c r="J166" s="1">
        <f t="shared" si="30"/>
        <v>7.4999999999999997E-2</v>
      </c>
      <c r="K166" s="1">
        <f t="shared" si="31"/>
        <v>2.9999999999999997E-4</v>
      </c>
      <c r="L166" s="1">
        <f t="shared" si="32"/>
        <v>0.18613936472519524</v>
      </c>
      <c r="M166" s="1">
        <f t="shared" si="33"/>
        <v>3.4722222222222224E-2</v>
      </c>
      <c r="N166" s="1">
        <v>235</v>
      </c>
      <c r="O166" s="1">
        <f t="shared" si="41"/>
        <v>3.2</v>
      </c>
      <c r="P166" s="1">
        <v>4148</v>
      </c>
      <c r="Q166" s="1">
        <f>[1]!HeatTransferArea(I166,D166,0.36,K166)</f>
        <v>0.47123889803846908</v>
      </c>
      <c r="R166" s="1">
        <f>[1]!Convection(I166,M166,1000,9*10^-4,K166,0.6,0.36,7)</f>
        <v>34434.600792169651</v>
      </c>
      <c r="S166" s="1">
        <f t="shared" si="34"/>
        <v>1.0975363569859351</v>
      </c>
      <c r="T166" s="1">
        <f t="shared" si="35"/>
        <v>1.1220079787234043E-5</v>
      </c>
      <c r="U166" s="1">
        <f t="shared" si="36"/>
        <v>1.2466755319148938E-6</v>
      </c>
      <c r="V166" s="1">
        <f t="shared" si="37"/>
        <v>3</v>
      </c>
      <c r="W166" s="1">
        <f t="shared" si="38"/>
        <v>247.30838166564078</v>
      </c>
      <c r="X166" s="1">
        <f t="shared" si="39"/>
        <v>3.125</v>
      </c>
      <c r="Y166" s="1">
        <f t="shared" si="40"/>
        <v>0.29302569788125093</v>
      </c>
      <c r="Z166" s="1">
        <v>61.525200259999998</v>
      </c>
    </row>
    <row r="167" spans="1:26" x14ac:dyDescent="0.25">
      <c r="A167" s="1">
        <f>25</f>
        <v>25</v>
      </c>
      <c r="B167" s="1">
        <v>0.3</v>
      </c>
      <c r="C167" s="1">
        <v>4</v>
      </c>
      <c r="D167" s="1">
        <f t="shared" si="28"/>
        <v>0.1</v>
      </c>
      <c r="E167" s="1">
        <v>10</v>
      </c>
      <c r="F167" s="1">
        <v>0.5</v>
      </c>
      <c r="G167" s="1">
        <v>125</v>
      </c>
      <c r="H167" s="1">
        <v>30.147310210000001</v>
      </c>
      <c r="I167" s="1">
        <f t="shared" si="29"/>
        <v>2.5000000000000001E-2</v>
      </c>
      <c r="J167" s="1">
        <f t="shared" si="30"/>
        <v>0.1</v>
      </c>
      <c r="K167" s="1">
        <f t="shared" si="31"/>
        <v>2.9999999999999997E-4</v>
      </c>
      <c r="L167" s="1">
        <f t="shared" si="32"/>
        <v>0.24818581963359368</v>
      </c>
      <c r="M167" s="1">
        <f t="shared" si="33"/>
        <v>3.4722222222222224E-2</v>
      </c>
      <c r="N167" s="1">
        <v>235</v>
      </c>
      <c r="O167" s="1">
        <f t="shared" si="41"/>
        <v>3.2</v>
      </c>
      <c r="P167" s="1">
        <v>4148</v>
      </c>
      <c r="Q167" s="1">
        <f>[1]!HeatTransferArea(I167,D167,0.36,K167)</f>
        <v>0.62831853071795885</v>
      </c>
      <c r="R167" s="1">
        <f>[1]!Convection(I167,M167,1000,9*10^-4,K167,0.6,0.36,7)</f>
        <v>34434.600792169651</v>
      </c>
      <c r="S167" s="1">
        <f t="shared" si="34"/>
        <v>2.4694568032183537</v>
      </c>
      <c r="T167" s="1">
        <f t="shared" si="35"/>
        <v>6.6489361702127676E-6</v>
      </c>
      <c r="U167" s="1">
        <f t="shared" si="36"/>
        <v>4.1555851063829797E-7</v>
      </c>
      <c r="V167" s="1">
        <f t="shared" si="37"/>
        <v>4</v>
      </c>
      <c r="W167" s="1">
        <f t="shared" si="38"/>
        <v>741.92514499692243</v>
      </c>
      <c r="X167" s="1">
        <f t="shared" si="39"/>
        <v>3.125</v>
      </c>
      <c r="Y167" s="1">
        <f t="shared" si="40"/>
        <v>0.32306042558889475</v>
      </c>
      <c r="Z167" s="1">
        <v>30.147310210000001</v>
      </c>
    </row>
    <row r="168" spans="1:26" x14ac:dyDescent="0.25">
      <c r="A168" s="1">
        <f>25</f>
        <v>25</v>
      </c>
      <c r="B168" s="1">
        <v>0.3</v>
      </c>
      <c r="C168" s="1">
        <v>4</v>
      </c>
      <c r="D168" s="1">
        <f t="shared" si="28"/>
        <v>0.1</v>
      </c>
      <c r="E168" s="1">
        <v>10</v>
      </c>
      <c r="F168" s="1">
        <v>1</v>
      </c>
      <c r="G168" s="1">
        <v>125</v>
      </c>
      <c r="H168" s="1">
        <v>59.737227310000002</v>
      </c>
      <c r="I168" s="1">
        <f t="shared" si="29"/>
        <v>2.5000000000000001E-2</v>
      </c>
      <c r="J168" s="1">
        <f t="shared" si="30"/>
        <v>0.1</v>
      </c>
      <c r="K168" s="1">
        <f t="shared" si="31"/>
        <v>2.9999999999999997E-4</v>
      </c>
      <c r="L168" s="1">
        <f t="shared" si="32"/>
        <v>0.24818581963359368</v>
      </c>
      <c r="M168" s="1">
        <f t="shared" si="33"/>
        <v>3.4722222222222224E-2</v>
      </c>
      <c r="N168" s="1">
        <v>235</v>
      </c>
      <c r="O168" s="1">
        <f t="shared" si="41"/>
        <v>3.2</v>
      </c>
      <c r="P168" s="1">
        <v>4148</v>
      </c>
      <c r="Q168" s="1">
        <f>[1]!HeatTransferArea(I168,D168,0.36,K168)</f>
        <v>0.62831853071795885</v>
      </c>
      <c r="R168" s="1">
        <f>[1]!Convection(I168,M168,1000,9*10^-4,K168,0.6,0.36,7)</f>
        <v>34434.600792169651</v>
      </c>
      <c r="S168" s="1">
        <f t="shared" si="34"/>
        <v>1.2347284016091769</v>
      </c>
      <c r="T168" s="1">
        <f t="shared" si="35"/>
        <v>1.3297872340425535E-5</v>
      </c>
      <c r="U168" s="1">
        <f t="shared" si="36"/>
        <v>8.3111702127659595E-7</v>
      </c>
      <c r="V168" s="1">
        <f t="shared" si="37"/>
        <v>4</v>
      </c>
      <c r="W168" s="1">
        <f t="shared" si="38"/>
        <v>370.96257249846121</v>
      </c>
      <c r="X168" s="1">
        <f t="shared" si="39"/>
        <v>3.125</v>
      </c>
      <c r="Y168" s="1">
        <f t="shared" si="40"/>
        <v>0.32007389620895049</v>
      </c>
      <c r="Z168" s="1">
        <v>59.737227310000002</v>
      </c>
    </row>
    <row r="169" spans="1:26" x14ac:dyDescent="0.25">
      <c r="A169" s="1">
        <f>25</f>
        <v>25</v>
      </c>
      <c r="B169" s="1">
        <v>0.3</v>
      </c>
      <c r="C169" s="1">
        <v>4</v>
      </c>
      <c r="D169" s="1">
        <f t="shared" si="28"/>
        <v>0.1</v>
      </c>
      <c r="E169" s="1">
        <v>10</v>
      </c>
      <c r="F169" s="1">
        <v>1.5</v>
      </c>
      <c r="G169" s="1">
        <v>125</v>
      </c>
      <c r="H169" s="1">
        <v>61.057342609999999</v>
      </c>
      <c r="I169" s="1">
        <f t="shared" si="29"/>
        <v>2.5000000000000001E-2</v>
      </c>
      <c r="J169" s="1">
        <f t="shared" si="30"/>
        <v>0.1</v>
      </c>
      <c r="K169" s="1">
        <f t="shared" si="31"/>
        <v>2.9999999999999997E-4</v>
      </c>
      <c r="L169" s="1">
        <f t="shared" si="32"/>
        <v>0.24818581963359368</v>
      </c>
      <c r="M169" s="1">
        <f t="shared" si="33"/>
        <v>3.4722222222222224E-2</v>
      </c>
      <c r="N169" s="1">
        <v>235</v>
      </c>
      <c r="O169" s="1">
        <f t="shared" si="41"/>
        <v>3.2</v>
      </c>
      <c r="P169" s="1">
        <v>4148</v>
      </c>
      <c r="Q169" s="1">
        <f>[1]!HeatTransferArea(I169,D169,0.36,K169)</f>
        <v>0.62831853071795885</v>
      </c>
      <c r="R169" s="1">
        <f>[1]!Convection(I169,M169,1000,9*10^-4,K169,0.6,0.36,7)</f>
        <v>34434.600792169651</v>
      </c>
      <c r="S169" s="1">
        <f t="shared" si="34"/>
        <v>0.82315226773945127</v>
      </c>
      <c r="T169" s="1">
        <f t="shared" si="35"/>
        <v>1.99468085106383E-5</v>
      </c>
      <c r="U169" s="1">
        <f t="shared" si="36"/>
        <v>1.2466755319148938E-6</v>
      </c>
      <c r="V169" s="1">
        <f t="shared" si="37"/>
        <v>4</v>
      </c>
      <c r="W169" s="1">
        <f t="shared" si="38"/>
        <v>247.30838166564081</v>
      </c>
      <c r="X169" s="1">
        <f t="shared" si="39"/>
        <v>3.125</v>
      </c>
      <c r="Y169" s="1">
        <f t="shared" si="40"/>
        <v>0.21809807631827152</v>
      </c>
      <c r="Z169" s="1">
        <v>61.057342609999999</v>
      </c>
    </row>
    <row r="170" spans="1:26" x14ac:dyDescent="0.25">
      <c r="A170" s="1">
        <f>25</f>
        <v>25</v>
      </c>
      <c r="B170" s="1">
        <v>0.3</v>
      </c>
      <c r="C170" s="1">
        <v>5</v>
      </c>
      <c r="D170" s="1">
        <f t="shared" si="28"/>
        <v>0.125</v>
      </c>
      <c r="E170" s="1">
        <v>10</v>
      </c>
      <c r="F170" s="1">
        <v>0.5</v>
      </c>
      <c r="G170" s="1">
        <v>125</v>
      </c>
      <c r="H170" s="1">
        <v>50.619632709999998</v>
      </c>
      <c r="I170" s="1">
        <f t="shared" si="29"/>
        <v>2.5000000000000001E-2</v>
      </c>
      <c r="J170" s="1">
        <f t="shared" si="30"/>
        <v>0.125</v>
      </c>
      <c r="K170" s="1">
        <f t="shared" si="31"/>
        <v>2.9999999999999997E-4</v>
      </c>
      <c r="L170" s="1">
        <f t="shared" si="32"/>
        <v>0.31023227454199215</v>
      </c>
      <c r="M170" s="1">
        <f t="shared" si="33"/>
        <v>3.4722222222222224E-2</v>
      </c>
      <c r="N170" s="1">
        <v>235</v>
      </c>
      <c r="O170" s="1">
        <f t="shared" si="41"/>
        <v>3.2</v>
      </c>
      <c r="P170" s="1">
        <v>4148</v>
      </c>
      <c r="Q170" s="1">
        <f>[1]!HeatTransferArea(I170,D170,0.36,K170)</f>
        <v>0.7853981633974485</v>
      </c>
      <c r="R170" s="1">
        <f>[1]!Convection(I170,M170,1000,9*10^-4,K170,0.6,0.36,7)</f>
        <v>34434.600792169651</v>
      </c>
      <c r="S170" s="1">
        <f t="shared" si="34"/>
        <v>1.9755654425746827</v>
      </c>
      <c r="T170" s="1">
        <f t="shared" si="35"/>
        <v>1.0388962765957447E-5</v>
      </c>
      <c r="U170" s="1">
        <f t="shared" si="36"/>
        <v>4.1555851063829797E-7</v>
      </c>
      <c r="V170" s="1">
        <f t="shared" si="37"/>
        <v>5</v>
      </c>
      <c r="W170" s="1">
        <f t="shared" si="38"/>
        <v>741.92514499692231</v>
      </c>
      <c r="X170" s="1">
        <f t="shared" si="39"/>
        <v>3.125</v>
      </c>
      <c r="Y170" s="1">
        <f t="shared" si="40"/>
        <v>0.43395447149435451</v>
      </c>
      <c r="Z170" s="1">
        <v>50.619632709999998</v>
      </c>
    </row>
    <row r="171" spans="1:26" x14ac:dyDescent="0.25">
      <c r="A171" s="1">
        <f>25</f>
        <v>25</v>
      </c>
      <c r="B171" s="1">
        <v>0.3</v>
      </c>
      <c r="C171" s="1">
        <v>5</v>
      </c>
      <c r="D171" s="1">
        <f t="shared" si="28"/>
        <v>0.125</v>
      </c>
      <c r="E171" s="1">
        <v>10</v>
      </c>
      <c r="F171" s="1">
        <v>1</v>
      </c>
      <c r="G171" s="1">
        <v>125</v>
      </c>
      <c r="H171" s="1">
        <v>59.486497200000002</v>
      </c>
      <c r="I171" s="1">
        <f t="shared" si="29"/>
        <v>2.5000000000000001E-2</v>
      </c>
      <c r="J171" s="1">
        <f t="shared" si="30"/>
        <v>0.125</v>
      </c>
      <c r="K171" s="1">
        <f t="shared" si="31"/>
        <v>2.9999999999999997E-4</v>
      </c>
      <c r="L171" s="1">
        <f t="shared" si="32"/>
        <v>0.31023227454199215</v>
      </c>
      <c r="M171" s="1">
        <f t="shared" si="33"/>
        <v>3.4722222222222224E-2</v>
      </c>
      <c r="N171" s="1">
        <v>235</v>
      </c>
      <c r="O171" s="1">
        <f t="shared" si="41"/>
        <v>3.2</v>
      </c>
      <c r="P171" s="1">
        <v>4148</v>
      </c>
      <c r="Q171" s="1">
        <f>[1]!HeatTransferArea(I171,D171,0.36,K171)</f>
        <v>0.7853981633974485</v>
      </c>
      <c r="R171" s="1">
        <f>[1]!Convection(I171,M171,1000,9*10^-4,K171,0.6,0.36,7)</f>
        <v>34434.600792169651</v>
      </c>
      <c r="S171" s="1">
        <f t="shared" si="34"/>
        <v>0.98778272128734135</v>
      </c>
      <c r="T171" s="1">
        <f t="shared" si="35"/>
        <v>2.0777925531914893E-5</v>
      </c>
      <c r="U171" s="1">
        <f t="shared" si="36"/>
        <v>8.3111702127659595E-7</v>
      </c>
      <c r="V171" s="1">
        <f t="shared" si="37"/>
        <v>5</v>
      </c>
      <c r="W171" s="1">
        <f t="shared" si="38"/>
        <v>370.96257249846116</v>
      </c>
      <c r="X171" s="1">
        <f t="shared" si="39"/>
        <v>3.125</v>
      </c>
      <c r="Y171" s="1">
        <f t="shared" si="40"/>
        <v>0.25498438127126827</v>
      </c>
      <c r="Z171" s="1">
        <v>59.486497200000002</v>
      </c>
    </row>
    <row r="172" spans="1:26" x14ac:dyDescent="0.25">
      <c r="A172" s="1">
        <f>25</f>
        <v>25</v>
      </c>
      <c r="B172" s="1">
        <v>0.3</v>
      </c>
      <c r="C172" s="1">
        <v>5</v>
      </c>
      <c r="D172" s="1">
        <f t="shared" si="28"/>
        <v>0.125</v>
      </c>
      <c r="E172" s="1">
        <v>10</v>
      </c>
      <c r="F172" s="1">
        <v>1.5</v>
      </c>
      <c r="G172" s="1">
        <v>125</v>
      </c>
      <c r="H172" s="1">
        <v>59.740393910000002</v>
      </c>
      <c r="I172" s="1">
        <f t="shared" si="29"/>
        <v>2.5000000000000001E-2</v>
      </c>
      <c r="J172" s="1">
        <f t="shared" si="30"/>
        <v>0.125</v>
      </c>
      <c r="K172" s="1">
        <f t="shared" si="31"/>
        <v>2.9999999999999997E-4</v>
      </c>
      <c r="L172" s="1">
        <f t="shared" si="32"/>
        <v>0.31023227454199215</v>
      </c>
      <c r="M172" s="1">
        <f t="shared" si="33"/>
        <v>3.4722222222222224E-2</v>
      </c>
      <c r="N172" s="1">
        <v>235</v>
      </c>
      <c r="O172" s="1">
        <f t="shared" si="41"/>
        <v>3.2</v>
      </c>
      <c r="P172" s="1">
        <v>4148</v>
      </c>
      <c r="Q172" s="1">
        <f>[1]!HeatTransferArea(I172,D172,0.36,K172)</f>
        <v>0.7853981633974485</v>
      </c>
      <c r="R172" s="1">
        <f>[1]!Convection(I172,M172,1000,9*10^-4,K172,0.6,0.36,7)</f>
        <v>34434.600792169651</v>
      </c>
      <c r="S172" s="1">
        <f t="shared" si="34"/>
        <v>0.65852181419156086</v>
      </c>
      <c r="T172" s="1">
        <f t="shared" si="35"/>
        <v>3.1166888297872338E-5</v>
      </c>
      <c r="U172" s="1">
        <f t="shared" si="36"/>
        <v>1.2466755319148938E-6</v>
      </c>
      <c r="V172" s="1">
        <f t="shared" si="37"/>
        <v>5</v>
      </c>
      <c r="W172" s="1">
        <f t="shared" si="38"/>
        <v>247.30838166564075</v>
      </c>
      <c r="X172" s="1">
        <f t="shared" si="39"/>
        <v>3.125</v>
      </c>
      <c r="Y172" s="1">
        <f t="shared" si="40"/>
        <v>0.17071512690606802</v>
      </c>
      <c r="Z172" s="1">
        <v>59.740393910000002</v>
      </c>
    </row>
    <row r="173" spans="1:26" s="2" customFormat="1" x14ac:dyDescent="0.25">
      <c r="A173" s="1">
        <f>25</f>
        <v>25</v>
      </c>
      <c r="B173" s="1">
        <v>0.4</v>
      </c>
      <c r="C173" s="1">
        <v>3</v>
      </c>
      <c r="D173" s="1">
        <f t="shared" si="28"/>
        <v>7.4999999999999997E-2</v>
      </c>
      <c r="E173" s="1">
        <v>10</v>
      </c>
      <c r="F173" s="1">
        <v>0.5</v>
      </c>
      <c r="G173" s="1">
        <v>125</v>
      </c>
      <c r="H173" s="1">
        <v>-94.126235469999997</v>
      </c>
      <c r="I173" s="1">
        <f t="shared" si="29"/>
        <v>2.5000000000000001E-2</v>
      </c>
      <c r="J173" s="1">
        <f t="shared" si="30"/>
        <v>7.4999999999999997E-2</v>
      </c>
      <c r="K173" s="1">
        <f t="shared" si="31"/>
        <v>4.0000000000000002E-4</v>
      </c>
      <c r="L173" s="1">
        <f t="shared" si="32"/>
        <v>0.18613936472519524</v>
      </c>
      <c r="M173" s="1">
        <f t="shared" si="33"/>
        <v>3.4722222222222224E-2</v>
      </c>
      <c r="N173" s="1">
        <v>235</v>
      </c>
      <c r="O173" s="1">
        <f t="shared" si="41"/>
        <v>3.2</v>
      </c>
      <c r="P173" s="1">
        <v>4148</v>
      </c>
      <c r="Q173" s="1">
        <f>[1]!HeatTransferArea(I173,D173,0.36,K173)</f>
        <v>0.35342917352885178</v>
      </c>
      <c r="R173" s="1">
        <f>[1]!Convection(I173,M173,1000,9*10^-4,K173,0.6,0.36,7)</f>
        <v>26107.16213192913</v>
      </c>
      <c r="S173" s="1">
        <f t="shared" si="34"/>
        <v>3.2926090709578055</v>
      </c>
      <c r="T173" s="1">
        <f t="shared" si="35"/>
        <v>3.7400265957446807E-6</v>
      </c>
      <c r="U173" s="1">
        <f t="shared" si="36"/>
        <v>4.1555851063829797E-7</v>
      </c>
      <c r="V173" s="1">
        <f t="shared" si="37"/>
        <v>3</v>
      </c>
      <c r="W173" s="1">
        <f t="shared" si="38"/>
        <v>421.87711497865558</v>
      </c>
      <c r="X173" s="1">
        <f t="shared" si="39"/>
        <v>3.125</v>
      </c>
      <c r="Y173" s="1">
        <f t="shared" si="40"/>
        <v>-1.3448833512597353</v>
      </c>
      <c r="Z173" s="1">
        <v>-94.126235469999997</v>
      </c>
    </row>
    <row r="174" spans="1:26" x14ac:dyDescent="0.25">
      <c r="A174" s="1">
        <f>25</f>
        <v>25</v>
      </c>
      <c r="B174" s="1">
        <v>0.4</v>
      </c>
      <c r="C174" s="1">
        <v>3</v>
      </c>
      <c r="D174" s="1">
        <f t="shared" si="28"/>
        <v>7.4999999999999997E-2</v>
      </c>
      <c r="E174" s="1">
        <v>10</v>
      </c>
      <c r="F174" s="1">
        <v>1</v>
      </c>
      <c r="G174" s="1">
        <v>125</v>
      </c>
      <c r="H174" s="1">
        <v>56.099723279999999</v>
      </c>
      <c r="I174" s="1">
        <f t="shared" si="29"/>
        <v>2.5000000000000001E-2</v>
      </c>
      <c r="J174" s="1">
        <f t="shared" si="30"/>
        <v>7.4999999999999997E-2</v>
      </c>
      <c r="K174" s="1">
        <f t="shared" si="31"/>
        <v>4.0000000000000002E-4</v>
      </c>
      <c r="L174" s="1">
        <f t="shared" si="32"/>
        <v>0.18613936472519524</v>
      </c>
      <c r="M174" s="1">
        <f t="shared" si="33"/>
        <v>3.4722222222222224E-2</v>
      </c>
      <c r="N174" s="1">
        <v>235</v>
      </c>
      <c r="O174" s="1">
        <f t="shared" si="41"/>
        <v>3.2</v>
      </c>
      <c r="P174" s="1">
        <v>4148</v>
      </c>
      <c r="Q174" s="1">
        <f>[1]!HeatTransferArea(I174,D174,0.36,K174)</f>
        <v>0.35342917352885178</v>
      </c>
      <c r="R174" s="1">
        <f>[1]!Convection(I174,M174,1000,9*10^-4,K174,0.6,0.36,7)</f>
        <v>26107.16213192913</v>
      </c>
      <c r="S174" s="1">
        <f t="shared" si="34"/>
        <v>1.6463045354789028</v>
      </c>
      <c r="T174" s="1">
        <f t="shared" si="35"/>
        <v>7.4800531914893613E-6</v>
      </c>
      <c r="U174" s="1">
        <f t="shared" si="36"/>
        <v>8.3111702127659595E-7</v>
      </c>
      <c r="V174" s="1">
        <f t="shared" si="37"/>
        <v>3</v>
      </c>
      <c r="W174" s="1">
        <f t="shared" si="38"/>
        <v>210.93855748932779</v>
      </c>
      <c r="X174" s="1">
        <f t="shared" si="39"/>
        <v>3.125</v>
      </c>
      <c r="Y174" s="1">
        <f t="shared" si="40"/>
        <v>0.40077871739381798</v>
      </c>
      <c r="Z174" s="1">
        <v>56.099723279999999</v>
      </c>
    </row>
    <row r="175" spans="1:26" x14ac:dyDescent="0.25">
      <c r="A175" s="1">
        <f>25</f>
        <v>25</v>
      </c>
      <c r="B175" s="1">
        <v>0.4</v>
      </c>
      <c r="C175" s="1">
        <v>3</v>
      </c>
      <c r="D175" s="1">
        <f t="shared" si="28"/>
        <v>7.4999999999999997E-2</v>
      </c>
      <c r="E175" s="1">
        <v>10</v>
      </c>
      <c r="F175" s="1">
        <v>1.5</v>
      </c>
      <c r="G175" s="1">
        <v>125</v>
      </c>
      <c r="H175" s="1">
        <v>61.366964459999998</v>
      </c>
      <c r="I175" s="1">
        <f t="shared" si="29"/>
        <v>2.5000000000000001E-2</v>
      </c>
      <c r="J175" s="1">
        <f t="shared" si="30"/>
        <v>7.4999999999999997E-2</v>
      </c>
      <c r="K175" s="1">
        <f t="shared" si="31"/>
        <v>4.0000000000000002E-4</v>
      </c>
      <c r="L175" s="1">
        <f t="shared" si="32"/>
        <v>0.18613936472519524</v>
      </c>
      <c r="M175" s="1">
        <f t="shared" si="33"/>
        <v>3.4722222222222224E-2</v>
      </c>
      <c r="N175" s="1">
        <v>235</v>
      </c>
      <c r="O175" s="1">
        <f t="shared" si="41"/>
        <v>3.2</v>
      </c>
      <c r="P175" s="1">
        <v>4148</v>
      </c>
      <c r="Q175" s="1">
        <f>[1]!HeatTransferArea(I175,D175,0.36,K175)</f>
        <v>0.35342917352885178</v>
      </c>
      <c r="R175" s="1">
        <f>[1]!Convection(I175,M175,1000,9*10^-4,K175,0.6,0.36,7)</f>
        <v>26107.16213192913</v>
      </c>
      <c r="S175" s="1">
        <f t="shared" si="34"/>
        <v>1.0975363569859351</v>
      </c>
      <c r="T175" s="1">
        <f t="shared" si="35"/>
        <v>1.1220079787234043E-5</v>
      </c>
      <c r="U175" s="1">
        <f t="shared" si="36"/>
        <v>1.2466755319148938E-6</v>
      </c>
      <c r="V175" s="1">
        <f t="shared" si="37"/>
        <v>3</v>
      </c>
      <c r="W175" s="1">
        <f t="shared" si="38"/>
        <v>140.62570499288518</v>
      </c>
      <c r="X175" s="1">
        <f t="shared" si="39"/>
        <v>3.125</v>
      </c>
      <c r="Y175" s="1">
        <f t="shared" si="40"/>
        <v>0.29227206919692561</v>
      </c>
      <c r="Z175" s="1">
        <v>61.366964459999998</v>
      </c>
    </row>
    <row r="176" spans="1:26" x14ac:dyDescent="0.25">
      <c r="A176" s="1">
        <f>25</f>
        <v>25</v>
      </c>
      <c r="B176" s="1">
        <v>0.4</v>
      </c>
      <c r="C176" s="1">
        <v>4</v>
      </c>
      <c r="D176" s="1">
        <f t="shared" si="28"/>
        <v>0.1</v>
      </c>
      <c r="E176" s="1">
        <v>10</v>
      </c>
      <c r="F176" s="1">
        <v>0.5</v>
      </c>
      <c r="G176" s="1">
        <v>125</v>
      </c>
      <c r="H176" s="1">
        <v>28.644961760000001</v>
      </c>
      <c r="I176" s="1">
        <f t="shared" si="29"/>
        <v>2.5000000000000001E-2</v>
      </c>
      <c r="J176" s="1">
        <f t="shared" si="30"/>
        <v>0.1</v>
      </c>
      <c r="K176" s="1">
        <f t="shared" si="31"/>
        <v>4.0000000000000002E-4</v>
      </c>
      <c r="L176" s="1">
        <f t="shared" si="32"/>
        <v>0.24818581963359368</v>
      </c>
      <c r="M176" s="1">
        <f t="shared" si="33"/>
        <v>3.4722222222222224E-2</v>
      </c>
      <c r="N176" s="1">
        <v>235</v>
      </c>
      <c r="O176" s="1">
        <f t="shared" si="41"/>
        <v>3.2</v>
      </c>
      <c r="P176" s="1">
        <v>4148</v>
      </c>
      <c r="Q176" s="1">
        <f>[1]!HeatTransferArea(I176,D176,0.36,K176)</f>
        <v>0.47123889803846908</v>
      </c>
      <c r="R176" s="1">
        <f>[1]!Convection(I176,M176,1000,9*10^-4,K176,0.6,0.36,7)</f>
        <v>26107.16213192913</v>
      </c>
      <c r="S176" s="1">
        <f t="shared" si="34"/>
        <v>2.4694568032183537</v>
      </c>
      <c r="T176" s="1">
        <f t="shared" si="35"/>
        <v>6.6489361702127676E-6</v>
      </c>
      <c r="U176" s="1">
        <f t="shared" si="36"/>
        <v>4.1555851063829797E-7</v>
      </c>
      <c r="V176" s="1">
        <f t="shared" si="37"/>
        <v>4</v>
      </c>
      <c r="W176" s="1">
        <f t="shared" si="38"/>
        <v>421.87711497865553</v>
      </c>
      <c r="X176" s="1">
        <f t="shared" si="39"/>
        <v>3.125</v>
      </c>
      <c r="Y176" s="1">
        <f t="shared" si="40"/>
        <v>0.30696116743753826</v>
      </c>
      <c r="Z176" s="1">
        <v>28.644961760000001</v>
      </c>
    </row>
    <row r="177" spans="1:26" x14ac:dyDescent="0.25">
      <c r="A177" s="1">
        <f>25</f>
        <v>25</v>
      </c>
      <c r="B177" s="1">
        <v>0.4</v>
      </c>
      <c r="C177" s="1">
        <v>4</v>
      </c>
      <c r="D177" s="1">
        <f t="shared" si="28"/>
        <v>0.1</v>
      </c>
      <c r="E177" s="1">
        <v>10</v>
      </c>
      <c r="F177" s="1">
        <v>1</v>
      </c>
      <c r="G177" s="1">
        <v>125</v>
      </c>
      <c r="H177" s="1">
        <v>60.299767660000001</v>
      </c>
      <c r="I177" s="1">
        <f t="shared" si="29"/>
        <v>2.5000000000000001E-2</v>
      </c>
      <c r="J177" s="1">
        <f t="shared" si="30"/>
        <v>0.1</v>
      </c>
      <c r="K177" s="1">
        <f t="shared" si="31"/>
        <v>4.0000000000000002E-4</v>
      </c>
      <c r="L177" s="1">
        <f t="shared" si="32"/>
        <v>0.24818581963359368</v>
      </c>
      <c r="M177" s="1">
        <f t="shared" si="33"/>
        <v>3.4722222222222224E-2</v>
      </c>
      <c r="N177" s="1">
        <v>235</v>
      </c>
      <c r="O177" s="1">
        <f t="shared" si="41"/>
        <v>3.2</v>
      </c>
      <c r="P177" s="1">
        <v>4148</v>
      </c>
      <c r="Q177" s="1">
        <f>[1]!HeatTransferArea(I177,D177,0.36,K177)</f>
        <v>0.47123889803846908</v>
      </c>
      <c r="R177" s="1">
        <f>[1]!Convection(I177,M177,1000,9*10^-4,K177,0.6,0.36,7)</f>
        <v>26107.16213192913</v>
      </c>
      <c r="S177" s="1">
        <f t="shared" si="34"/>
        <v>1.2347284016091769</v>
      </c>
      <c r="T177" s="1">
        <f t="shared" si="35"/>
        <v>1.3297872340425535E-5</v>
      </c>
      <c r="U177" s="1">
        <f t="shared" si="36"/>
        <v>8.3111702127659595E-7</v>
      </c>
      <c r="V177" s="1">
        <f t="shared" si="37"/>
        <v>4</v>
      </c>
      <c r="W177" s="1">
        <f t="shared" si="38"/>
        <v>210.93855748932776</v>
      </c>
      <c r="X177" s="1">
        <f t="shared" si="39"/>
        <v>3.125</v>
      </c>
      <c r="Y177" s="1">
        <f t="shared" si="40"/>
        <v>0.32308800465869281</v>
      </c>
      <c r="Z177" s="1">
        <v>60.299767660000001</v>
      </c>
    </row>
    <row r="178" spans="1:26" x14ac:dyDescent="0.25">
      <c r="A178" s="1">
        <f>25</f>
        <v>25</v>
      </c>
      <c r="B178" s="1">
        <v>0.4</v>
      </c>
      <c r="C178" s="1">
        <v>4</v>
      </c>
      <c r="D178" s="1">
        <f t="shared" si="28"/>
        <v>0.1</v>
      </c>
      <c r="E178" s="1">
        <v>10</v>
      </c>
      <c r="F178" s="1">
        <v>1.5</v>
      </c>
      <c r="G178" s="1">
        <v>125</v>
      </c>
      <c r="H178" s="1">
        <v>62.196564709999997</v>
      </c>
      <c r="I178" s="1">
        <f t="shared" si="29"/>
        <v>2.5000000000000001E-2</v>
      </c>
      <c r="J178" s="1">
        <f t="shared" si="30"/>
        <v>0.1</v>
      </c>
      <c r="K178" s="1">
        <f t="shared" si="31"/>
        <v>4.0000000000000002E-4</v>
      </c>
      <c r="L178" s="1">
        <f t="shared" si="32"/>
        <v>0.24818581963359368</v>
      </c>
      <c r="M178" s="1">
        <f t="shared" si="33"/>
        <v>3.4722222222222224E-2</v>
      </c>
      <c r="N178" s="1">
        <v>235</v>
      </c>
      <c r="O178" s="1">
        <f t="shared" si="41"/>
        <v>3.2</v>
      </c>
      <c r="P178" s="1">
        <v>4148</v>
      </c>
      <c r="Q178" s="1">
        <f>[1]!HeatTransferArea(I178,D178,0.36,K178)</f>
        <v>0.47123889803846908</v>
      </c>
      <c r="R178" s="1">
        <f>[1]!Convection(I178,M178,1000,9*10^-4,K178,0.6,0.36,7)</f>
        <v>26107.16213192913</v>
      </c>
      <c r="S178" s="1">
        <f t="shared" si="34"/>
        <v>0.82315226773945127</v>
      </c>
      <c r="T178" s="1">
        <f t="shared" si="35"/>
        <v>1.99468085106383E-5</v>
      </c>
      <c r="U178" s="1">
        <f t="shared" si="36"/>
        <v>1.2466755319148938E-6</v>
      </c>
      <c r="V178" s="1">
        <f t="shared" si="37"/>
        <v>4</v>
      </c>
      <c r="W178" s="1">
        <f t="shared" si="38"/>
        <v>140.62570499288518</v>
      </c>
      <c r="X178" s="1">
        <f t="shared" si="39"/>
        <v>3.125</v>
      </c>
      <c r="Y178" s="1">
        <f t="shared" si="40"/>
        <v>0.22216740095456133</v>
      </c>
      <c r="Z178" s="1">
        <v>62.196564709999997</v>
      </c>
    </row>
    <row r="179" spans="1:26" x14ac:dyDescent="0.25">
      <c r="A179" s="1">
        <f>25</f>
        <v>25</v>
      </c>
      <c r="B179" s="1">
        <v>0.4</v>
      </c>
      <c r="C179" s="1">
        <v>5</v>
      </c>
      <c r="D179" s="1">
        <f t="shared" si="28"/>
        <v>0.125</v>
      </c>
      <c r="E179" s="1">
        <v>10</v>
      </c>
      <c r="F179" s="1">
        <v>0.5</v>
      </c>
      <c r="G179" s="1">
        <v>125</v>
      </c>
      <c r="H179" s="1">
        <v>50.81872473</v>
      </c>
      <c r="I179" s="1">
        <f t="shared" si="29"/>
        <v>2.5000000000000001E-2</v>
      </c>
      <c r="J179" s="1">
        <f t="shared" si="30"/>
        <v>0.125</v>
      </c>
      <c r="K179" s="1">
        <f t="shared" si="31"/>
        <v>4.0000000000000002E-4</v>
      </c>
      <c r="L179" s="1">
        <f t="shared" si="32"/>
        <v>0.31023227454199215</v>
      </c>
      <c r="M179" s="1">
        <f t="shared" si="33"/>
        <v>3.4722222222222224E-2</v>
      </c>
      <c r="N179" s="1">
        <v>235</v>
      </c>
      <c r="O179" s="1">
        <f t="shared" si="41"/>
        <v>3.2</v>
      </c>
      <c r="P179" s="1">
        <v>4148</v>
      </c>
      <c r="Q179" s="1">
        <f>[1]!HeatTransferArea(I179,D179,0.36,K179)</f>
        <v>0.58904862254808632</v>
      </c>
      <c r="R179" s="1">
        <f>[1]!Convection(I179,M179,1000,9*10^-4,K179,0.6,0.36,7)</f>
        <v>26107.16213192913</v>
      </c>
      <c r="S179" s="1">
        <f t="shared" si="34"/>
        <v>1.9755654425746827</v>
      </c>
      <c r="T179" s="1">
        <f t="shared" si="35"/>
        <v>1.0388962765957447E-5</v>
      </c>
      <c r="U179" s="1">
        <f t="shared" si="36"/>
        <v>4.1555851063829797E-7</v>
      </c>
      <c r="V179" s="1">
        <f t="shared" si="37"/>
        <v>5</v>
      </c>
      <c r="W179" s="1">
        <f t="shared" si="38"/>
        <v>421.87711497865547</v>
      </c>
      <c r="X179" s="1">
        <f t="shared" si="39"/>
        <v>3.125</v>
      </c>
      <c r="Y179" s="1">
        <f t="shared" si="40"/>
        <v>0.43566125733400712</v>
      </c>
      <c r="Z179" s="1">
        <v>50.81872473</v>
      </c>
    </row>
    <row r="180" spans="1:26" x14ac:dyDescent="0.25">
      <c r="A180" s="1">
        <f>25</f>
        <v>25</v>
      </c>
      <c r="B180" s="1">
        <v>0.4</v>
      </c>
      <c r="C180" s="1">
        <v>5</v>
      </c>
      <c r="D180" s="1">
        <f t="shared" si="28"/>
        <v>0.125</v>
      </c>
      <c r="E180" s="1">
        <v>10</v>
      </c>
      <c r="F180" s="1">
        <v>1</v>
      </c>
      <c r="G180" s="1">
        <v>125</v>
      </c>
      <c r="H180" s="1">
        <v>61.089273630000001</v>
      </c>
      <c r="I180" s="1">
        <f t="shared" si="29"/>
        <v>2.5000000000000001E-2</v>
      </c>
      <c r="J180" s="1">
        <f t="shared" si="30"/>
        <v>0.125</v>
      </c>
      <c r="K180" s="1">
        <f t="shared" si="31"/>
        <v>4.0000000000000002E-4</v>
      </c>
      <c r="L180" s="1">
        <f t="shared" si="32"/>
        <v>0.31023227454199215</v>
      </c>
      <c r="M180" s="1">
        <f t="shared" si="33"/>
        <v>3.4722222222222224E-2</v>
      </c>
      <c r="N180" s="1">
        <v>235</v>
      </c>
      <c r="O180" s="1">
        <f t="shared" si="41"/>
        <v>3.2</v>
      </c>
      <c r="P180" s="1">
        <v>4148</v>
      </c>
      <c r="Q180" s="1">
        <f>[1]!HeatTransferArea(I180,D180,0.36,K180)</f>
        <v>0.58904862254808632</v>
      </c>
      <c r="R180" s="1">
        <f>[1]!Convection(I180,M180,1000,9*10^-4,K180,0.6,0.36,7)</f>
        <v>26107.16213192913</v>
      </c>
      <c r="S180" s="1">
        <f t="shared" si="34"/>
        <v>0.98778272128734135</v>
      </c>
      <c r="T180" s="1">
        <f t="shared" si="35"/>
        <v>2.0777925531914893E-5</v>
      </c>
      <c r="U180" s="1">
        <f t="shared" si="36"/>
        <v>8.3111702127659595E-7</v>
      </c>
      <c r="V180" s="1">
        <f t="shared" si="37"/>
        <v>5</v>
      </c>
      <c r="W180" s="1">
        <f t="shared" si="38"/>
        <v>210.93855748932774</v>
      </c>
      <c r="X180" s="1">
        <f t="shared" si="39"/>
        <v>3.125</v>
      </c>
      <c r="Y180" s="1">
        <f t="shared" si="40"/>
        <v>0.2618545614895737</v>
      </c>
      <c r="Z180" s="1">
        <v>61.089273630000001</v>
      </c>
    </row>
    <row r="181" spans="1:26" x14ac:dyDescent="0.25">
      <c r="A181" s="1">
        <f>25</f>
        <v>25</v>
      </c>
      <c r="B181" s="1">
        <v>0.4</v>
      </c>
      <c r="C181" s="1">
        <v>5</v>
      </c>
      <c r="D181" s="1">
        <f t="shared" si="28"/>
        <v>0.125</v>
      </c>
      <c r="E181" s="1">
        <v>10</v>
      </c>
      <c r="F181" s="1">
        <v>1.5</v>
      </c>
      <c r="G181" s="1">
        <v>125</v>
      </c>
      <c r="H181" s="1">
        <v>61.774975189999999</v>
      </c>
      <c r="I181" s="1">
        <f t="shared" si="29"/>
        <v>2.5000000000000001E-2</v>
      </c>
      <c r="J181" s="1">
        <f t="shared" si="30"/>
        <v>0.125</v>
      </c>
      <c r="K181" s="1">
        <f t="shared" si="31"/>
        <v>4.0000000000000002E-4</v>
      </c>
      <c r="L181" s="1">
        <f t="shared" si="32"/>
        <v>0.31023227454199215</v>
      </c>
      <c r="M181" s="1">
        <f t="shared" si="33"/>
        <v>3.4722222222222224E-2</v>
      </c>
      <c r="N181" s="1">
        <v>235</v>
      </c>
      <c r="O181" s="1">
        <f t="shared" si="41"/>
        <v>3.2</v>
      </c>
      <c r="P181" s="1">
        <v>4148</v>
      </c>
      <c r="Q181" s="1">
        <f>[1]!HeatTransferArea(I181,D181,0.36,K181)</f>
        <v>0.58904862254808632</v>
      </c>
      <c r="R181" s="1">
        <f>[1]!Convection(I181,M181,1000,9*10^-4,K181,0.6,0.36,7)</f>
        <v>26107.16213192913</v>
      </c>
      <c r="S181" s="1">
        <f t="shared" si="34"/>
        <v>0.65852181419156086</v>
      </c>
      <c r="T181" s="1">
        <f t="shared" si="35"/>
        <v>3.1166888297872338E-5</v>
      </c>
      <c r="U181" s="1">
        <f t="shared" si="36"/>
        <v>1.2466755319148938E-6</v>
      </c>
      <c r="V181" s="1">
        <f t="shared" si="37"/>
        <v>5</v>
      </c>
      <c r="W181" s="1">
        <f t="shared" si="38"/>
        <v>140.62570499288515</v>
      </c>
      <c r="X181" s="1">
        <f t="shared" si="39"/>
        <v>3.125</v>
      </c>
      <c r="Y181" s="1">
        <f t="shared" si="40"/>
        <v>0.17652917965468523</v>
      </c>
      <c r="Z181" s="1">
        <v>61.774975189999999</v>
      </c>
    </row>
    <row r="182" spans="1:26" x14ac:dyDescent="0.25">
      <c r="A182" s="1">
        <f>25</f>
        <v>25</v>
      </c>
      <c r="B182" s="1">
        <v>0.5</v>
      </c>
      <c r="C182" s="1">
        <v>3</v>
      </c>
      <c r="D182" s="1">
        <f t="shared" si="28"/>
        <v>7.4999999999999997E-2</v>
      </c>
      <c r="E182" s="1">
        <v>10</v>
      </c>
      <c r="F182" s="1">
        <v>0.5</v>
      </c>
      <c r="G182" s="1">
        <v>125</v>
      </c>
      <c r="H182" s="1">
        <v>-94.149202669999994</v>
      </c>
      <c r="I182" s="1">
        <f t="shared" si="29"/>
        <v>2.5000000000000001E-2</v>
      </c>
      <c r="J182" s="1">
        <f t="shared" si="30"/>
        <v>7.4999999999999997E-2</v>
      </c>
      <c r="K182" s="1">
        <f t="shared" si="31"/>
        <v>5.0000000000000001E-4</v>
      </c>
      <c r="L182" s="1">
        <f t="shared" si="32"/>
        <v>0.18613936472519524</v>
      </c>
      <c r="M182" s="1">
        <f t="shared" si="33"/>
        <v>3.4722222222222224E-2</v>
      </c>
      <c r="N182" s="1">
        <v>235</v>
      </c>
      <c r="O182" s="1">
        <f t="shared" si="41"/>
        <v>3.2</v>
      </c>
      <c r="P182" s="1">
        <v>4148</v>
      </c>
      <c r="Q182" s="1">
        <f>[1]!HeatTransferArea(I182,D182,0.36,K182)</f>
        <v>0.28274333882308145</v>
      </c>
      <c r="R182" s="1">
        <f>[1]!Convection(I182,M182,1000,9*10^-4,K182,0.6,0.36,7)</f>
        <v>21089.028408370741</v>
      </c>
      <c r="S182" s="1">
        <f t="shared" si="34"/>
        <v>3.2926090709578055</v>
      </c>
      <c r="T182" s="1">
        <f t="shared" si="35"/>
        <v>3.7400265957446807E-6</v>
      </c>
      <c r="U182" s="1">
        <f t="shared" si="36"/>
        <v>4.1555851063829797E-7</v>
      </c>
      <c r="V182" s="1">
        <f t="shared" si="37"/>
        <v>3</v>
      </c>
      <c r="W182" s="1">
        <f t="shared" si="38"/>
        <v>272.62950810713602</v>
      </c>
      <c r="X182" s="1">
        <f t="shared" si="39"/>
        <v>3.125</v>
      </c>
      <c r="Y182" s="1">
        <f t="shared" si="40"/>
        <v>-1.3452115084918908</v>
      </c>
      <c r="Z182" s="1">
        <v>-94.149202669999994</v>
      </c>
    </row>
    <row r="183" spans="1:26" x14ac:dyDescent="0.25">
      <c r="A183" s="1">
        <f>25</f>
        <v>25</v>
      </c>
      <c r="B183" s="1">
        <v>0.5</v>
      </c>
      <c r="C183" s="1">
        <v>3</v>
      </c>
      <c r="D183" s="1">
        <f t="shared" si="28"/>
        <v>7.4999999999999997E-2</v>
      </c>
      <c r="E183" s="1">
        <v>10</v>
      </c>
      <c r="F183" s="1">
        <v>1</v>
      </c>
      <c r="G183" s="1">
        <v>125</v>
      </c>
      <c r="H183" s="1">
        <v>53.850983890000002</v>
      </c>
      <c r="I183" s="1">
        <f t="shared" si="29"/>
        <v>2.5000000000000001E-2</v>
      </c>
      <c r="J183" s="1">
        <f t="shared" si="30"/>
        <v>7.4999999999999997E-2</v>
      </c>
      <c r="K183" s="1">
        <f t="shared" si="31"/>
        <v>5.0000000000000001E-4</v>
      </c>
      <c r="L183" s="1">
        <f t="shared" si="32"/>
        <v>0.18613936472519524</v>
      </c>
      <c r="M183" s="1">
        <f t="shared" si="33"/>
        <v>3.4722222222222224E-2</v>
      </c>
      <c r="N183" s="1">
        <v>235</v>
      </c>
      <c r="O183" s="1">
        <f t="shared" si="41"/>
        <v>3.2</v>
      </c>
      <c r="P183" s="1">
        <v>4148</v>
      </c>
      <c r="Q183" s="1">
        <f>[1]!HeatTransferArea(I183,D183,0.36,K183)</f>
        <v>0.28274333882308145</v>
      </c>
      <c r="R183" s="1">
        <f>[1]!Convection(I183,M183,1000,9*10^-4,K183,0.6,0.36,7)</f>
        <v>21089.028408370741</v>
      </c>
      <c r="S183" s="1">
        <f t="shared" si="34"/>
        <v>1.6463045354789028</v>
      </c>
      <c r="T183" s="1">
        <f t="shared" si="35"/>
        <v>7.4800531914893613E-6</v>
      </c>
      <c r="U183" s="1">
        <f t="shared" si="36"/>
        <v>8.3111702127659595E-7</v>
      </c>
      <c r="V183" s="1">
        <f t="shared" si="37"/>
        <v>3</v>
      </c>
      <c r="W183" s="1">
        <f t="shared" si="38"/>
        <v>136.31475405356801</v>
      </c>
      <c r="X183" s="1">
        <f t="shared" si="39"/>
        <v>3.125</v>
      </c>
      <c r="Y183" s="1">
        <f t="shared" si="40"/>
        <v>0.38471363122612101</v>
      </c>
      <c r="Z183" s="1">
        <v>53.850983890000002</v>
      </c>
    </row>
    <row r="184" spans="1:26" x14ac:dyDescent="0.25">
      <c r="A184" s="1">
        <f>25</f>
        <v>25</v>
      </c>
      <c r="B184" s="1">
        <v>0.5</v>
      </c>
      <c r="C184" s="1">
        <v>3</v>
      </c>
      <c r="D184" s="1">
        <f t="shared" si="28"/>
        <v>7.4999999999999997E-2</v>
      </c>
      <c r="E184" s="1">
        <v>10</v>
      </c>
      <c r="F184" s="1">
        <v>1.5</v>
      </c>
      <c r="G184" s="1">
        <v>125</v>
      </c>
      <c r="H184" s="1">
        <v>59.900628730000001</v>
      </c>
      <c r="I184" s="1">
        <f t="shared" si="29"/>
        <v>2.5000000000000001E-2</v>
      </c>
      <c r="J184" s="1">
        <f t="shared" si="30"/>
        <v>7.4999999999999997E-2</v>
      </c>
      <c r="K184" s="1">
        <f t="shared" si="31"/>
        <v>5.0000000000000001E-4</v>
      </c>
      <c r="L184" s="1">
        <f t="shared" si="32"/>
        <v>0.18613936472519524</v>
      </c>
      <c r="M184" s="1">
        <f t="shared" si="33"/>
        <v>3.4722222222222224E-2</v>
      </c>
      <c r="N184" s="1">
        <v>235</v>
      </c>
      <c r="O184" s="1">
        <f t="shared" si="41"/>
        <v>3.2</v>
      </c>
      <c r="P184" s="1">
        <v>4148</v>
      </c>
      <c r="Q184" s="1">
        <f>[1]!HeatTransferArea(I184,D184,0.36,K184)</f>
        <v>0.28274333882308145</v>
      </c>
      <c r="R184" s="1">
        <f>[1]!Convection(I184,M184,1000,9*10^-4,K184,0.6,0.36,7)</f>
        <v>21089.028408370741</v>
      </c>
      <c r="S184" s="1">
        <f t="shared" si="34"/>
        <v>1.0975363569859351</v>
      </c>
      <c r="T184" s="1">
        <f t="shared" si="35"/>
        <v>1.1220079787234043E-5</v>
      </c>
      <c r="U184" s="1">
        <f t="shared" si="36"/>
        <v>1.2466755319148938E-6</v>
      </c>
      <c r="V184" s="1">
        <f t="shared" si="37"/>
        <v>3</v>
      </c>
      <c r="W184" s="1">
        <f t="shared" si="38"/>
        <v>90.876502702378659</v>
      </c>
      <c r="X184" s="1">
        <f t="shared" si="39"/>
        <v>3.125</v>
      </c>
      <c r="Y184" s="1">
        <f t="shared" si="40"/>
        <v>0.28528836091486071</v>
      </c>
      <c r="Z184" s="1">
        <v>59.900628730000001</v>
      </c>
    </row>
    <row r="185" spans="1:26" x14ac:dyDescent="0.25">
      <c r="A185" s="1">
        <f>25</f>
        <v>25</v>
      </c>
      <c r="B185" s="1">
        <v>0.5</v>
      </c>
      <c r="C185" s="1">
        <v>4</v>
      </c>
      <c r="D185" s="1">
        <f t="shared" si="28"/>
        <v>0.1</v>
      </c>
      <c r="E185" s="1">
        <v>10</v>
      </c>
      <c r="F185" s="1">
        <v>0.5</v>
      </c>
      <c r="G185" s="1">
        <v>125</v>
      </c>
      <c r="H185" s="1">
        <v>25.945378099999999</v>
      </c>
      <c r="I185" s="1">
        <f t="shared" si="29"/>
        <v>2.5000000000000001E-2</v>
      </c>
      <c r="J185" s="1">
        <f t="shared" si="30"/>
        <v>0.1</v>
      </c>
      <c r="K185" s="1">
        <f t="shared" si="31"/>
        <v>5.0000000000000001E-4</v>
      </c>
      <c r="L185" s="1">
        <f t="shared" si="32"/>
        <v>0.24818581963359368</v>
      </c>
      <c r="M185" s="1">
        <f t="shared" si="33"/>
        <v>3.4722222222222224E-2</v>
      </c>
      <c r="N185" s="1">
        <v>235</v>
      </c>
      <c r="O185" s="1">
        <f t="shared" si="41"/>
        <v>3.2</v>
      </c>
      <c r="P185" s="1">
        <v>4148</v>
      </c>
      <c r="Q185" s="1">
        <f>[1]!HeatTransferArea(I185,D185,0.36,K185)</f>
        <v>0.37699111843077526</v>
      </c>
      <c r="R185" s="1">
        <f>[1]!Convection(I185,M185,1000,9*10^-4,K185,0.6,0.36,7)</f>
        <v>21089.028408370741</v>
      </c>
      <c r="S185" s="1">
        <f t="shared" si="34"/>
        <v>2.4694568032183537</v>
      </c>
      <c r="T185" s="1">
        <f t="shared" si="35"/>
        <v>6.6489361702127676E-6</v>
      </c>
      <c r="U185" s="1">
        <f t="shared" si="36"/>
        <v>4.1555851063829797E-7</v>
      </c>
      <c r="V185" s="1">
        <f t="shared" si="37"/>
        <v>4</v>
      </c>
      <c r="W185" s="1">
        <f t="shared" si="38"/>
        <v>272.62950810713596</v>
      </c>
      <c r="X185" s="1">
        <f t="shared" si="39"/>
        <v>3.125</v>
      </c>
      <c r="Y185" s="1">
        <f t="shared" si="40"/>
        <v>0.27803226333175379</v>
      </c>
      <c r="Z185" s="1">
        <v>25.945378099999999</v>
      </c>
    </row>
    <row r="186" spans="1:26" x14ac:dyDescent="0.25">
      <c r="A186" s="1">
        <f>25</f>
        <v>25</v>
      </c>
      <c r="B186" s="1">
        <v>0.5</v>
      </c>
      <c r="C186" s="1">
        <v>4</v>
      </c>
      <c r="D186" s="1">
        <f t="shared" si="28"/>
        <v>0.1</v>
      </c>
      <c r="E186" s="1">
        <v>10</v>
      </c>
      <c r="F186" s="1">
        <v>1</v>
      </c>
      <c r="G186" s="1">
        <v>125</v>
      </c>
      <c r="H186" s="1">
        <v>59.538602760000003</v>
      </c>
      <c r="I186" s="1">
        <f t="shared" si="29"/>
        <v>2.5000000000000001E-2</v>
      </c>
      <c r="J186" s="1">
        <f t="shared" si="30"/>
        <v>0.1</v>
      </c>
      <c r="K186" s="1">
        <f t="shared" si="31"/>
        <v>5.0000000000000001E-4</v>
      </c>
      <c r="L186" s="1">
        <f t="shared" si="32"/>
        <v>0.24818581963359368</v>
      </c>
      <c r="M186" s="1">
        <f t="shared" si="33"/>
        <v>3.4722222222222224E-2</v>
      </c>
      <c r="N186" s="1">
        <v>235</v>
      </c>
      <c r="O186" s="1">
        <f t="shared" si="41"/>
        <v>3.2</v>
      </c>
      <c r="P186" s="1">
        <v>4148</v>
      </c>
      <c r="Q186" s="1">
        <f>[1]!HeatTransferArea(I186,D186,0.36,K186)</f>
        <v>0.37699111843077526</v>
      </c>
      <c r="R186" s="1">
        <f>[1]!Convection(I186,M186,1000,9*10^-4,K186,0.6,0.36,7)</f>
        <v>21089.028408370741</v>
      </c>
      <c r="S186" s="1">
        <f t="shared" si="34"/>
        <v>1.2347284016091769</v>
      </c>
      <c r="T186" s="1">
        <f t="shared" si="35"/>
        <v>1.3297872340425535E-5</v>
      </c>
      <c r="U186" s="1">
        <f t="shared" si="36"/>
        <v>8.3111702127659595E-7</v>
      </c>
      <c r="V186" s="1">
        <f t="shared" si="37"/>
        <v>4</v>
      </c>
      <c r="W186" s="1">
        <f t="shared" si="38"/>
        <v>136.31475405356798</v>
      </c>
      <c r="X186" s="1">
        <f t="shared" si="39"/>
        <v>3.125</v>
      </c>
      <c r="Y186" s="1">
        <f t="shared" si="40"/>
        <v>0.31900965977776607</v>
      </c>
      <c r="Z186" s="1">
        <v>59.538602760000003</v>
      </c>
    </row>
    <row r="187" spans="1:26" x14ac:dyDescent="0.25">
      <c r="A187" s="1">
        <f>25</f>
        <v>25</v>
      </c>
      <c r="B187" s="1">
        <v>0.5</v>
      </c>
      <c r="C187" s="1">
        <v>4</v>
      </c>
      <c r="D187" s="1">
        <f t="shared" si="28"/>
        <v>0.1</v>
      </c>
      <c r="E187" s="1">
        <v>10</v>
      </c>
      <c r="F187" s="1">
        <v>1.5</v>
      </c>
      <c r="G187" s="1">
        <v>125</v>
      </c>
      <c r="H187" s="1">
        <v>61.891172359999999</v>
      </c>
      <c r="I187" s="1">
        <f t="shared" si="29"/>
        <v>2.5000000000000001E-2</v>
      </c>
      <c r="J187" s="1">
        <f t="shared" si="30"/>
        <v>0.1</v>
      </c>
      <c r="K187" s="1">
        <f t="shared" si="31"/>
        <v>5.0000000000000001E-4</v>
      </c>
      <c r="L187" s="1">
        <f t="shared" si="32"/>
        <v>0.24818581963359368</v>
      </c>
      <c r="M187" s="1">
        <f t="shared" si="33"/>
        <v>3.4722222222222224E-2</v>
      </c>
      <c r="N187" s="1">
        <v>235</v>
      </c>
      <c r="O187" s="1">
        <f t="shared" si="41"/>
        <v>3.2</v>
      </c>
      <c r="P187" s="1">
        <v>4148</v>
      </c>
      <c r="Q187" s="1">
        <f>[1]!HeatTransferArea(I187,D187,0.36,K187)</f>
        <v>0.37699111843077526</v>
      </c>
      <c r="R187" s="1">
        <f>[1]!Convection(I187,M187,1000,9*10^-4,K187,0.6,0.36,7)</f>
        <v>21089.028408370741</v>
      </c>
      <c r="S187" s="1">
        <f t="shared" si="34"/>
        <v>0.82315226773945127</v>
      </c>
      <c r="T187" s="1">
        <f t="shared" si="35"/>
        <v>1.99468085106383E-5</v>
      </c>
      <c r="U187" s="1">
        <f t="shared" si="36"/>
        <v>1.2466755319148938E-6</v>
      </c>
      <c r="V187" s="1">
        <f t="shared" si="37"/>
        <v>4</v>
      </c>
      <c r="W187" s="1">
        <f t="shared" si="38"/>
        <v>90.876502702378644</v>
      </c>
      <c r="X187" s="1">
        <f t="shared" si="39"/>
        <v>3.125</v>
      </c>
      <c r="Y187" s="1">
        <f t="shared" si="40"/>
        <v>0.22107653323562448</v>
      </c>
      <c r="Z187" s="1">
        <v>61.891172359999999</v>
      </c>
    </row>
    <row r="188" spans="1:26" x14ac:dyDescent="0.25">
      <c r="A188" s="1">
        <f>25</f>
        <v>25</v>
      </c>
      <c r="B188" s="1">
        <v>0.5</v>
      </c>
      <c r="C188" s="1">
        <v>5</v>
      </c>
      <c r="D188" s="1">
        <f t="shared" si="28"/>
        <v>0.125</v>
      </c>
      <c r="E188" s="1">
        <v>10</v>
      </c>
      <c r="F188" s="1">
        <v>0.5</v>
      </c>
      <c r="G188" s="1">
        <v>125</v>
      </c>
      <c r="H188" s="1">
        <v>49.683237990000002</v>
      </c>
      <c r="I188" s="1">
        <f t="shared" si="29"/>
        <v>2.5000000000000001E-2</v>
      </c>
      <c r="J188" s="1">
        <f t="shared" si="30"/>
        <v>0.125</v>
      </c>
      <c r="K188" s="1">
        <f t="shared" si="31"/>
        <v>5.0000000000000001E-4</v>
      </c>
      <c r="L188" s="1">
        <f t="shared" si="32"/>
        <v>0.31023227454199215</v>
      </c>
      <c r="M188" s="1">
        <f t="shared" si="33"/>
        <v>3.4722222222222224E-2</v>
      </c>
      <c r="N188" s="1">
        <v>235</v>
      </c>
      <c r="O188" s="1">
        <f t="shared" si="41"/>
        <v>3.2</v>
      </c>
      <c r="P188" s="1">
        <v>4148</v>
      </c>
      <c r="Q188" s="1">
        <f>[1]!HeatTransferArea(I188,D188,0.36,K188)</f>
        <v>0.47123889803846908</v>
      </c>
      <c r="R188" s="1">
        <f>[1]!Convection(I188,M188,1000,9*10^-4,K188,0.6,0.36,7)</f>
        <v>21089.028408370741</v>
      </c>
      <c r="S188" s="1">
        <f t="shared" si="34"/>
        <v>1.9755654425746827</v>
      </c>
      <c r="T188" s="1">
        <f t="shared" si="35"/>
        <v>1.0388962765957447E-5</v>
      </c>
      <c r="U188" s="1">
        <f t="shared" si="36"/>
        <v>4.1555851063829797E-7</v>
      </c>
      <c r="V188" s="1">
        <f t="shared" si="37"/>
        <v>5</v>
      </c>
      <c r="W188" s="1">
        <f t="shared" si="38"/>
        <v>272.6295081071359</v>
      </c>
      <c r="X188" s="1">
        <f t="shared" si="39"/>
        <v>3.125</v>
      </c>
      <c r="Y188" s="1">
        <f t="shared" si="40"/>
        <v>0.4259269008844353</v>
      </c>
      <c r="Z188" s="1">
        <v>49.683237990000002</v>
      </c>
    </row>
    <row r="189" spans="1:26" x14ac:dyDescent="0.25">
      <c r="A189" s="1">
        <f>25</f>
        <v>25</v>
      </c>
      <c r="B189" s="1">
        <v>0.5</v>
      </c>
      <c r="C189" s="1">
        <v>5</v>
      </c>
      <c r="D189" s="1">
        <f t="shared" si="28"/>
        <v>0.125</v>
      </c>
      <c r="E189" s="1">
        <v>10</v>
      </c>
      <c r="F189" s="1">
        <v>1</v>
      </c>
      <c r="G189" s="1">
        <v>125</v>
      </c>
      <c r="H189" s="1">
        <v>61.182947810000002</v>
      </c>
      <c r="I189" s="1">
        <f t="shared" si="29"/>
        <v>2.5000000000000001E-2</v>
      </c>
      <c r="J189" s="1">
        <f t="shared" si="30"/>
        <v>0.125</v>
      </c>
      <c r="K189" s="1">
        <f t="shared" si="31"/>
        <v>5.0000000000000001E-4</v>
      </c>
      <c r="L189" s="1">
        <f t="shared" si="32"/>
        <v>0.31023227454199215</v>
      </c>
      <c r="M189" s="1">
        <f t="shared" si="33"/>
        <v>3.4722222222222224E-2</v>
      </c>
      <c r="N189" s="1">
        <v>235</v>
      </c>
      <c r="O189" s="1">
        <f t="shared" si="41"/>
        <v>3.2</v>
      </c>
      <c r="P189" s="1">
        <v>4148</v>
      </c>
      <c r="Q189" s="1">
        <f>[1]!HeatTransferArea(I189,D189,0.36,K189)</f>
        <v>0.47123889803846908</v>
      </c>
      <c r="R189" s="1">
        <f>[1]!Convection(I189,M189,1000,9*10^-4,K189,0.6,0.36,7)</f>
        <v>21089.028408370741</v>
      </c>
      <c r="S189" s="1">
        <f t="shared" si="34"/>
        <v>0.98778272128734135</v>
      </c>
      <c r="T189" s="1">
        <f t="shared" si="35"/>
        <v>2.0777925531914893E-5</v>
      </c>
      <c r="U189" s="1">
        <f t="shared" si="36"/>
        <v>8.3111702127659595E-7</v>
      </c>
      <c r="V189" s="1">
        <f t="shared" si="37"/>
        <v>5</v>
      </c>
      <c r="W189" s="1">
        <f t="shared" si="38"/>
        <v>136.31475405356795</v>
      </c>
      <c r="X189" s="1">
        <f t="shared" si="39"/>
        <v>3.125</v>
      </c>
      <c r="Y189" s="1">
        <f t="shared" si="40"/>
        <v>0.26225608879329249</v>
      </c>
      <c r="Z189" s="1">
        <v>61.182947810000002</v>
      </c>
    </row>
    <row r="190" spans="1:26" x14ac:dyDescent="0.25">
      <c r="A190" s="1">
        <f>25</f>
        <v>25</v>
      </c>
      <c r="B190" s="1">
        <v>0.5</v>
      </c>
      <c r="C190" s="1">
        <v>5</v>
      </c>
      <c r="D190" s="1">
        <f t="shared" si="28"/>
        <v>0.125</v>
      </c>
      <c r="E190" s="1">
        <v>10</v>
      </c>
      <c r="F190" s="1">
        <v>1.5</v>
      </c>
      <c r="G190" s="1">
        <v>125</v>
      </c>
      <c r="H190" s="1">
        <v>62.188946350000002</v>
      </c>
      <c r="I190" s="1">
        <f t="shared" si="29"/>
        <v>2.5000000000000001E-2</v>
      </c>
      <c r="J190" s="1">
        <f t="shared" si="30"/>
        <v>0.125</v>
      </c>
      <c r="K190" s="1">
        <f t="shared" si="31"/>
        <v>5.0000000000000001E-4</v>
      </c>
      <c r="L190" s="1">
        <f t="shared" si="32"/>
        <v>0.31023227454199215</v>
      </c>
      <c r="M190" s="1">
        <f t="shared" si="33"/>
        <v>3.4722222222222224E-2</v>
      </c>
      <c r="N190" s="1">
        <v>235</v>
      </c>
      <c r="O190" s="1">
        <f t="shared" si="41"/>
        <v>3.2</v>
      </c>
      <c r="P190" s="1">
        <v>4148</v>
      </c>
      <c r="Q190" s="1">
        <f>[1]!HeatTransferArea(I190,D190,0.36,K190)</f>
        <v>0.47123889803846908</v>
      </c>
      <c r="R190" s="1">
        <f>[1]!Convection(I190,M190,1000,9*10^-4,K190,0.6,0.36,7)</f>
        <v>21089.028408370741</v>
      </c>
      <c r="S190" s="1">
        <f t="shared" si="34"/>
        <v>0.65852181419156086</v>
      </c>
      <c r="T190" s="1">
        <f t="shared" si="35"/>
        <v>3.1166888297872338E-5</v>
      </c>
      <c r="U190" s="1">
        <f t="shared" si="36"/>
        <v>1.2466755319148938E-6</v>
      </c>
      <c r="V190" s="1">
        <f t="shared" si="37"/>
        <v>5</v>
      </c>
      <c r="W190" s="1">
        <f t="shared" si="38"/>
        <v>90.87650270237863</v>
      </c>
      <c r="X190" s="1">
        <f t="shared" si="39"/>
        <v>3.125</v>
      </c>
      <c r="Y190" s="1">
        <f t="shared" si="40"/>
        <v>0.1777121504134874</v>
      </c>
      <c r="Z190" s="1">
        <v>62.188946350000002</v>
      </c>
    </row>
    <row r="191" spans="1:26" x14ac:dyDescent="0.25">
      <c r="A191" s="1">
        <f>25</f>
        <v>25</v>
      </c>
      <c r="B191" s="1">
        <v>0.3</v>
      </c>
      <c r="C191" s="1">
        <v>2.5</v>
      </c>
      <c r="D191" s="1">
        <f t="shared" si="28"/>
        <v>6.25E-2</v>
      </c>
      <c r="E191" s="1">
        <v>10</v>
      </c>
      <c r="F191" s="1">
        <v>0.5</v>
      </c>
      <c r="G191" s="1">
        <v>75</v>
      </c>
      <c r="H191" s="1">
        <v>23.706186330000001</v>
      </c>
      <c r="I191" s="1">
        <f t="shared" si="29"/>
        <v>2.5000000000000001E-2</v>
      </c>
      <c r="J191" s="1">
        <f t="shared" si="30"/>
        <v>6.25E-2</v>
      </c>
      <c r="K191" s="1">
        <f t="shared" si="31"/>
        <v>2.9999999999999997E-4</v>
      </c>
      <c r="L191" s="1">
        <f t="shared" si="32"/>
        <v>0.15511613727099607</v>
      </c>
      <c r="M191" s="1">
        <f t="shared" si="33"/>
        <v>2.0833333333333332E-2</v>
      </c>
      <c r="N191" s="1">
        <v>235</v>
      </c>
      <c r="O191" s="1">
        <f t="shared" si="41"/>
        <v>3.2</v>
      </c>
      <c r="P191" s="1">
        <v>4148</v>
      </c>
      <c r="Q191" s="1">
        <f>[1]!HeatTransferArea(I191,D191,0.36,K191)</f>
        <v>0.39269908169872425</v>
      </c>
      <c r="R191" s="1">
        <f>[1]!Convection(I191,M191,1000,9*10^-4,K191,0.6,0.36,7)</f>
        <v>33909.243146205263</v>
      </c>
      <c r="S191" s="1">
        <f t="shared" si="34"/>
        <v>2.3706785310896192</v>
      </c>
      <c r="T191" s="1">
        <f t="shared" si="35"/>
        <v>2.5972406914893616E-6</v>
      </c>
      <c r="U191" s="1">
        <f t="shared" si="36"/>
        <v>4.1555851063829797E-7</v>
      </c>
      <c r="V191" s="1">
        <f t="shared" si="37"/>
        <v>2.5</v>
      </c>
      <c r="W191" s="1">
        <f t="shared" si="38"/>
        <v>730.60583132141699</v>
      </c>
      <c r="X191" s="1">
        <f t="shared" si="39"/>
        <v>3.125</v>
      </c>
      <c r="Y191" s="1">
        <f t="shared" si="40"/>
        <v>0.40645911513891914</v>
      </c>
      <c r="Z191" s="1">
        <v>23.706186330000001</v>
      </c>
    </row>
    <row r="192" spans="1:26" x14ac:dyDescent="0.25">
      <c r="A192" s="1">
        <f>25</f>
        <v>25</v>
      </c>
      <c r="B192" s="1">
        <v>0.3</v>
      </c>
      <c r="C192" s="1">
        <v>2.5</v>
      </c>
      <c r="D192" s="1">
        <f t="shared" si="28"/>
        <v>6.25E-2</v>
      </c>
      <c r="E192" s="1">
        <v>10</v>
      </c>
      <c r="F192" s="1">
        <v>1</v>
      </c>
      <c r="G192" s="1">
        <v>75</v>
      </c>
      <c r="H192" s="1">
        <v>37.978153470000002</v>
      </c>
      <c r="I192" s="1">
        <f t="shared" si="29"/>
        <v>2.5000000000000001E-2</v>
      </c>
      <c r="J192" s="1">
        <f t="shared" si="30"/>
        <v>6.25E-2</v>
      </c>
      <c r="K192" s="1">
        <f t="shared" si="31"/>
        <v>2.9999999999999997E-4</v>
      </c>
      <c r="L192" s="1">
        <f t="shared" si="32"/>
        <v>0.15511613727099607</v>
      </c>
      <c r="M192" s="1">
        <f t="shared" si="33"/>
        <v>2.0833333333333332E-2</v>
      </c>
      <c r="N192" s="1">
        <v>235</v>
      </c>
      <c r="O192" s="1">
        <f t="shared" si="41"/>
        <v>3.2</v>
      </c>
      <c r="P192" s="1">
        <v>4148</v>
      </c>
      <c r="Q192" s="1">
        <f>[1]!HeatTransferArea(I192,D192,0.36,K192)</f>
        <v>0.39269908169872425</v>
      </c>
      <c r="R192" s="1">
        <f>[1]!Convection(I192,M192,1000,9*10^-4,K192,0.6,0.36,7)</f>
        <v>33909.243146205263</v>
      </c>
      <c r="S192" s="1">
        <f t="shared" si="34"/>
        <v>1.1853392655448096</v>
      </c>
      <c r="T192" s="1">
        <f t="shared" si="35"/>
        <v>5.1944813829787233E-6</v>
      </c>
      <c r="U192" s="1">
        <f t="shared" si="36"/>
        <v>8.3111702127659595E-7</v>
      </c>
      <c r="V192" s="1">
        <f t="shared" si="37"/>
        <v>2.5</v>
      </c>
      <c r="W192" s="1">
        <f t="shared" si="38"/>
        <v>365.30291566070849</v>
      </c>
      <c r="X192" s="1">
        <f t="shared" si="39"/>
        <v>3.125</v>
      </c>
      <c r="Y192" s="1">
        <f t="shared" si="40"/>
        <v>0.32558097787520157</v>
      </c>
      <c r="Z192" s="1">
        <v>37.978153470000002</v>
      </c>
    </row>
    <row r="193" spans="1:26" x14ac:dyDescent="0.25">
      <c r="A193" s="1">
        <f>25</f>
        <v>25</v>
      </c>
      <c r="B193" s="1">
        <v>0.3</v>
      </c>
      <c r="C193" s="1">
        <v>2.5</v>
      </c>
      <c r="D193" s="1">
        <f t="shared" si="28"/>
        <v>6.25E-2</v>
      </c>
      <c r="E193" s="1">
        <v>10</v>
      </c>
      <c r="F193" s="1">
        <v>1.5</v>
      </c>
      <c r="G193" s="1">
        <v>75</v>
      </c>
      <c r="H193" s="1">
        <v>38.815388820000003</v>
      </c>
      <c r="I193" s="1">
        <f t="shared" si="29"/>
        <v>2.5000000000000001E-2</v>
      </c>
      <c r="J193" s="1">
        <f t="shared" si="30"/>
        <v>6.25E-2</v>
      </c>
      <c r="K193" s="1">
        <f t="shared" si="31"/>
        <v>2.9999999999999997E-4</v>
      </c>
      <c r="L193" s="1">
        <f t="shared" si="32"/>
        <v>0.15511613727099607</v>
      </c>
      <c r="M193" s="1">
        <f t="shared" si="33"/>
        <v>2.0833333333333332E-2</v>
      </c>
      <c r="N193" s="1">
        <v>235</v>
      </c>
      <c r="O193" s="1">
        <f t="shared" si="41"/>
        <v>3.2</v>
      </c>
      <c r="P193" s="1">
        <v>4148</v>
      </c>
      <c r="Q193" s="1">
        <f>[1]!HeatTransferArea(I193,D193,0.36,K193)</f>
        <v>0.39269908169872425</v>
      </c>
      <c r="R193" s="1">
        <f>[1]!Convection(I193,M193,1000,9*10^-4,K193,0.6,0.36,7)</f>
        <v>33909.243146205263</v>
      </c>
      <c r="S193" s="1">
        <f t="shared" si="34"/>
        <v>0.79022617702987297</v>
      </c>
      <c r="T193" s="1">
        <f t="shared" si="35"/>
        <v>7.7917220744680845E-6</v>
      </c>
      <c r="U193" s="1">
        <f t="shared" si="36"/>
        <v>1.2466755319148938E-6</v>
      </c>
      <c r="V193" s="1">
        <f t="shared" si="37"/>
        <v>2.5</v>
      </c>
      <c r="W193" s="1">
        <f t="shared" si="38"/>
        <v>243.53527710713897</v>
      </c>
      <c r="X193" s="1">
        <f t="shared" si="39"/>
        <v>3.125</v>
      </c>
      <c r="Y193" s="1">
        <f t="shared" si="40"/>
        <v>0.22183898011444078</v>
      </c>
      <c r="Z193" s="1">
        <v>38.815388820000003</v>
      </c>
    </row>
    <row r="194" spans="1:26" x14ac:dyDescent="0.25">
      <c r="A194" s="1">
        <f>25</f>
        <v>25</v>
      </c>
      <c r="B194" s="1">
        <v>0.3</v>
      </c>
      <c r="C194" s="1">
        <v>3.3333330000000001</v>
      </c>
      <c r="D194" s="1">
        <f t="shared" ref="D194:D257" si="42">C194*A194/1000</f>
        <v>8.3333325E-2</v>
      </c>
      <c r="E194" s="1">
        <v>10</v>
      </c>
      <c r="F194" s="1">
        <v>0.5</v>
      </c>
      <c r="G194" s="1">
        <v>75</v>
      </c>
      <c r="H194" s="1">
        <v>34.431023500000002</v>
      </c>
      <c r="I194" s="1">
        <f t="shared" ref="I194:I257" si="43">A194/1000</f>
        <v>2.5000000000000001E-2</v>
      </c>
      <c r="J194" s="1">
        <f t="shared" ref="J194:J257" si="44">D194</f>
        <v>8.3333325E-2</v>
      </c>
      <c r="K194" s="1">
        <f t="shared" ref="K194:K257" si="45">B194/1000</f>
        <v>2.9999999999999997E-4</v>
      </c>
      <c r="L194" s="1">
        <f t="shared" ref="L194:L257" si="46">PI()*I194^2*J194/4*(1-0.36)*7900</f>
        <v>0.20682149567917646</v>
      </c>
      <c r="M194" s="1">
        <f t="shared" ref="M194:M257" si="47">G194/3600</f>
        <v>2.0833333333333332E-2</v>
      </c>
      <c r="N194" s="1">
        <v>235</v>
      </c>
      <c r="O194" s="1">
        <f t="shared" si="41"/>
        <v>3.2</v>
      </c>
      <c r="P194" s="1">
        <v>4148</v>
      </c>
      <c r="Q194" s="1">
        <f>[1]!HeatTransferArea(I194,D194,0.36,K194)</f>
        <v>0.52359872323842149</v>
      </c>
      <c r="R194" s="1">
        <f>[1]!Convection(I194,M194,1000,9*10^-4,K194,0.6,0.36,7)</f>
        <v>33909.243146205263</v>
      </c>
      <c r="S194" s="1">
        <f t="shared" ref="S194:S257" si="48">M194*P194/(2*F194*L194*N194)</f>
        <v>1.778009076118122</v>
      </c>
      <c r="T194" s="1">
        <f t="shared" ref="T194:T257" si="49">J194^2*F194/(N194*O194)</f>
        <v>4.6173158614066653E-6</v>
      </c>
      <c r="U194" s="1">
        <f t="shared" ref="U194:U257" si="50">I194^2*F194/(N194*O194)</f>
        <v>4.1555851063829797E-7</v>
      </c>
      <c r="V194" s="1">
        <f t="shared" ref="V194:V257" si="51">C194</f>
        <v>3.3333330000000001</v>
      </c>
      <c r="W194" s="1">
        <f t="shared" ref="W194:W257" si="52">R194*Q194/(F194*L194*N194)</f>
        <v>730.6058313214171</v>
      </c>
      <c r="X194" s="1">
        <f t="shared" ref="X194:X257" si="53">E194/O194</f>
        <v>3.125</v>
      </c>
      <c r="Y194" s="1">
        <f t="shared" ref="Y194:Y257" si="54">H194/(L194*F194*N194*O194)</f>
        <v>0.44275799626111151</v>
      </c>
      <c r="Z194" s="1">
        <v>34.431023500000002</v>
      </c>
    </row>
    <row r="195" spans="1:26" x14ac:dyDescent="0.25">
      <c r="A195" s="1">
        <f>25</f>
        <v>25</v>
      </c>
      <c r="B195" s="1">
        <v>0.3</v>
      </c>
      <c r="C195" s="1">
        <v>3.3333330000000001</v>
      </c>
      <c r="D195" s="1">
        <f t="shared" si="42"/>
        <v>8.3333325E-2</v>
      </c>
      <c r="E195" s="1">
        <v>10</v>
      </c>
      <c r="F195" s="1">
        <v>1</v>
      </c>
      <c r="G195" s="1">
        <v>75</v>
      </c>
      <c r="H195" s="1">
        <v>38.175800279999997</v>
      </c>
      <c r="I195" s="1">
        <f t="shared" si="43"/>
        <v>2.5000000000000001E-2</v>
      </c>
      <c r="J195" s="1">
        <f t="shared" si="44"/>
        <v>8.3333325E-2</v>
      </c>
      <c r="K195" s="1">
        <f t="shared" si="45"/>
        <v>2.9999999999999997E-4</v>
      </c>
      <c r="L195" s="1">
        <f t="shared" si="46"/>
        <v>0.20682149567917646</v>
      </c>
      <c r="M195" s="1">
        <f t="shared" si="47"/>
        <v>2.0833333333333332E-2</v>
      </c>
      <c r="N195" s="1">
        <v>235</v>
      </c>
      <c r="O195" s="1">
        <f t="shared" ref="O195:O216" si="55">3.2</f>
        <v>3.2</v>
      </c>
      <c r="P195" s="1">
        <v>4148</v>
      </c>
      <c r="Q195" s="1">
        <f>[1]!HeatTransferArea(I195,D195,0.36,K195)</f>
        <v>0.52359872323842149</v>
      </c>
      <c r="R195" s="1">
        <f>[1]!Convection(I195,M195,1000,9*10^-4,K195,0.6,0.36,7)</f>
        <v>33909.243146205263</v>
      </c>
      <c r="S195" s="1">
        <f t="shared" si="48"/>
        <v>0.88900453805906099</v>
      </c>
      <c r="T195" s="1">
        <f t="shared" si="49"/>
        <v>9.2346317228133305E-6</v>
      </c>
      <c r="U195" s="1">
        <f t="shared" si="50"/>
        <v>8.3111702127659595E-7</v>
      </c>
      <c r="V195" s="1">
        <f t="shared" si="51"/>
        <v>3.3333330000000001</v>
      </c>
      <c r="W195" s="1">
        <f t="shared" si="52"/>
        <v>365.30291566070855</v>
      </c>
      <c r="X195" s="1">
        <f t="shared" si="53"/>
        <v>3.125</v>
      </c>
      <c r="Y195" s="1">
        <f t="shared" si="54"/>
        <v>0.24545655515638648</v>
      </c>
      <c r="Z195" s="1">
        <v>38.175800279999997</v>
      </c>
    </row>
    <row r="196" spans="1:26" x14ac:dyDescent="0.25">
      <c r="A196" s="1">
        <f>25</f>
        <v>25</v>
      </c>
      <c r="B196" s="1">
        <v>0.3</v>
      </c>
      <c r="C196" s="1">
        <v>3.3333330000000001</v>
      </c>
      <c r="D196" s="1">
        <f t="shared" si="42"/>
        <v>8.3333325E-2</v>
      </c>
      <c r="E196" s="1">
        <v>10</v>
      </c>
      <c r="F196" s="1">
        <v>1.5</v>
      </c>
      <c r="G196" s="1">
        <v>75</v>
      </c>
      <c r="H196" s="1">
        <v>38.326135549999996</v>
      </c>
      <c r="I196" s="1">
        <f t="shared" si="43"/>
        <v>2.5000000000000001E-2</v>
      </c>
      <c r="J196" s="1">
        <f t="shared" si="44"/>
        <v>8.3333325E-2</v>
      </c>
      <c r="K196" s="1">
        <f t="shared" si="45"/>
        <v>2.9999999999999997E-4</v>
      </c>
      <c r="L196" s="1">
        <f t="shared" si="46"/>
        <v>0.20682149567917646</v>
      </c>
      <c r="M196" s="1">
        <f t="shared" si="47"/>
        <v>2.0833333333333332E-2</v>
      </c>
      <c r="N196" s="1">
        <v>235</v>
      </c>
      <c r="O196" s="1">
        <f t="shared" si="55"/>
        <v>3.2</v>
      </c>
      <c r="P196" s="1">
        <v>4148</v>
      </c>
      <c r="Q196" s="1">
        <f>[1]!HeatTransferArea(I196,D196,0.36,K196)</f>
        <v>0.52359872323842149</v>
      </c>
      <c r="R196" s="1">
        <f>[1]!Convection(I196,M196,1000,9*10^-4,K196,0.6,0.36,7)</f>
        <v>33909.243146205263</v>
      </c>
      <c r="S196" s="1">
        <f t="shared" si="48"/>
        <v>0.59266969203937403</v>
      </c>
      <c r="T196" s="1">
        <f t="shared" si="49"/>
        <v>1.3851947584219997E-5</v>
      </c>
      <c r="U196" s="1">
        <f t="shared" si="50"/>
        <v>1.2466755319148938E-6</v>
      </c>
      <c r="V196" s="1">
        <f t="shared" si="51"/>
        <v>3.3333330000000001</v>
      </c>
      <c r="W196" s="1">
        <f t="shared" si="52"/>
        <v>243.53527710713905</v>
      </c>
      <c r="X196" s="1">
        <f t="shared" si="53"/>
        <v>3.125</v>
      </c>
      <c r="Y196" s="1">
        <f t="shared" si="54"/>
        <v>0.16428210429226955</v>
      </c>
      <c r="Z196" s="1">
        <v>38.326135549999996</v>
      </c>
    </row>
    <row r="197" spans="1:26" x14ac:dyDescent="0.25">
      <c r="A197" s="1">
        <f>25</f>
        <v>25</v>
      </c>
      <c r="B197" s="1">
        <v>0.3</v>
      </c>
      <c r="C197" s="1">
        <v>4.1666660000000002</v>
      </c>
      <c r="D197" s="1">
        <f t="shared" si="42"/>
        <v>0.10416665</v>
      </c>
      <c r="E197" s="1">
        <v>10</v>
      </c>
      <c r="F197" s="1">
        <v>0.5</v>
      </c>
      <c r="G197" s="1">
        <v>75</v>
      </c>
      <c r="H197" s="1">
        <v>36.361894929999998</v>
      </c>
      <c r="I197" s="1">
        <f t="shared" si="43"/>
        <v>2.5000000000000001E-2</v>
      </c>
      <c r="J197" s="1">
        <f t="shared" si="44"/>
        <v>0.10416665</v>
      </c>
      <c r="K197" s="1">
        <f t="shared" si="45"/>
        <v>2.9999999999999997E-4</v>
      </c>
      <c r="L197" s="1">
        <f t="shared" si="46"/>
        <v>0.25852685408735682</v>
      </c>
      <c r="M197" s="1">
        <f t="shared" si="47"/>
        <v>2.0833333333333332E-2</v>
      </c>
      <c r="N197" s="1">
        <v>235</v>
      </c>
      <c r="O197" s="1">
        <f t="shared" si="55"/>
        <v>3.2</v>
      </c>
      <c r="P197" s="1">
        <v>4148</v>
      </c>
      <c r="Q197" s="1">
        <f>[1]!HeatTransferArea(I197,D197,0.36,K197)</f>
        <v>0.65449836477811862</v>
      </c>
      <c r="R197" s="1">
        <f>[1]!Convection(I197,M197,1000,9*10^-4,K197,0.6,0.36,7)</f>
        <v>33909.243146205263</v>
      </c>
      <c r="S197" s="1">
        <f t="shared" si="48"/>
        <v>1.422407346238947</v>
      </c>
      <c r="T197" s="1">
        <f t="shared" si="49"/>
        <v>7.2145551677011307E-6</v>
      </c>
      <c r="U197" s="1">
        <f t="shared" si="50"/>
        <v>4.1555851063829797E-7</v>
      </c>
      <c r="V197" s="1">
        <f t="shared" si="51"/>
        <v>4.1666660000000002</v>
      </c>
      <c r="W197" s="1">
        <f t="shared" si="52"/>
        <v>730.60583132141699</v>
      </c>
      <c r="X197" s="1">
        <f t="shared" si="53"/>
        <v>3.125</v>
      </c>
      <c r="Y197" s="1">
        <f t="shared" si="54"/>
        <v>0.37407010466442181</v>
      </c>
      <c r="Z197" s="1">
        <v>36.361894929999998</v>
      </c>
    </row>
    <row r="198" spans="1:26" x14ac:dyDescent="0.25">
      <c r="A198" s="1">
        <f>25</f>
        <v>25</v>
      </c>
      <c r="B198" s="1">
        <v>0.3</v>
      </c>
      <c r="C198" s="1">
        <v>4.1666660000000002</v>
      </c>
      <c r="D198" s="1">
        <f t="shared" si="42"/>
        <v>0.10416665</v>
      </c>
      <c r="E198" s="1">
        <v>10</v>
      </c>
      <c r="F198" s="1">
        <v>1</v>
      </c>
      <c r="G198" s="1">
        <v>75</v>
      </c>
      <c r="H198" s="1">
        <v>37.810833670000001</v>
      </c>
      <c r="I198" s="1">
        <f t="shared" si="43"/>
        <v>2.5000000000000001E-2</v>
      </c>
      <c r="J198" s="1">
        <f t="shared" si="44"/>
        <v>0.10416665</v>
      </c>
      <c r="K198" s="1">
        <f t="shared" si="45"/>
        <v>2.9999999999999997E-4</v>
      </c>
      <c r="L198" s="1">
        <f t="shared" si="46"/>
        <v>0.25852685408735682</v>
      </c>
      <c r="M198" s="1">
        <f t="shared" si="47"/>
        <v>2.0833333333333332E-2</v>
      </c>
      <c r="N198" s="1">
        <v>235</v>
      </c>
      <c r="O198" s="1">
        <f t="shared" si="55"/>
        <v>3.2</v>
      </c>
      <c r="P198" s="1">
        <v>4148</v>
      </c>
      <c r="Q198" s="1">
        <f>[1]!HeatTransferArea(I198,D198,0.36,K198)</f>
        <v>0.65449836477811862</v>
      </c>
      <c r="R198" s="1">
        <f>[1]!Convection(I198,M198,1000,9*10^-4,K198,0.6,0.36,7)</f>
        <v>33909.243146205263</v>
      </c>
      <c r="S198" s="1">
        <f t="shared" si="48"/>
        <v>0.71120367311947352</v>
      </c>
      <c r="T198" s="1">
        <f t="shared" si="49"/>
        <v>1.4429110335402261E-5</v>
      </c>
      <c r="U198" s="1">
        <f t="shared" si="50"/>
        <v>8.3111702127659595E-7</v>
      </c>
      <c r="V198" s="1">
        <f t="shared" si="51"/>
        <v>4.1666660000000002</v>
      </c>
      <c r="W198" s="1">
        <f t="shared" si="52"/>
        <v>365.30291566070849</v>
      </c>
      <c r="X198" s="1">
        <f t="shared" si="53"/>
        <v>3.125</v>
      </c>
      <c r="Y198" s="1">
        <f t="shared" si="54"/>
        <v>0.19448797340752264</v>
      </c>
      <c r="Z198" s="1">
        <v>37.810833670000001</v>
      </c>
    </row>
    <row r="199" spans="1:26" x14ac:dyDescent="0.25">
      <c r="A199" s="1">
        <f>25</f>
        <v>25</v>
      </c>
      <c r="B199" s="1">
        <v>0.3</v>
      </c>
      <c r="C199" s="1">
        <v>4.1666660000000002</v>
      </c>
      <c r="D199" s="1">
        <f t="shared" si="42"/>
        <v>0.10416665</v>
      </c>
      <c r="E199" s="1">
        <v>10</v>
      </c>
      <c r="F199" s="1">
        <v>1.5</v>
      </c>
      <c r="G199" s="1">
        <v>75</v>
      </c>
      <c r="H199" s="1">
        <v>37.705874940000001</v>
      </c>
      <c r="I199" s="1">
        <f t="shared" si="43"/>
        <v>2.5000000000000001E-2</v>
      </c>
      <c r="J199" s="1">
        <f t="shared" si="44"/>
        <v>0.10416665</v>
      </c>
      <c r="K199" s="1">
        <f t="shared" si="45"/>
        <v>2.9999999999999997E-4</v>
      </c>
      <c r="L199" s="1">
        <f t="shared" si="46"/>
        <v>0.25852685408735682</v>
      </c>
      <c r="M199" s="1">
        <f t="shared" si="47"/>
        <v>2.0833333333333332E-2</v>
      </c>
      <c r="N199" s="1">
        <v>235</v>
      </c>
      <c r="O199" s="1">
        <f t="shared" si="55"/>
        <v>3.2</v>
      </c>
      <c r="P199" s="1">
        <v>4148</v>
      </c>
      <c r="Q199" s="1">
        <f>[1]!HeatTransferArea(I199,D199,0.36,K199)</f>
        <v>0.65449836477811862</v>
      </c>
      <c r="R199" s="1">
        <f>[1]!Convection(I199,M199,1000,9*10^-4,K199,0.6,0.36,7)</f>
        <v>33909.243146205263</v>
      </c>
      <c r="S199" s="1">
        <f t="shared" si="48"/>
        <v>0.47413578207964907</v>
      </c>
      <c r="T199" s="1">
        <f t="shared" si="49"/>
        <v>2.164366550310339E-5</v>
      </c>
      <c r="U199" s="1">
        <f t="shared" si="50"/>
        <v>1.2466755319148938E-6</v>
      </c>
      <c r="V199" s="1">
        <f t="shared" si="51"/>
        <v>4.1666660000000002</v>
      </c>
      <c r="W199" s="1">
        <f t="shared" si="52"/>
        <v>243.53527710713902</v>
      </c>
      <c r="X199" s="1">
        <f t="shared" si="53"/>
        <v>3.125</v>
      </c>
      <c r="Y199" s="1">
        <f t="shared" si="54"/>
        <v>0.12929873074017123</v>
      </c>
      <c r="Z199" s="1">
        <v>37.705874940000001</v>
      </c>
    </row>
    <row r="200" spans="1:26" x14ac:dyDescent="0.25">
      <c r="A200" s="1">
        <f>25</f>
        <v>25</v>
      </c>
      <c r="B200" s="1">
        <v>0.4</v>
      </c>
      <c r="C200" s="1">
        <v>2.5</v>
      </c>
      <c r="D200" s="1">
        <f t="shared" si="42"/>
        <v>6.25E-2</v>
      </c>
      <c r="E200" s="1">
        <v>10</v>
      </c>
      <c r="F200" s="1">
        <v>0.5</v>
      </c>
      <c r="G200" s="1">
        <v>75</v>
      </c>
      <c r="H200" s="1">
        <v>22.160251519999999</v>
      </c>
      <c r="I200" s="1">
        <f t="shared" si="43"/>
        <v>2.5000000000000001E-2</v>
      </c>
      <c r="J200" s="1">
        <f t="shared" si="44"/>
        <v>6.25E-2</v>
      </c>
      <c r="K200" s="1">
        <f t="shared" si="45"/>
        <v>4.0000000000000002E-4</v>
      </c>
      <c r="L200" s="1">
        <f t="shared" si="46"/>
        <v>0.15511613727099607</v>
      </c>
      <c r="M200" s="1">
        <f t="shared" si="47"/>
        <v>2.0833333333333332E-2</v>
      </c>
      <c r="N200" s="1">
        <v>235</v>
      </c>
      <c r="O200" s="1">
        <f t="shared" si="55"/>
        <v>3.2</v>
      </c>
      <c r="P200" s="1">
        <v>4148</v>
      </c>
      <c r="Q200" s="1">
        <f>[1]!HeatTransferArea(I200,D200,0.36,K200)</f>
        <v>0.29452431127404316</v>
      </c>
      <c r="R200" s="1">
        <f>[1]!Convection(I200,M200,1000,9*10^-4,K200,0.6,0.36,7)</f>
        <v>25638.910216425455</v>
      </c>
      <c r="S200" s="1">
        <f t="shared" si="48"/>
        <v>2.3706785310896192</v>
      </c>
      <c r="T200" s="1">
        <f t="shared" si="49"/>
        <v>2.5972406914893616E-6</v>
      </c>
      <c r="U200" s="1">
        <f t="shared" si="50"/>
        <v>4.1555851063829797E-7</v>
      </c>
      <c r="V200" s="1">
        <f t="shared" si="51"/>
        <v>2.5</v>
      </c>
      <c r="W200" s="1">
        <f t="shared" si="52"/>
        <v>414.31042633598901</v>
      </c>
      <c r="X200" s="1">
        <f t="shared" si="53"/>
        <v>3.125</v>
      </c>
      <c r="Y200" s="1">
        <f t="shared" si="54"/>
        <v>0.37995298352466322</v>
      </c>
      <c r="Z200" s="1">
        <v>22.160251519999999</v>
      </c>
    </row>
    <row r="201" spans="1:26" x14ac:dyDescent="0.25">
      <c r="A201" s="1">
        <f>25</f>
        <v>25</v>
      </c>
      <c r="B201" s="1">
        <v>0.4</v>
      </c>
      <c r="C201" s="1">
        <v>2.5</v>
      </c>
      <c r="D201" s="1">
        <f t="shared" si="42"/>
        <v>6.25E-2</v>
      </c>
      <c r="E201" s="1">
        <v>10</v>
      </c>
      <c r="F201" s="1">
        <v>1</v>
      </c>
      <c r="G201" s="1">
        <v>75</v>
      </c>
      <c r="H201" s="1">
        <v>37.620716270000003</v>
      </c>
      <c r="I201" s="1">
        <f t="shared" si="43"/>
        <v>2.5000000000000001E-2</v>
      </c>
      <c r="J201" s="1">
        <f t="shared" si="44"/>
        <v>6.25E-2</v>
      </c>
      <c r="K201" s="1">
        <f t="shared" si="45"/>
        <v>4.0000000000000002E-4</v>
      </c>
      <c r="L201" s="1">
        <f t="shared" si="46"/>
        <v>0.15511613727099607</v>
      </c>
      <c r="M201" s="1">
        <f t="shared" si="47"/>
        <v>2.0833333333333332E-2</v>
      </c>
      <c r="N201" s="1">
        <v>235</v>
      </c>
      <c r="O201" s="1">
        <f t="shared" si="55"/>
        <v>3.2</v>
      </c>
      <c r="P201" s="1">
        <v>4148</v>
      </c>
      <c r="Q201" s="1">
        <f>[1]!HeatTransferArea(I201,D201,0.36,K201)</f>
        <v>0.29452431127404316</v>
      </c>
      <c r="R201" s="1">
        <f>[1]!Convection(I201,M201,1000,9*10^-4,K201,0.6,0.36,7)</f>
        <v>25638.910216425455</v>
      </c>
      <c r="S201" s="1">
        <f t="shared" si="48"/>
        <v>1.1853392655448096</v>
      </c>
      <c r="T201" s="1">
        <f t="shared" si="49"/>
        <v>5.1944813829787233E-6</v>
      </c>
      <c r="U201" s="1">
        <f t="shared" si="50"/>
        <v>8.3111702127659595E-7</v>
      </c>
      <c r="V201" s="1">
        <f t="shared" si="51"/>
        <v>2.5</v>
      </c>
      <c r="W201" s="1">
        <f t="shared" si="52"/>
        <v>207.1552131679945</v>
      </c>
      <c r="X201" s="1">
        <f t="shared" si="53"/>
        <v>3.125</v>
      </c>
      <c r="Y201" s="1">
        <f t="shared" si="54"/>
        <v>0.32251672270553139</v>
      </c>
      <c r="Z201" s="1">
        <v>37.620716270000003</v>
      </c>
    </row>
    <row r="202" spans="1:26" x14ac:dyDescent="0.25">
      <c r="A202" s="1">
        <f>25</f>
        <v>25</v>
      </c>
      <c r="B202" s="1">
        <v>0.4</v>
      </c>
      <c r="C202" s="1">
        <v>2.5</v>
      </c>
      <c r="D202" s="1">
        <f t="shared" si="42"/>
        <v>6.25E-2</v>
      </c>
      <c r="E202" s="1">
        <v>10</v>
      </c>
      <c r="F202" s="1">
        <v>1.5</v>
      </c>
      <c r="G202" s="1">
        <v>75</v>
      </c>
      <c r="H202" s="1">
        <v>38.740036799999999</v>
      </c>
      <c r="I202" s="1">
        <f t="shared" si="43"/>
        <v>2.5000000000000001E-2</v>
      </c>
      <c r="J202" s="1">
        <f t="shared" si="44"/>
        <v>6.25E-2</v>
      </c>
      <c r="K202" s="1">
        <f t="shared" si="45"/>
        <v>4.0000000000000002E-4</v>
      </c>
      <c r="L202" s="1">
        <f t="shared" si="46"/>
        <v>0.15511613727099607</v>
      </c>
      <c r="M202" s="1">
        <f t="shared" si="47"/>
        <v>2.0833333333333332E-2</v>
      </c>
      <c r="N202" s="1">
        <v>235</v>
      </c>
      <c r="O202" s="1">
        <f t="shared" si="55"/>
        <v>3.2</v>
      </c>
      <c r="P202" s="1">
        <v>4148</v>
      </c>
      <c r="Q202" s="1">
        <f>[1]!HeatTransferArea(I202,D202,0.36,K202)</f>
        <v>0.29452431127404316</v>
      </c>
      <c r="R202" s="1">
        <f>[1]!Convection(I202,M202,1000,9*10^-4,K202,0.6,0.36,7)</f>
        <v>25638.910216425455</v>
      </c>
      <c r="S202" s="1">
        <f t="shared" si="48"/>
        <v>0.79022617702987297</v>
      </c>
      <c r="T202" s="1">
        <f t="shared" si="49"/>
        <v>7.7917220744680845E-6</v>
      </c>
      <c r="U202" s="1">
        <f t="shared" si="50"/>
        <v>1.2466755319148938E-6</v>
      </c>
      <c r="V202" s="1">
        <f t="shared" si="51"/>
        <v>2.5</v>
      </c>
      <c r="W202" s="1">
        <f t="shared" si="52"/>
        <v>138.10347544532968</v>
      </c>
      <c r="X202" s="1">
        <f t="shared" si="53"/>
        <v>3.125</v>
      </c>
      <c r="Y202" s="1">
        <f t="shared" si="54"/>
        <v>0.22140832578443054</v>
      </c>
      <c r="Z202" s="1">
        <v>38.740036799999999</v>
      </c>
    </row>
    <row r="203" spans="1:26" x14ac:dyDescent="0.25">
      <c r="A203" s="1">
        <f>25</f>
        <v>25</v>
      </c>
      <c r="B203" s="1">
        <v>0.4</v>
      </c>
      <c r="C203" s="1">
        <v>3.3333330000000001</v>
      </c>
      <c r="D203" s="1">
        <f t="shared" si="42"/>
        <v>8.3333325E-2</v>
      </c>
      <c r="E203" s="1">
        <v>10</v>
      </c>
      <c r="F203" s="1">
        <v>0.5</v>
      </c>
      <c r="G203" s="1">
        <v>75</v>
      </c>
      <c r="H203" s="1">
        <v>34.019660999999999</v>
      </c>
      <c r="I203" s="1">
        <f t="shared" si="43"/>
        <v>2.5000000000000001E-2</v>
      </c>
      <c r="J203" s="1">
        <f t="shared" si="44"/>
        <v>8.3333325E-2</v>
      </c>
      <c r="K203" s="1">
        <f t="shared" si="45"/>
        <v>4.0000000000000002E-4</v>
      </c>
      <c r="L203" s="1">
        <f t="shared" si="46"/>
        <v>0.20682149567917646</v>
      </c>
      <c r="M203" s="1">
        <f t="shared" si="47"/>
        <v>2.0833333333333332E-2</v>
      </c>
      <c r="N203" s="1">
        <v>235</v>
      </c>
      <c r="O203" s="1">
        <f t="shared" si="55"/>
        <v>3.2</v>
      </c>
      <c r="P203" s="1">
        <v>4148</v>
      </c>
      <c r="Q203" s="1">
        <f>[1]!HeatTransferArea(I203,D203,0.36,K203)</f>
        <v>0.39269904242881604</v>
      </c>
      <c r="R203" s="1">
        <f>[1]!Convection(I203,M203,1000,9*10^-4,K203,0.6,0.36,7)</f>
        <v>25638.910216425455</v>
      </c>
      <c r="S203" s="1">
        <f t="shared" si="48"/>
        <v>1.778009076118122</v>
      </c>
      <c r="T203" s="1">
        <f t="shared" si="49"/>
        <v>4.6173158614066653E-6</v>
      </c>
      <c r="U203" s="1">
        <f t="shared" si="50"/>
        <v>4.1555851063829797E-7</v>
      </c>
      <c r="V203" s="1">
        <f t="shared" si="51"/>
        <v>3.3333330000000001</v>
      </c>
      <c r="W203" s="1">
        <f t="shared" si="52"/>
        <v>414.31042633598895</v>
      </c>
      <c r="X203" s="1">
        <f t="shared" si="53"/>
        <v>3.125</v>
      </c>
      <c r="Y203" s="1">
        <f t="shared" si="54"/>
        <v>0.43746817279022449</v>
      </c>
      <c r="Z203" s="1">
        <v>34.019660999999999</v>
      </c>
    </row>
    <row r="204" spans="1:26" x14ac:dyDescent="0.25">
      <c r="A204" s="1">
        <f>25</f>
        <v>25</v>
      </c>
      <c r="B204" s="1">
        <v>0.4</v>
      </c>
      <c r="C204" s="1">
        <v>3.3333330000000001</v>
      </c>
      <c r="D204" s="1">
        <f t="shared" si="42"/>
        <v>8.3333325E-2</v>
      </c>
      <c r="E204" s="1">
        <v>10</v>
      </c>
      <c r="F204" s="1">
        <v>1</v>
      </c>
      <c r="G204" s="1">
        <v>75</v>
      </c>
      <c r="H204" s="1">
        <v>38.36391141</v>
      </c>
      <c r="I204" s="1">
        <f t="shared" si="43"/>
        <v>2.5000000000000001E-2</v>
      </c>
      <c r="J204" s="1">
        <f t="shared" si="44"/>
        <v>8.3333325E-2</v>
      </c>
      <c r="K204" s="1">
        <f t="shared" si="45"/>
        <v>4.0000000000000002E-4</v>
      </c>
      <c r="L204" s="1">
        <f t="shared" si="46"/>
        <v>0.20682149567917646</v>
      </c>
      <c r="M204" s="1">
        <f t="shared" si="47"/>
        <v>2.0833333333333332E-2</v>
      </c>
      <c r="N204" s="1">
        <v>235</v>
      </c>
      <c r="O204" s="1">
        <f t="shared" si="55"/>
        <v>3.2</v>
      </c>
      <c r="P204" s="1">
        <v>4148</v>
      </c>
      <c r="Q204" s="1">
        <f>[1]!HeatTransferArea(I204,D204,0.36,K204)</f>
        <v>0.39269904242881604</v>
      </c>
      <c r="R204" s="1">
        <f>[1]!Convection(I204,M204,1000,9*10^-4,K204,0.6,0.36,7)</f>
        <v>25638.910216425455</v>
      </c>
      <c r="S204" s="1">
        <f t="shared" si="48"/>
        <v>0.88900453805906099</v>
      </c>
      <c r="T204" s="1">
        <f t="shared" si="49"/>
        <v>9.2346317228133305E-6</v>
      </c>
      <c r="U204" s="1">
        <f t="shared" si="50"/>
        <v>8.3111702127659595E-7</v>
      </c>
      <c r="V204" s="1">
        <f t="shared" si="51"/>
        <v>3.3333330000000001</v>
      </c>
      <c r="W204" s="1">
        <f t="shared" si="52"/>
        <v>207.15521316799448</v>
      </c>
      <c r="X204" s="1">
        <f t="shared" si="53"/>
        <v>3.125</v>
      </c>
      <c r="Y204" s="1">
        <f t="shared" si="54"/>
        <v>0.24666604152255875</v>
      </c>
      <c r="Z204" s="1">
        <v>38.36391141</v>
      </c>
    </row>
    <row r="205" spans="1:26" x14ac:dyDescent="0.25">
      <c r="A205" s="1">
        <f>25</f>
        <v>25</v>
      </c>
      <c r="B205" s="1">
        <v>0.4</v>
      </c>
      <c r="C205" s="1">
        <v>3.3333330000000001</v>
      </c>
      <c r="D205" s="1">
        <f t="shared" si="42"/>
        <v>8.3333325E-2</v>
      </c>
      <c r="E205" s="1">
        <v>10</v>
      </c>
      <c r="F205" s="1">
        <v>1.5</v>
      </c>
      <c r="G205" s="1">
        <v>75</v>
      </c>
      <c r="H205" s="1">
        <v>38.687449819999998</v>
      </c>
      <c r="I205" s="1">
        <f t="shared" si="43"/>
        <v>2.5000000000000001E-2</v>
      </c>
      <c r="J205" s="1">
        <f t="shared" si="44"/>
        <v>8.3333325E-2</v>
      </c>
      <c r="K205" s="1">
        <f t="shared" si="45"/>
        <v>4.0000000000000002E-4</v>
      </c>
      <c r="L205" s="1">
        <f t="shared" si="46"/>
        <v>0.20682149567917646</v>
      </c>
      <c r="M205" s="1">
        <f t="shared" si="47"/>
        <v>2.0833333333333332E-2</v>
      </c>
      <c r="N205" s="1">
        <v>235</v>
      </c>
      <c r="O205" s="1">
        <f t="shared" si="55"/>
        <v>3.2</v>
      </c>
      <c r="P205" s="1">
        <v>4148</v>
      </c>
      <c r="Q205" s="1">
        <f>[1]!HeatTransferArea(I205,D205,0.36,K205)</f>
        <v>0.39269904242881604</v>
      </c>
      <c r="R205" s="1">
        <f>[1]!Convection(I205,M205,1000,9*10^-4,K205,0.6,0.36,7)</f>
        <v>25638.910216425455</v>
      </c>
      <c r="S205" s="1">
        <f t="shared" si="48"/>
        <v>0.59266969203937403</v>
      </c>
      <c r="T205" s="1">
        <f t="shared" si="49"/>
        <v>1.3851947584219997E-5</v>
      </c>
      <c r="U205" s="1">
        <f t="shared" si="50"/>
        <v>1.2466755319148938E-6</v>
      </c>
      <c r="V205" s="1">
        <f t="shared" si="51"/>
        <v>3.3333330000000001</v>
      </c>
      <c r="W205" s="1">
        <f t="shared" si="52"/>
        <v>138.10347544532968</v>
      </c>
      <c r="X205" s="1">
        <f t="shared" si="53"/>
        <v>3.125</v>
      </c>
      <c r="Y205" s="1">
        <f t="shared" si="54"/>
        <v>0.1658308507999624</v>
      </c>
      <c r="Z205" s="1">
        <v>38.687449819999998</v>
      </c>
    </row>
    <row r="206" spans="1:26" x14ac:dyDescent="0.25">
      <c r="A206" s="1">
        <f>25</f>
        <v>25</v>
      </c>
      <c r="B206" s="1">
        <v>0.4</v>
      </c>
      <c r="C206" s="1">
        <v>4.1666660000000002</v>
      </c>
      <c r="D206" s="1">
        <f t="shared" si="42"/>
        <v>0.10416665</v>
      </c>
      <c r="E206" s="1">
        <v>10</v>
      </c>
      <c r="F206" s="1">
        <v>0.5</v>
      </c>
      <c r="G206" s="1">
        <v>75</v>
      </c>
      <c r="H206" s="1">
        <v>36.481501199999997</v>
      </c>
      <c r="I206" s="1">
        <f t="shared" si="43"/>
        <v>2.5000000000000001E-2</v>
      </c>
      <c r="J206" s="1">
        <f t="shared" si="44"/>
        <v>0.10416665</v>
      </c>
      <c r="K206" s="1">
        <f t="shared" si="45"/>
        <v>4.0000000000000002E-4</v>
      </c>
      <c r="L206" s="1">
        <f t="shared" si="46"/>
        <v>0.25852685408735682</v>
      </c>
      <c r="M206" s="1">
        <f t="shared" si="47"/>
        <v>2.0833333333333332E-2</v>
      </c>
      <c r="N206" s="1">
        <v>235</v>
      </c>
      <c r="O206" s="1">
        <f t="shared" si="55"/>
        <v>3.2</v>
      </c>
      <c r="P206" s="1">
        <v>4148</v>
      </c>
      <c r="Q206" s="1">
        <f>[1]!HeatTransferArea(I206,D206,0.36,K206)</f>
        <v>0.49087377358358891</v>
      </c>
      <c r="R206" s="1">
        <f>[1]!Convection(I206,M206,1000,9*10^-4,K206,0.6,0.36,7)</f>
        <v>25638.910216425455</v>
      </c>
      <c r="S206" s="1">
        <f t="shared" si="48"/>
        <v>1.422407346238947</v>
      </c>
      <c r="T206" s="1">
        <f t="shared" si="49"/>
        <v>7.2145551677011307E-6</v>
      </c>
      <c r="U206" s="1">
        <f t="shared" si="50"/>
        <v>4.1555851063829797E-7</v>
      </c>
      <c r="V206" s="1">
        <f t="shared" si="51"/>
        <v>4.1666660000000002</v>
      </c>
      <c r="W206" s="1">
        <f t="shared" si="52"/>
        <v>414.31042633598906</v>
      </c>
      <c r="X206" s="1">
        <f t="shared" si="53"/>
        <v>3.125</v>
      </c>
      <c r="Y206" s="1">
        <f t="shared" si="54"/>
        <v>0.37530054466276486</v>
      </c>
      <c r="Z206" s="1">
        <v>36.481501199999997</v>
      </c>
    </row>
    <row r="207" spans="1:26" x14ac:dyDescent="0.25">
      <c r="A207" s="1">
        <f>25</f>
        <v>25</v>
      </c>
      <c r="B207" s="1">
        <v>0.4</v>
      </c>
      <c r="C207" s="1">
        <v>4.1666660000000002</v>
      </c>
      <c r="D207" s="1">
        <f t="shared" si="42"/>
        <v>0.10416665</v>
      </c>
      <c r="E207" s="1">
        <v>10</v>
      </c>
      <c r="F207" s="1">
        <v>1</v>
      </c>
      <c r="G207" s="1">
        <v>75</v>
      </c>
      <c r="H207" s="1">
        <v>38.334344199999997</v>
      </c>
      <c r="I207" s="1">
        <f t="shared" si="43"/>
        <v>2.5000000000000001E-2</v>
      </c>
      <c r="J207" s="1">
        <f t="shared" si="44"/>
        <v>0.10416665</v>
      </c>
      <c r="K207" s="1">
        <f t="shared" si="45"/>
        <v>4.0000000000000002E-4</v>
      </c>
      <c r="L207" s="1">
        <f t="shared" si="46"/>
        <v>0.25852685408735682</v>
      </c>
      <c r="M207" s="1">
        <f t="shared" si="47"/>
        <v>2.0833333333333332E-2</v>
      </c>
      <c r="N207" s="1">
        <v>235</v>
      </c>
      <c r="O207" s="1">
        <f t="shared" si="55"/>
        <v>3.2</v>
      </c>
      <c r="P207" s="1">
        <v>4148</v>
      </c>
      <c r="Q207" s="1">
        <f>[1]!HeatTransferArea(I207,D207,0.36,K207)</f>
        <v>0.49087377358358891</v>
      </c>
      <c r="R207" s="1">
        <f>[1]!Convection(I207,M207,1000,9*10^-4,K207,0.6,0.36,7)</f>
        <v>25638.910216425455</v>
      </c>
      <c r="S207" s="1">
        <f t="shared" si="48"/>
        <v>0.71120367311947352</v>
      </c>
      <c r="T207" s="1">
        <f t="shared" si="49"/>
        <v>1.4429110335402261E-5</v>
      </c>
      <c r="U207" s="1">
        <f t="shared" si="50"/>
        <v>8.3111702127659595E-7</v>
      </c>
      <c r="V207" s="1">
        <f t="shared" si="51"/>
        <v>4.1666660000000002</v>
      </c>
      <c r="W207" s="1">
        <f t="shared" si="52"/>
        <v>207.15521316799453</v>
      </c>
      <c r="X207" s="1">
        <f t="shared" si="53"/>
        <v>3.125</v>
      </c>
      <c r="Y207" s="1">
        <f t="shared" si="54"/>
        <v>0.1971807598963321</v>
      </c>
      <c r="Z207" s="1">
        <v>38.334344199999997</v>
      </c>
    </row>
    <row r="208" spans="1:26" x14ac:dyDescent="0.25">
      <c r="A208" s="1">
        <f>25</f>
        <v>25</v>
      </c>
      <c r="B208" s="1">
        <v>0.4</v>
      </c>
      <c r="C208" s="1">
        <v>4.1666660000000002</v>
      </c>
      <c r="D208" s="1">
        <f t="shared" si="42"/>
        <v>0.10416665</v>
      </c>
      <c r="E208" s="1">
        <v>10</v>
      </c>
      <c r="F208" s="1">
        <v>1.5</v>
      </c>
      <c r="G208" s="1">
        <v>75</v>
      </c>
      <c r="H208" s="1">
        <v>38.346542620000001</v>
      </c>
      <c r="I208" s="1">
        <f t="shared" si="43"/>
        <v>2.5000000000000001E-2</v>
      </c>
      <c r="J208" s="1">
        <f t="shared" si="44"/>
        <v>0.10416665</v>
      </c>
      <c r="K208" s="1">
        <f t="shared" si="45"/>
        <v>4.0000000000000002E-4</v>
      </c>
      <c r="L208" s="1">
        <f t="shared" si="46"/>
        <v>0.25852685408735682</v>
      </c>
      <c r="M208" s="1">
        <f t="shared" si="47"/>
        <v>2.0833333333333332E-2</v>
      </c>
      <c r="N208" s="1">
        <v>235</v>
      </c>
      <c r="O208" s="1">
        <f t="shared" si="55"/>
        <v>3.2</v>
      </c>
      <c r="P208" s="1">
        <v>4148</v>
      </c>
      <c r="Q208" s="1">
        <f>[1]!HeatTransferArea(I208,D208,0.36,K208)</f>
        <v>0.49087377358358891</v>
      </c>
      <c r="R208" s="1">
        <f>[1]!Convection(I208,M208,1000,9*10^-4,K208,0.6,0.36,7)</f>
        <v>25638.910216425455</v>
      </c>
      <c r="S208" s="1">
        <f t="shared" si="48"/>
        <v>0.47413578207964907</v>
      </c>
      <c r="T208" s="1">
        <f t="shared" si="49"/>
        <v>2.164366550310339E-5</v>
      </c>
      <c r="U208" s="1">
        <f t="shared" si="50"/>
        <v>1.2466755319148938E-6</v>
      </c>
      <c r="V208" s="1">
        <f t="shared" si="51"/>
        <v>4.1666660000000002</v>
      </c>
      <c r="W208" s="1">
        <f t="shared" si="52"/>
        <v>138.10347544532971</v>
      </c>
      <c r="X208" s="1">
        <f t="shared" si="53"/>
        <v>3.125</v>
      </c>
      <c r="Y208" s="1">
        <f t="shared" si="54"/>
        <v>0.13149567002303011</v>
      </c>
      <c r="Z208" s="1">
        <v>38.346542620000001</v>
      </c>
    </row>
    <row r="209" spans="1:26" x14ac:dyDescent="0.25">
      <c r="A209" s="1">
        <f>25</f>
        <v>25</v>
      </c>
      <c r="B209" s="1">
        <v>0.5</v>
      </c>
      <c r="C209" s="1">
        <v>2.5</v>
      </c>
      <c r="D209" s="1">
        <f t="shared" si="42"/>
        <v>6.25E-2</v>
      </c>
      <c r="E209" s="1">
        <v>10</v>
      </c>
      <c r="F209" s="1">
        <v>0.5</v>
      </c>
      <c r="G209" s="1">
        <v>75</v>
      </c>
      <c r="H209" s="1">
        <v>20.09823381</v>
      </c>
      <c r="I209" s="1">
        <f t="shared" si="43"/>
        <v>2.5000000000000001E-2</v>
      </c>
      <c r="J209" s="1">
        <f t="shared" si="44"/>
        <v>6.25E-2</v>
      </c>
      <c r="K209" s="1">
        <f t="shared" si="45"/>
        <v>5.0000000000000001E-4</v>
      </c>
      <c r="L209" s="1">
        <f t="shared" si="46"/>
        <v>0.15511613727099607</v>
      </c>
      <c r="M209" s="1">
        <f t="shared" si="47"/>
        <v>2.0833333333333332E-2</v>
      </c>
      <c r="N209" s="1">
        <v>235</v>
      </c>
      <c r="O209" s="1">
        <f t="shared" si="55"/>
        <v>3.2</v>
      </c>
      <c r="P209" s="1">
        <v>4148</v>
      </c>
      <c r="Q209" s="1">
        <f>[1]!HeatTransferArea(I209,D209,0.36,K209)</f>
        <v>0.23561944901923454</v>
      </c>
      <c r="R209" s="1">
        <f>[1]!Convection(I209,M209,1000,9*10^-4,K209,0.6,0.36,7)</f>
        <v>20660.760475301788</v>
      </c>
      <c r="S209" s="1">
        <f t="shared" si="48"/>
        <v>2.3706785310896192</v>
      </c>
      <c r="T209" s="1">
        <f t="shared" si="49"/>
        <v>2.5972406914893616E-6</v>
      </c>
      <c r="U209" s="1">
        <f t="shared" si="50"/>
        <v>4.1555851063829797E-7</v>
      </c>
      <c r="V209" s="1">
        <f t="shared" si="51"/>
        <v>2.5</v>
      </c>
      <c r="W209" s="1">
        <f t="shared" si="52"/>
        <v>267.093052198892</v>
      </c>
      <c r="X209" s="1">
        <f t="shared" si="53"/>
        <v>3.125</v>
      </c>
      <c r="Y209" s="1">
        <f t="shared" si="54"/>
        <v>0.34459825028582347</v>
      </c>
      <c r="Z209" s="1">
        <v>20.09823381</v>
      </c>
    </row>
    <row r="210" spans="1:26" x14ac:dyDescent="0.25">
      <c r="A210" s="1">
        <f>25</f>
        <v>25</v>
      </c>
      <c r="B210" s="1">
        <v>0.5</v>
      </c>
      <c r="C210" s="1">
        <v>2.5</v>
      </c>
      <c r="D210" s="1">
        <f t="shared" si="42"/>
        <v>6.25E-2</v>
      </c>
      <c r="E210" s="1">
        <v>10</v>
      </c>
      <c r="F210" s="1">
        <v>1</v>
      </c>
      <c r="G210" s="1">
        <v>75</v>
      </c>
      <c r="H210" s="1">
        <v>36.74566325</v>
      </c>
      <c r="I210" s="1">
        <f t="shared" si="43"/>
        <v>2.5000000000000001E-2</v>
      </c>
      <c r="J210" s="1">
        <f t="shared" si="44"/>
        <v>6.25E-2</v>
      </c>
      <c r="K210" s="1">
        <f t="shared" si="45"/>
        <v>5.0000000000000001E-4</v>
      </c>
      <c r="L210" s="1">
        <f t="shared" si="46"/>
        <v>0.15511613727099607</v>
      </c>
      <c r="M210" s="1">
        <f t="shared" si="47"/>
        <v>2.0833333333333332E-2</v>
      </c>
      <c r="N210" s="1">
        <v>235</v>
      </c>
      <c r="O210" s="1">
        <f t="shared" si="55"/>
        <v>3.2</v>
      </c>
      <c r="P210" s="1">
        <v>4148</v>
      </c>
      <c r="Q210" s="1">
        <f>[1]!HeatTransferArea(I210,D210,0.36,K210)</f>
        <v>0.23561944901923454</v>
      </c>
      <c r="R210" s="1">
        <f>[1]!Convection(I210,M210,1000,9*10^-4,K210,0.6,0.36,7)</f>
        <v>20660.760475301788</v>
      </c>
      <c r="S210" s="1">
        <f t="shared" si="48"/>
        <v>1.1853392655448096</v>
      </c>
      <c r="T210" s="1">
        <f t="shared" si="49"/>
        <v>5.1944813829787233E-6</v>
      </c>
      <c r="U210" s="1">
        <f t="shared" si="50"/>
        <v>8.3111702127659595E-7</v>
      </c>
      <c r="V210" s="1">
        <f t="shared" si="51"/>
        <v>2.5</v>
      </c>
      <c r="W210" s="1">
        <f t="shared" si="52"/>
        <v>133.546526099446</v>
      </c>
      <c r="X210" s="1">
        <f t="shared" si="53"/>
        <v>3.125</v>
      </c>
      <c r="Y210" s="1">
        <f t="shared" si="54"/>
        <v>0.315015025231764</v>
      </c>
      <c r="Z210" s="1">
        <v>36.74566325</v>
      </c>
    </row>
    <row r="211" spans="1:26" x14ac:dyDescent="0.25">
      <c r="A211" s="1">
        <f>25</f>
        <v>25</v>
      </c>
      <c r="B211" s="1">
        <v>0.5</v>
      </c>
      <c r="C211" s="1">
        <v>2.5</v>
      </c>
      <c r="D211" s="1">
        <f t="shared" si="42"/>
        <v>6.25E-2</v>
      </c>
      <c r="E211" s="1">
        <v>10</v>
      </c>
      <c r="F211" s="1">
        <v>1.5</v>
      </c>
      <c r="G211" s="1">
        <v>75</v>
      </c>
      <c r="H211" s="1">
        <v>38.106496049999997</v>
      </c>
      <c r="I211" s="1">
        <f t="shared" si="43"/>
        <v>2.5000000000000001E-2</v>
      </c>
      <c r="J211" s="1">
        <f t="shared" si="44"/>
        <v>6.25E-2</v>
      </c>
      <c r="K211" s="1">
        <f t="shared" si="45"/>
        <v>5.0000000000000001E-4</v>
      </c>
      <c r="L211" s="1">
        <f t="shared" si="46"/>
        <v>0.15511613727099607</v>
      </c>
      <c r="M211" s="1">
        <f t="shared" si="47"/>
        <v>2.0833333333333332E-2</v>
      </c>
      <c r="N211" s="1">
        <v>235</v>
      </c>
      <c r="O211" s="1">
        <f t="shared" si="55"/>
        <v>3.2</v>
      </c>
      <c r="P211" s="1">
        <v>4148</v>
      </c>
      <c r="Q211" s="1">
        <f>[1]!HeatTransferArea(I211,D211,0.36,K211)</f>
        <v>0.23561944901923454</v>
      </c>
      <c r="R211" s="1">
        <f>[1]!Convection(I211,M211,1000,9*10^-4,K211,0.6,0.36,7)</f>
        <v>20660.760475301788</v>
      </c>
      <c r="S211" s="1">
        <f t="shared" si="48"/>
        <v>0.79022617702987297</v>
      </c>
      <c r="T211" s="1">
        <f t="shared" si="49"/>
        <v>7.7917220744680845E-6</v>
      </c>
      <c r="U211" s="1">
        <f t="shared" si="50"/>
        <v>1.2466755319148938E-6</v>
      </c>
      <c r="V211" s="1">
        <f t="shared" si="51"/>
        <v>2.5</v>
      </c>
      <c r="W211" s="1">
        <f t="shared" si="52"/>
        <v>89.031017399630656</v>
      </c>
      <c r="X211" s="1">
        <f t="shared" si="53"/>
        <v>3.125</v>
      </c>
      <c r="Y211" s="1">
        <f t="shared" si="54"/>
        <v>0.21778749296235866</v>
      </c>
      <c r="Z211" s="1">
        <v>38.106496049999997</v>
      </c>
    </row>
    <row r="212" spans="1:26" x14ac:dyDescent="0.25">
      <c r="A212" s="1">
        <f>25</f>
        <v>25</v>
      </c>
      <c r="B212" s="1">
        <v>0.5</v>
      </c>
      <c r="C212" s="1">
        <v>3.3333330000000001</v>
      </c>
      <c r="D212" s="1">
        <f t="shared" si="42"/>
        <v>8.3333325E-2</v>
      </c>
      <c r="E212" s="1">
        <v>10</v>
      </c>
      <c r="F212" s="1">
        <v>0.5</v>
      </c>
      <c r="G212" s="1">
        <v>75</v>
      </c>
      <c r="H212" s="1">
        <v>33.140628970000002</v>
      </c>
      <c r="I212" s="1">
        <f t="shared" si="43"/>
        <v>2.5000000000000001E-2</v>
      </c>
      <c r="J212" s="1">
        <f t="shared" si="44"/>
        <v>8.3333325E-2</v>
      </c>
      <c r="K212" s="1">
        <f t="shared" si="45"/>
        <v>5.0000000000000001E-4</v>
      </c>
      <c r="L212" s="1">
        <f t="shared" si="46"/>
        <v>0.20682149567917646</v>
      </c>
      <c r="M212" s="1">
        <f t="shared" si="47"/>
        <v>2.0833333333333332E-2</v>
      </c>
      <c r="N212" s="1">
        <v>235</v>
      </c>
      <c r="O212" s="1">
        <f t="shared" si="55"/>
        <v>3.2</v>
      </c>
      <c r="P212" s="1">
        <v>4148</v>
      </c>
      <c r="Q212" s="1">
        <f>[1]!HeatTransferArea(I212,D212,0.36,K212)</f>
        <v>0.31415923394305284</v>
      </c>
      <c r="R212" s="1">
        <f>[1]!Convection(I212,M212,1000,9*10^-4,K212,0.6,0.36,7)</f>
        <v>20660.760475301788</v>
      </c>
      <c r="S212" s="1">
        <f t="shared" si="48"/>
        <v>1.778009076118122</v>
      </c>
      <c r="T212" s="1">
        <f t="shared" si="49"/>
        <v>4.6173158614066653E-6</v>
      </c>
      <c r="U212" s="1">
        <f t="shared" si="50"/>
        <v>4.1555851063829797E-7</v>
      </c>
      <c r="V212" s="1">
        <f t="shared" si="51"/>
        <v>3.3333330000000001</v>
      </c>
      <c r="W212" s="1">
        <f t="shared" si="52"/>
        <v>267.09305219889194</v>
      </c>
      <c r="X212" s="1">
        <f t="shared" si="53"/>
        <v>3.125</v>
      </c>
      <c r="Y212" s="1">
        <f t="shared" si="54"/>
        <v>0.42616445827090049</v>
      </c>
      <c r="Z212" s="1">
        <v>33.140628970000002</v>
      </c>
    </row>
    <row r="213" spans="1:26" x14ac:dyDescent="0.25">
      <c r="A213" s="1">
        <f>25</f>
        <v>25</v>
      </c>
      <c r="B213" s="1">
        <v>0.5</v>
      </c>
      <c r="C213" s="1">
        <v>3.3333330000000001</v>
      </c>
      <c r="D213" s="1">
        <f t="shared" si="42"/>
        <v>8.3333325E-2</v>
      </c>
      <c r="E213" s="1">
        <v>10</v>
      </c>
      <c r="F213" s="1">
        <v>1</v>
      </c>
      <c r="G213" s="1">
        <v>75</v>
      </c>
      <c r="H213" s="1">
        <v>38.046915490000004</v>
      </c>
      <c r="I213" s="1">
        <f t="shared" si="43"/>
        <v>2.5000000000000001E-2</v>
      </c>
      <c r="J213" s="1">
        <f t="shared" si="44"/>
        <v>8.3333325E-2</v>
      </c>
      <c r="K213" s="1">
        <f t="shared" si="45"/>
        <v>5.0000000000000001E-4</v>
      </c>
      <c r="L213" s="1">
        <f t="shared" si="46"/>
        <v>0.20682149567917646</v>
      </c>
      <c r="M213" s="1">
        <f t="shared" si="47"/>
        <v>2.0833333333333332E-2</v>
      </c>
      <c r="N213" s="1">
        <v>235</v>
      </c>
      <c r="O213" s="1">
        <f t="shared" si="55"/>
        <v>3.2</v>
      </c>
      <c r="P213" s="1">
        <v>4148</v>
      </c>
      <c r="Q213" s="1">
        <f>[1]!HeatTransferArea(I213,D213,0.36,K213)</f>
        <v>0.31415923394305284</v>
      </c>
      <c r="R213" s="1">
        <f>[1]!Convection(I213,M213,1000,9*10^-4,K213,0.6,0.36,7)</f>
        <v>20660.760475301788</v>
      </c>
      <c r="S213" s="1">
        <f t="shared" si="48"/>
        <v>0.88900453805906099</v>
      </c>
      <c r="T213" s="1">
        <f t="shared" si="49"/>
        <v>9.2346317228133305E-6</v>
      </c>
      <c r="U213" s="1">
        <f t="shared" si="50"/>
        <v>8.3111702127659595E-7</v>
      </c>
      <c r="V213" s="1">
        <f t="shared" si="51"/>
        <v>3.3333330000000001</v>
      </c>
      <c r="W213" s="1">
        <f t="shared" si="52"/>
        <v>133.54652609944597</v>
      </c>
      <c r="X213" s="1">
        <f t="shared" si="53"/>
        <v>3.125</v>
      </c>
      <c r="Y213" s="1">
        <f t="shared" si="54"/>
        <v>0.24462787268389286</v>
      </c>
      <c r="Z213" s="1">
        <v>38.046915490000004</v>
      </c>
    </row>
    <row r="214" spans="1:26" x14ac:dyDescent="0.25">
      <c r="A214" s="1">
        <f>25</f>
        <v>25</v>
      </c>
      <c r="B214" s="1">
        <v>0.5</v>
      </c>
      <c r="C214" s="1">
        <v>3.3333330000000001</v>
      </c>
      <c r="D214" s="1">
        <f t="shared" si="42"/>
        <v>8.3333325E-2</v>
      </c>
      <c r="E214" s="1">
        <v>10</v>
      </c>
      <c r="F214" s="1">
        <v>1.5</v>
      </c>
      <c r="G214" s="1">
        <v>75</v>
      </c>
      <c r="H214" s="1">
        <v>38.506324489999997</v>
      </c>
      <c r="I214" s="1">
        <f t="shared" si="43"/>
        <v>2.5000000000000001E-2</v>
      </c>
      <c r="J214" s="1">
        <f t="shared" si="44"/>
        <v>8.3333325E-2</v>
      </c>
      <c r="K214" s="1">
        <f t="shared" si="45"/>
        <v>5.0000000000000001E-4</v>
      </c>
      <c r="L214" s="1">
        <f t="shared" si="46"/>
        <v>0.20682149567917646</v>
      </c>
      <c r="M214" s="1">
        <f t="shared" si="47"/>
        <v>2.0833333333333332E-2</v>
      </c>
      <c r="N214" s="1">
        <v>235</v>
      </c>
      <c r="O214" s="1">
        <f t="shared" si="55"/>
        <v>3.2</v>
      </c>
      <c r="P214" s="1">
        <v>4148</v>
      </c>
      <c r="Q214" s="1">
        <f>[1]!HeatTransferArea(I214,D214,0.36,K214)</f>
        <v>0.31415923394305284</v>
      </c>
      <c r="R214" s="1">
        <f>[1]!Convection(I214,M214,1000,9*10^-4,K214,0.6,0.36,7)</f>
        <v>20660.760475301788</v>
      </c>
      <c r="S214" s="1">
        <f t="shared" si="48"/>
        <v>0.59266969203937403</v>
      </c>
      <c r="T214" s="1">
        <f t="shared" si="49"/>
        <v>1.3851947584219997E-5</v>
      </c>
      <c r="U214" s="1">
        <f t="shared" si="50"/>
        <v>1.2466755319148938E-6</v>
      </c>
      <c r="V214" s="1">
        <f t="shared" si="51"/>
        <v>3.3333330000000001</v>
      </c>
      <c r="W214" s="1">
        <f t="shared" si="52"/>
        <v>89.031017399630656</v>
      </c>
      <c r="X214" s="1">
        <f t="shared" si="53"/>
        <v>3.125</v>
      </c>
      <c r="Y214" s="1">
        <f t="shared" si="54"/>
        <v>0.16505447066337878</v>
      </c>
      <c r="Z214" s="1">
        <v>38.506324489999997</v>
      </c>
    </row>
    <row r="215" spans="1:26" x14ac:dyDescent="0.25">
      <c r="A215" s="1">
        <f>25</f>
        <v>25</v>
      </c>
      <c r="B215" s="1">
        <v>0.5</v>
      </c>
      <c r="C215" s="1">
        <v>4.1666660000000002</v>
      </c>
      <c r="D215" s="1">
        <f t="shared" si="42"/>
        <v>0.10416665</v>
      </c>
      <c r="E215" s="1">
        <v>10</v>
      </c>
      <c r="F215" s="1">
        <v>0.5</v>
      </c>
      <c r="G215" s="1">
        <v>75</v>
      </c>
      <c r="H215" s="1">
        <v>36.125026339999998</v>
      </c>
      <c r="I215" s="1">
        <f t="shared" si="43"/>
        <v>2.5000000000000001E-2</v>
      </c>
      <c r="J215" s="1">
        <f t="shared" si="44"/>
        <v>0.10416665</v>
      </c>
      <c r="K215" s="1">
        <f t="shared" si="45"/>
        <v>5.0000000000000001E-4</v>
      </c>
      <c r="L215" s="1">
        <f t="shared" si="46"/>
        <v>0.25852685408735682</v>
      </c>
      <c r="M215" s="1">
        <f t="shared" si="47"/>
        <v>2.0833333333333332E-2</v>
      </c>
      <c r="N215" s="1">
        <v>235</v>
      </c>
      <c r="O215" s="1">
        <f t="shared" si="55"/>
        <v>3.2</v>
      </c>
      <c r="P215" s="1">
        <v>4148</v>
      </c>
      <c r="Q215" s="1">
        <f>[1]!HeatTransferArea(I215,D215,0.36,K215)</f>
        <v>0.39269901886687114</v>
      </c>
      <c r="R215" s="1">
        <f>[1]!Convection(I215,M215,1000,9*10^-4,K215,0.6,0.36,7)</f>
        <v>20660.760475301788</v>
      </c>
      <c r="S215" s="1">
        <f t="shared" si="48"/>
        <v>1.422407346238947</v>
      </c>
      <c r="T215" s="1">
        <f t="shared" si="49"/>
        <v>7.2145551677011307E-6</v>
      </c>
      <c r="U215" s="1">
        <f t="shared" si="50"/>
        <v>4.1555851063829797E-7</v>
      </c>
      <c r="V215" s="1">
        <f t="shared" si="51"/>
        <v>4.1666660000000002</v>
      </c>
      <c r="W215" s="1">
        <f t="shared" si="52"/>
        <v>267.093052198892</v>
      </c>
      <c r="X215" s="1">
        <f t="shared" si="53"/>
        <v>3.125</v>
      </c>
      <c r="Y215" s="1">
        <f t="shared" si="54"/>
        <v>0.37163333786710312</v>
      </c>
      <c r="Z215" s="1">
        <v>36.125026339999998</v>
      </c>
    </row>
    <row r="216" spans="1:26" x14ac:dyDescent="0.25">
      <c r="A216" s="1">
        <f>25</f>
        <v>25</v>
      </c>
      <c r="B216" s="1">
        <v>0.5</v>
      </c>
      <c r="C216" s="1">
        <v>4.1666660000000002</v>
      </c>
      <c r="D216" s="1">
        <f t="shared" si="42"/>
        <v>0.10416665</v>
      </c>
      <c r="E216" s="1">
        <v>10</v>
      </c>
      <c r="F216" s="1">
        <v>1</v>
      </c>
      <c r="G216" s="1">
        <v>75</v>
      </c>
      <c r="H216" s="1">
        <v>38.32398749</v>
      </c>
      <c r="I216" s="1">
        <f t="shared" si="43"/>
        <v>2.5000000000000001E-2</v>
      </c>
      <c r="J216" s="1">
        <f t="shared" si="44"/>
        <v>0.10416665</v>
      </c>
      <c r="K216" s="1">
        <f t="shared" si="45"/>
        <v>5.0000000000000001E-4</v>
      </c>
      <c r="L216" s="1">
        <f t="shared" si="46"/>
        <v>0.25852685408735682</v>
      </c>
      <c r="M216" s="1">
        <f t="shared" si="47"/>
        <v>2.0833333333333332E-2</v>
      </c>
      <c r="N216" s="1">
        <v>235</v>
      </c>
      <c r="O216" s="1">
        <f t="shared" si="55"/>
        <v>3.2</v>
      </c>
      <c r="P216" s="1">
        <v>4148</v>
      </c>
      <c r="Q216" s="1">
        <f>[1]!HeatTransferArea(I216,D216,0.36,K216)</f>
        <v>0.39269901886687114</v>
      </c>
      <c r="R216" s="1">
        <f>[1]!Convection(I216,M216,1000,9*10^-4,K216,0.6,0.36,7)</f>
        <v>20660.760475301788</v>
      </c>
      <c r="S216" s="1">
        <f t="shared" si="48"/>
        <v>0.71120367311947352</v>
      </c>
      <c r="T216" s="1">
        <f t="shared" si="49"/>
        <v>1.4429110335402261E-5</v>
      </c>
      <c r="U216" s="1">
        <f t="shared" si="50"/>
        <v>8.3111702127659595E-7</v>
      </c>
      <c r="V216" s="1">
        <f t="shared" si="51"/>
        <v>4.1666660000000002</v>
      </c>
      <c r="W216" s="1">
        <f t="shared" si="52"/>
        <v>133.546526099446</v>
      </c>
      <c r="X216" s="1">
        <f t="shared" si="53"/>
        <v>3.125</v>
      </c>
      <c r="Y216" s="1">
        <f t="shared" si="54"/>
        <v>0.1971274879807576</v>
      </c>
      <c r="Z216" s="1">
        <v>38.32398749</v>
      </c>
    </row>
    <row r="217" spans="1:26" x14ac:dyDescent="0.25">
      <c r="A217" s="1">
        <f>25</f>
        <v>25</v>
      </c>
      <c r="B217" s="1">
        <v>0.5</v>
      </c>
      <c r="C217" s="1">
        <v>4.1666660000000002</v>
      </c>
      <c r="D217" s="1">
        <f t="shared" si="42"/>
        <v>0.10416665</v>
      </c>
      <c r="E217" s="1">
        <v>10</v>
      </c>
      <c r="F217" s="1">
        <v>1.5</v>
      </c>
      <c r="G217" s="1">
        <v>75</v>
      </c>
      <c r="H217" s="1">
        <v>38.417146389999999</v>
      </c>
      <c r="I217" s="1">
        <f t="shared" si="43"/>
        <v>2.5000000000000001E-2</v>
      </c>
      <c r="J217" s="1">
        <f t="shared" si="44"/>
        <v>0.10416665</v>
      </c>
      <c r="K217" s="1">
        <f t="shared" si="45"/>
        <v>5.0000000000000001E-4</v>
      </c>
      <c r="L217" s="1">
        <f t="shared" si="46"/>
        <v>0.25852685408735682</v>
      </c>
      <c r="M217" s="1">
        <f t="shared" si="47"/>
        <v>2.0833333333333332E-2</v>
      </c>
      <c r="N217" s="1">
        <v>235</v>
      </c>
      <c r="O217" s="1">
        <f>3.2</f>
        <v>3.2</v>
      </c>
      <c r="P217" s="1">
        <v>4148</v>
      </c>
      <c r="Q217" s="1">
        <f>[1]!HeatTransferArea(I217,D217,0.36,K217)</f>
        <v>0.39269901886687114</v>
      </c>
      <c r="R217" s="1">
        <f>[1]!Convection(I217,M217,1000,9*10^-4,K217,0.6,0.36,7)</f>
        <v>20660.760475301788</v>
      </c>
      <c r="S217" s="1">
        <f t="shared" si="48"/>
        <v>0.47413578207964907</v>
      </c>
      <c r="T217" s="1">
        <f t="shared" si="49"/>
        <v>2.164366550310339E-5</v>
      </c>
      <c r="U217" s="1">
        <f t="shared" si="50"/>
        <v>1.2466755319148938E-6</v>
      </c>
      <c r="V217" s="1">
        <f t="shared" si="51"/>
        <v>4.1666660000000002</v>
      </c>
      <c r="W217" s="1">
        <f t="shared" si="52"/>
        <v>89.03101739963067</v>
      </c>
      <c r="X217" s="1">
        <f t="shared" si="53"/>
        <v>3.125</v>
      </c>
      <c r="Y217" s="1">
        <f t="shared" si="54"/>
        <v>0.13173778024752422</v>
      </c>
      <c r="Z217" s="1">
        <v>38.417146389999999</v>
      </c>
    </row>
    <row r="218" spans="1:26" x14ac:dyDescent="0.25">
      <c r="A218" s="1">
        <v>25</v>
      </c>
      <c r="B218" s="1">
        <v>0.3</v>
      </c>
      <c r="C218" s="1">
        <v>3</v>
      </c>
      <c r="D218" s="1">
        <f t="shared" si="42"/>
        <v>7.4999999999999997E-2</v>
      </c>
      <c r="E218" s="1">
        <v>15</v>
      </c>
      <c r="F218" s="1">
        <v>0.5</v>
      </c>
      <c r="G218" s="1">
        <v>75</v>
      </c>
      <c r="H218" s="1">
        <v>22.139215459999999</v>
      </c>
      <c r="I218" s="1">
        <f t="shared" si="43"/>
        <v>2.5000000000000001E-2</v>
      </c>
      <c r="J218" s="1">
        <f t="shared" si="44"/>
        <v>7.4999999999999997E-2</v>
      </c>
      <c r="K218" s="1">
        <f t="shared" si="45"/>
        <v>2.9999999999999997E-4</v>
      </c>
      <c r="L218" s="1">
        <f t="shared" si="46"/>
        <v>0.18613936472519524</v>
      </c>
      <c r="M218" s="1">
        <f t="shared" si="47"/>
        <v>2.0833333333333332E-2</v>
      </c>
      <c r="N218" s="1">
        <v>264</v>
      </c>
      <c r="O218" s="1">
        <v>3.22</v>
      </c>
      <c r="P218" s="1">
        <v>4148</v>
      </c>
      <c r="Q218" s="1">
        <f>[1]!HeatTransferArea(I218,D218,0.36,K218)</f>
        <v>0.47123889803846908</v>
      </c>
      <c r="R218" s="1">
        <f>[1]!Convection(I218,M218,1000,9*10^-4,K218,0.6,0.36,7)</f>
        <v>33909.243146205263</v>
      </c>
      <c r="S218" s="1">
        <f t="shared" si="48"/>
        <v>1.7585525719888275</v>
      </c>
      <c r="T218" s="1">
        <f t="shared" si="49"/>
        <v>3.3085121400338789E-6</v>
      </c>
      <c r="U218" s="1">
        <f t="shared" si="50"/>
        <v>3.676124600037644E-7</v>
      </c>
      <c r="V218" s="1">
        <f t="shared" si="51"/>
        <v>3</v>
      </c>
      <c r="W218" s="1">
        <f t="shared" si="52"/>
        <v>650.34988772929171</v>
      </c>
      <c r="X218" s="1">
        <f t="shared" si="53"/>
        <v>4.658385093167702</v>
      </c>
      <c r="Y218" s="1">
        <f t="shared" si="54"/>
        <v>0.27982995110595765</v>
      </c>
      <c r="Z218" s="1">
        <v>22.139215459999999</v>
      </c>
    </row>
    <row r="219" spans="1:26" x14ac:dyDescent="0.25">
      <c r="A219" s="1">
        <v>25</v>
      </c>
      <c r="B219" s="1">
        <v>0.3</v>
      </c>
      <c r="C219" s="1">
        <v>3</v>
      </c>
      <c r="D219" s="1">
        <f t="shared" si="42"/>
        <v>7.4999999999999997E-2</v>
      </c>
      <c r="E219" s="1">
        <v>15</v>
      </c>
      <c r="F219" s="1">
        <v>1</v>
      </c>
      <c r="G219" s="1">
        <v>75</v>
      </c>
      <c r="H219" s="1">
        <v>28.625495059999999</v>
      </c>
      <c r="I219" s="1">
        <f t="shared" si="43"/>
        <v>2.5000000000000001E-2</v>
      </c>
      <c r="J219" s="1">
        <f t="shared" si="44"/>
        <v>7.4999999999999997E-2</v>
      </c>
      <c r="K219" s="1">
        <f t="shared" si="45"/>
        <v>2.9999999999999997E-4</v>
      </c>
      <c r="L219" s="1">
        <f t="shared" si="46"/>
        <v>0.18613936472519524</v>
      </c>
      <c r="M219" s="1">
        <f t="shared" si="47"/>
        <v>2.0833333333333332E-2</v>
      </c>
      <c r="N219" s="1">
        <v>264</v>
      </c>
      <c r="O219" s="1">
        <v>3.22</v>
      </c>
      <c r="P219" s="1">
        <v>4148</v>
      </c>
      <c r="Q219" s="1">
        <f>[1]!HeatTransferArea(I219,D219,0.36,K219)</f>
        <v>0.47123889803846908</v>
      </c>
      <c r="R219" s="1">
        <f>[1]!Convection(I219,M219,1000,9*10^-4,K219,0.6,0.36,7)</f>
        <v>33909.243146205263</v>
      </c>
      <c r="S219" s="1">
        <f t="shared" si="48"/>
        <v>0.87927628599441376</v>
      </c>
      <c r="T219" s="1">
        <f t="shared" si="49"/>
        <v>6.6170242800677579E-6</v>
      </c>
      <c r="U219" s="1">
        <f t="shared" si="50"/>
        <v>7.3522492000752879E-7</v>
      </c>
      <c r="V219" s="1">
        <f t="shared" si="51"/>
        <v>3</v>
      </c>
      <c r="W219" s="1">
        <f t="shared" si="52"/>
        <v>325.17494386464585</v>
      </c>
      <c r="X219" s="1">
        <f t="shared" si="53"/>
        <v>4.658385093167702</v>
      </c>
      <c r="Y219" s="1">
        <f t="shared" si="54"/>
        <v>0.18090683695400542</v>
      </c>
      <c r="Z219" s="1">
        <v>28.625495059999999</v>
      </c>
    </row>
    <row r="220" spans="1:26" x14ac:dyDescent="0.25">
      <c r="A220" s="1">
        <v>25</v>
      </c>
      <c r="B220" s="1">
        <v>0.3</v>
      </c>
      <c r="C220" s="1">
        <v>3</v>
      </c>
      <c r="D220" s="1">
        <f t="shared" si="42"/>
        <v>7.4999999999999997E-2</v>
      </c>
      <c r="E220" s="1">
        <v>15</v>
      </c>
      <c r="F220" s="1">
        <v>1.5</v>
      </c>
      <c r="G220" s="1">
        <v>75</v>
      </c>
      <c r="H220" s="1">
        <v>28.949631279999998</v>
      </c>
      <c r="I220" s="1">
        <f t="shared" si="43"/>
        <v>2.5000000000000001E-2</v>
      </c>
      <c r="J220" s="1">
        <f t="shared" si="44"/>
        <v>7.4999999999999997E-2</v>
      </c>
      <c r="K220" s="1">
        <f t="shared" si="45"/>
        <v>2.9999999999999997E-4</v>
      </c>
      <c r="L220" s="1">
        <f t="shared" si="46"/>
        <v>0.18613936472519524</v>
      </c>
      <c r="M220" s="1">
        <f t="shared" si="47"/>
        <v>2.0833333333333332E-2</v>
      </c>
      <c r="N220" s="1">
        <v>264</v>
      </c>
      <c r="O220" s="1">
        <v>3.22</v>
      </c>
      <c r="P220" s="1">
        <v>4148</v>
      </c>
      <c r="Q220" s="1">
        <f>[1]!HeatTransferArea(I220,D220,0.36,K220)</f>
        <v>0.47123889803846908</v>
      </c>
      <c r="R220" s="1">
        <f>[1]!Convection(I220,M220,1000,9*10^-4,K220,0.6,0.36,7)</f>
        <v>33909.243146205263</v>
      </c>
      <c r="S220" s="1">
        <f t="shared" si="48"/>
        <v>0.58618419066294247</v>
      </c>
      <c r="T220" s="1">
        <f t="shared" si="49"/>
        <v>9.9255364201016368E-6</v>
      </c>
      <c r="U220" s="1">
        <f t="shared" si="50"/>
        <v>1.1028373800112932E-6</v>
      </c>
      <c r="V220" s="1">
        <f t="shared" si="51"/>
        <v>3</v>
      </c>
      <c r="W220" s="1">
        <f t="shared" si="52"/>
        <v>216.78329590976389</v>
      </c>
      <c r="X220" s="1">
        <f t="shared" si="53"/>
        <v>4.658385093167702</v>
      </c>
      <c r="Y220" s="1">
        <f t="shared" si="54"/>
        <v>0.12197020441328538</v>
      </c>
      <c r="Z220" s="1">
        <v>28.949631279999998</v>
      </c>
    </row>
    <row r="221" spans="1:26" x14ac:dyDescent="0.25">
      <c r="A221" s="1">
        <v>25</v>
      </c>
      <c r="B221" s="1">
        <v>0.3</v>
      </c>
      <c r="C221" s="1">
        <v>4</v>
      </c>
      <c r="D221" s="1">
        <f t="shared" si="42"/>
        <v>0.1</v>
      </c>
      <c r="E221" s="1">
        <v>15</v>
      </c>
      <c r="F221" s="1">
        <v>0.5</v>
      </c>
      <c r="G221" s="1">
        <v>75</v>
      </c>
      <c r="H221" s="1">
        <v>26.9402908</v>
      </c>
      <c r="I221" s="1">
        <f t="shared" si="43"/>
        <v>2.5000000000000001E-2</v>
      </c>
      <c r="J221" s="1">
        <f t="shared" si="44"/>
        <v>0.1</v>
      </c>
      <c r="K221" s="1">
        <f t="shared" si="45"/>
        <v>2.9999999999999997E-4</v>
      </c>
      <c r="L221" s="1">
        <f t="shared" si="46"/>
        <v>0.24818581963359368</v>
      </c>
      <c r="M221" s="1">
        <f t="shared" si="47"/>
        <v>2.0833333333333332E-2</v>
      </c>
      <c r="N221" s="1">
        <v>264</v>
      </c>
      <c r="O221" s="1">
        <v>3.22</v>
      </c>
      <c r="P221" s="1">
        <v>4148</v>
      </c>
      <c r="Q221" s="1">
        <f>[1]!HeatTransferArea(I221,D221,0.36,K221)</f>
        <v>0.62831853071795885</v>
      </c>
      <c r="R221" s="1">
        <f>[1]!Convection(I221,M221,1000,9*10^-4,K221,0.6,0.36,7)</f>
        <v>33909.243146205263</v>
      </c>
      <c r="S221" s="1">
        <f t="shared" si="48"/>
        <v>1.3189144289916206</v>
      </c>
      <c r="T221" s="1">
        <f t="shared" si="49"/>
        <v>5.8817993600602304E-6</v>
      </c>
      <c r="U221" s="1">
        <f t="shared" si="50"/>
        <v>3.676124600037644E-7</v>
      </c>
      <c r="V221" s="1">
        <f t="shared" si="51"/>
        <v>4</v>
      </c>
      <c r="W221" s="1">
        <f t="shared" si="52"/>
        <v>650.34988772929171</v>
      </c>
      <c r="X221" s="1">
        <f t="shared" si="53"/>
        <v>4.658385093167702</v>
      </c>
      <c r="Y221" s="1">
        <f t="shared" si="54"/>
        <v>0.25538507465287624</v>
      </c>
      <c r="Z221" s="1">
        <v>26.9402908</v>
      </c>
    </row>
    <row r="222" spans="1:26" x14ac:dyDescent="0.25">
      <c r="A222" s="1">
        <v>25</v>
      </c>
      <c r="B222" s="1">
        <v>0.3</v>
      </c>
      <c r="C222" s="1">
        <v>4</v>
      </c>
      <c r="D222" s="1">
        <f t="shared" si="42"/>
        <v>0.1</v>
      </c>
      <c r="E222" s="1">
        <v>15</v>
      </c>
      <c r="F222" s="1">
        <v>1</v>
      </c>
      <c r="G222" s="1">
        <v>75</v>
      </c>
      <c r="H222" s="1">
        <v>28.4256916</v>
      </c>
      <c r="I222" s="1">
        <f t="shared" si="43"/>
        <v>2.5000000000000001E-2</v>
      </c>
      <c r="J222" s="1">
        <f t="shared" si="44"/>
        <v>0.1</v>
      </c>
      <c r="K222" s="1">
        <f t="shared" si="45"/>
        <v>2.9999999999999997E-4</v>
      </c>
      <c r="L222" s="1">
        <f t="shared" si="46"/>
        <v>0.24818581963359368</v>
      </c>
      <c r="M222" s="1">
        <f t="shared" si="47"/>
        <v>2.0833333333333332E-2</v>
      </c>
      <c r="N222" s="1">
        <v>264</v>
      </c>
      <c r="O222" s="1">
        <v>3.22</v>
      </c>
      <c r="P222" s="1">
        <v>4148</v>
      </c>
      <c r="Q222" s="1">
        <f>[1]!HeatTransferArea(I222,D222,0.36,K222)</f>
        <v>0.62831853071795885</v>
      </c>
      <c r="R222" s="1">
        <f>[1]!Convection(I222,M222,1000,9*10^-4,K222,0.6,0.36,7)</f>
        <v>33909.243146205263</v>
      </c>
      <c r="S222" s="1">
        <f t="shared" si="48"/>
        <v>0.6594572144958103</v>
      </c>
      <c r="T222" s="1">
        <f t="shared" si="49"/>
        <v>1.1763598720120461E-5</v>
      </c>
      <c r="U222" s="1">
        <f t="shared" si="50"/>
        <v>7.3522492000752879E-7</v>
      </c>
      <c r="V222" s="1">
        <f t="shared" si="51"/>
        <v>4</v>
      </c>
      <c r="W222" s="1">
        <f t="shared" si="52"/>
        <v>325.17494386464585</v>
      </c>
      <c r="X222" s="1">
        <f t="shared" si="53"/>
        <v>4.658385093167702</v>
      </c>
      <c r="Y222" s="1">
        <f t="shared" si="54"/>
        <v>0.1347330922523976</v>
      </c>
      <c r="Z222" s="1">
        <v>28.4256916</v>
      </c>
    </row>
    <row r="223" spans="1:26" x14ac:dyDescent="0.25">
      <c r="A223" s="1">
        <v>25</v>
      </c>
      <c r="B223" s="1">
        <v>0.3</v>
      </c>
      <c r="C223" s="1">
        <v>4</v>
      </c>
      <c r="D223" s="1">
        <f t="shared" si="42"/>
        <v>0.1</v>
      </c>
      <c r="E223" s="1">
        <v>15</v>
      </c>
      <c r="F223" s="1">
        <v>1.5</v>
      </c>
      <c r="G223" s="1">
        <v>75</v>
      </c>
      <c r="H223" s="1">
        <v>28.545139339999999</v>
      </c>
      <c r="I223" s="1">
        <f t="shared" si="43"/>
        <v>2.5000000000000001E-2</v>
      </c>
      <c r="J223" s="1">
        <f t="shared" si="44"/>
        <v>0.1</v>
      </c>
      <c r="K223" s="1">
        <f t="shared" si="45"/>
        <v>2.9999999999999997E-4</v>
      </c>
      <c r="L223" s="1">
        <f t="shared" si="46"/>
        <v>0.24818581963359368</v>
      </c>
      <c r="M223" s="1">
        <f t="shared" si="47"/>
        <v>2.0833333333333332E-2</v>
      </c>
      <c r="N223" s="1">
        <v>264</v>
      </c>
      <c r="O223" s="1">
        <v>3.22</v>
      </c>
      <c r="P223" s="1">
        <v>4148</v>
      </c>
      <c r="Q223" s="1">
        <f>[1]!HeatTransferArea(I223,D223,0.36,K223)</f>
        <v>0.62831853071795885</v>
      </c>
      <c r="R223" s="1">
        <f>[1]!Convection(I223,M223,1000,9*10^-4,K223,0.6,0.36,7)</f>
        <v>33909.243146205263</v>
      </c>
      <c r="S223" s="1">
        <f t="shared" si="48"/>
        <v>0.43963814299720683</v>
      </c>
      <c r="T223" s="1">
        <f t="shared" si="49"/>
        <v>1.7645398080180691E-5</v>
      </c>
      <c r="U223" s="1">
        <f t="shared" si="50"/>
        <v>1.1028373800112932E-6</v>
      </c>
      <c r="V223" s="1">
        <f t="shared" si="51"/>
        <v>4</v>
      </c>
      <c r="W223" s="1">
        <f t="shared" si="52"/>
        <v>216.78329590976389</v>
      </c>
      <c r="X223" s="1">
        <f t="shared" si="53"/>
        <v>4.658385093167702</v>
      </c>
      <c r="Y223" s="1">
        <f t="shared" si="54"/>
        <v>9.019950323281406E-2</v>
      </c>
      <c r="Z223" s="1">
        <v>28.545139339999999</v>
      </c>
    </row>
    <row r="224" spans="1:26" x14ac:dyDescent="0.25">
      <c r="A224" s="1">
        <v>25</v>
      </c>
      <c r="B224" s="1">
        <v>0.3</v>
      </c>
      <c r="C224" s="1">
        <v>5</v>
      </c>
      <c r="D224" s="1">
        <f t="shared" si="42"/>
        <v>0.125</v>
      </c>
      <c r="E224" s="1">
        <v>15</v>
      </c>
      <c r="F224" s="1">
        <v>0.5</v>
      </c>
      <c r="G224" s="1">
        <v>75</v>
      </c>
      <c r="H224" s="1">
        <v>27.570648819999999</v>
      </c>
      <c r="I224" s="1">
        <f t="shared" si="43"/>
        <v>2.5000000000000001E-2</v>
      </c>
      <c r="J224" s="1">
        <f t="shared" si="44"/>
        <v>0.125</v>
      </c>
      <c r="K224" s="1">
        <f t="shared" si="45"/>
        <v>2.9999999999999997E-4</v>
      </c>
      <c r="L224" s="1">
        <f t="shared" si="46"/>
        <v>0.31023227454199215</v>
      </c>
      <c r="M224" s="1">
        <f t="shared" si="47"/>
        <v>2.0833333333333332E-2</v>
      </c>
      <c r="N224" s="1">
        <v>264</v>
      </c>
      <c r="O224" s="1">
        <v>3.22</v>
      </c>
      <c r="P224" s="1">
        <v>4148</v>
      </c>
      <c r="Q224" s="1">
        <f>[1]!HeatTransferArea(I224,D224,0.36,K224)</f>
        <v>0.7853981633974485</v>
      </c>
      <c r="R224" s="1">
        <f>[1]!Convection(I224,M224,1000,9*10^-4,K224,0.6,0.36,7)</f>
        <v>33909.243146205263</v>
      </c>
      <c r="S224" s="1">
        <f t="shared" si="48"/>
        <v>1.0551315431932964</v>
      </c>
      <c r="T224" s="1">
        <f t="shared" si="49"/>
        <v>9.1903115000941076E-6</v>
      </c>
      <c r="U224" s="1">
        <f t="shared" si="50"/>
        <v>3.676124600037644E-7</v>
      </c>
      <c r="V224" s="1">
        <f t="shared" si="51"/>
        <v>5</v>
      </c>
      <c r="W224" s="1">
        <f t="shared" si="52"/>
        <v>650.34988772929159</v>
      </c>
      <c r="X224" s="1">
        <f t="shared" si="53"/>
        <v>4.658385093167702</v>
      </c>
      <c r="Y224" s="1">
        <f t="shared" si="54"/>
        <v>0.20908852868429861</v>
      </c>
      <c r="Z224" s="1">
        <v>27.570648819999999</v>
      </c>
    </row>
    <row r="225" spans="1:26" x14ac:dyDescent="0.25">
      <c r="A225" s="1">
        <v>25</v>
      </c>
      <c r="B225" s="1">
        <v>0.3</v>
      </c>
      <c r="C225" s="1">
        <v>5</v>
      </c>
      <c r="D225" s="1">
        <f t="shared" si="42"/>
        <v>0.125</v>
      </c>
      <c r="E225" s="1">
        <v>15</v>
      </c>
      <c r="F225" s="1">
        <v>1</v>
      </c>
      <c r="G225" s="1">
        <v>75</v>
      </c>
      <c r="H225" s="1">
        <v>28.155537020000001</v>
      </c>
      <c r="I225" s="1">
        <f t="shared" si="43"/>
        <v>2.5000000000000001E-2</v>
      </c>
      <c r="J225" s="1">
        <f t="shared" si="44"/>
        <v>0.125</v>
      </c>
      <c r="K225" s="1">
        <f t="shared" si="45"/>
        <v>2.9999999999999997E-4</v>
      </c>
      <c r="L225" s="1">
        <f t="shared" si="46"/>
        <v>0.31023227454199215</v>
      </c>
      <c r="M225" s="1">
        <f t="shared" si="47"/>
        <v>2.0833333333333332E-2</v>
      </c>
      <c r="N225" s="1">
        <v>264</v>
      </c>
      <c r="O225" s="1">
        <v>3.22</v>
      </c>
      <c r="P225" s="1">
        <v>4148</v>
      </c>
      <c r="Q225" s="1">
        <f>[1]!HeatTransferArea(I225,D225,0.36,K225)</f>
        <v>0.7853981633974485</v>
      </c>
      <c r="R225" s="1">
        <f>[1]!Convection(I225,M225,1000,9*10^-4,K225,0.6,0.36,7)</f>
        <v>33909.243146205263</v>
      </c>
      <c r="S225" s="1">
        <f t="shared" si="48"/>
        <v>0.52756577159664819</v>
      </c>
      <c r="T225" s="1">
        <f t="shared" si="49"/>
        <v>1.8380623000188215E-5</v>
      </c>
      <c r="U225" s="1">
        <f t="shared" si="50"/>
        <v>7.3522492000752879E-7</v>
      </c>
      <c r="V225" s="1">
        <f t="shared" si="51"/>
        <v>5</v>
      </c>
      <c r="W225" s="1">
        <f t="shared" si="52"/>
        <v>325.1749438646458</v>
      </c>
      <c r="X225" s="1">
        <f t="shared" si="53"/>
        <v>4.658385093167702</v>
      </c>
      <c r="Y225" s="1">
        <f t="shared" si="54"/>
        <v>0.10676208326221215</v>
      </c>
      <c r="Z225" s="1">
        <v>28.155537020000001</v>
      </c>
    </row>
    <row r="226" spans="1:26" x14ac:dyDescent="0.25">
      <c r="A226" s="1">
        <v>25</v>
      </c>
      <c r="B226" s="1">
        <v>0.3</v>
      </c>
      <c r="C226" s="1">
        <v>5</v>
      </c>
      <c r="D226" s="1">
        <f t="shared" si="42"/>
        <v>0.125</v>
      </c>
      <c r="E226" s="1">
        <v>15</v>
      </c>
      <c r="F226" s="1">
        <v>1.5</v>
      </c>
      <c r="G226" s="1">
        <v>75</v>
      </c>
      <c r="H226" s="1">
        <v>28.22622561</v>
      </c>
      <c r="I226" s="1">
        <f t="shared" si="43"/>
        <v>2.5000000000000001E-2</v>
      </c>
      <c r="J226" s="1">
        <f t="shared" si="44"/>
        <v>0.125</v>
      </c>
      <c r="K226" s="1">
        <f t="shared" si="45"/>
        <v>2.9999999999999997E-4</v>
      </c>
      <c r="L226" s="1">
        <f t="shared" si="46"/>
        <v>0.31023227454199215</v>
      </c>
      <c r="M226" s="1">
        <f t="shared" si="47"/>
        <v>2.0833333333333332E-2</v>
      </c>
      <c r="N226" s="1">
        <v>264</v>
      </c>
      <c r="O226" s="1">
        <v>3.22</v>
      </c>
      <c r="P226" s="1">
        <v>4148</v>
      </c>
      <c r="Q226" s="1">
        <f>[1]!HeatTransferArea(I226,D226,0.36,K226)</f>
        <v>0.7853981633974485</v>
      </c>
      <c r="R226" s="1">
        <f>[1]!Convection(I226,M226,1000,9*10^-4,K226,0.6,0.36,7)</f>
        <v>33909.243146205263</v>
      </c>
      <c r="S226" s="1">
        <f t="shared" si="48"/>
        <v>0.35171051439776541</v>
      </c>
      <c r="T226" s="1">
        <f t="shared" si="49"/>
        <v>2.7570934500282325E-5</v>
      </c>
      <c r="U226" s="1">
        <f t="shared" si="50"/>
        <v>1.1028373800112932E-6</v>
      </c>
      <c r="V226" s="1">
        <f t="shared" si="51"/>
        <v>5</v>
      </c>
      <c r="W226" s="1">
        <f t="shared" si="52"/>
        <v>216.78329590976386</v>
      </c>
      <c r="X226" s="1">
        <f t="shared" si="53"/>
        <v>4.658385093167702</v>
      </c>
      <c r="Y226" s="1">
        <f t="shared" si="54"/>
        <v>7.135341671544515E-2</v>
      </c>
      <c r="Z226" s="1">
        <v>28.22622561</v>
      </c>
    </row>
    <row r="227" spans="1:26" x14ac:dyDescent="0.25">
      <c r="A227" s="1">
        <v>25</v>
      </c>
      <c r="B227" s="1">
        <v>0.4</v>
      </c>
      <c r="C227" s="1">
        <v>3</v>
      </c>
      <c r="D227" s="1">
        <f t="shared" si="42"/>
        <v>7.4999999999999997E-2</v>
      </c>
      <c r="E227" s="1">
        <v>15</v>
      </c>
      <c r="F227" s="1">
        <v>0.5</v>
      </c>
      <c r="G227" s="1">
        <v>75</v>
      </c>
      <c r="H227" s="1">
        <v>20.672214459999999</v>
      </c>
      <c r="I227" s="1">
        <f t="shared" si="43"/>
        <v>2.5000000000000001E-2</v>
      </c>
      <c r="J227" s="1">
        <f t="shared" si="44"/>
        <v>7.4999999999999997E-2</v>
      </c>
      <c r="K227" s="1">
        <f t="shared" si="45"/>
        <v>4.0000000000000002E-4</v>
      </c>
      <c r="L227" s="1">
        <f t="shared" si="46"/>
        <v>0.18613936472519524</v>
      </c>
      <c r="M227" s="1">
        <f t="shared" si="47"/>
        <v>2.0833333333333332E-2</v>
      </c>
      <c r="N227" s="1">
        <v>264</v>
      </c>
      <c r="O227" s="1">
        <v>3.22</v>
      </c>
      <c r="P227" s="1">
        <v>4148</v>
      </c>
      <c r="Q227" s="1">
        <f>[1]!HeatTransferArea(I227,D227,0.36,K227)</f>
        <v>0.35342917352885178</v>
      </c>
      <c r="R227" s="1">
        <f>[1]!Convection(I227,M227,1000,9*10^-4,K227,0.6,0.36,7)</f>
        <v>25638.910216425455</v>
      </c>
      <c r="S227" s="1">
        <f t="shared" si="48"/>
        <v>1.7585525719888275</v>
      </c>
      <c r="T227" s="1">
        <f t="shared" si="49"/>
        <v>3.3085121400338789E-6</v>
      </c>
      <c r="U227" s="1">
        <f t="shared" si="50"/>
        <v>3.676124600037644E-7</v>
      </c>
      <c r="V227" s="1">
        <f t="shared" si="51"/>
        <v>3</v>
      </c>
      <c r="W227" s="1">
        <f t="shared" si="52"/>
        <v>368.79905374605084</v>
      </c>
      <c r="X227" s="1">
        <f t="shared" si="53"/>
        <v>4.658385093167702</v>
      </c>
      <c r="Y227" s="1">
        <f t="shared" si="54"/>
        <v>0.26128770335358897</v>
      </c>
      <c r="Z227" s="1">
        <v>20.672214459999999</v>
      </c>
    </row>
    <row r="228" spans="1:26" x14ac:dyDescent="0.25">
      <c r="A228" s="1">
        <v>25</v>
      </c>
      <c r="B228" s="1">
        <v>0.4</v>
      </c>
      <c r="C228" s="1">
        <v>3</v>
      </c>
      <c r="D228" s="1">
        <f t="shared" si="42"/>
        <v>7.4999999999999997E-2</v>
      </c>
      <c r="E228" s="1">
        <v>15</v>
      </c>
      <c r="F228" s="1">
        <v>1</v>
      </c>
      <c r="G228" s="1">
        <v>75</v>
      </c>
      <c r="H228" s="1">
        <v>28.250629920000002</v>
      </c>
      <c r="I228" s="1">
        <f t="shared" si="43"/>
        <v>2.5000000000000001E-2</v>
      </c>
      <c r="J228" s="1">
        <f t="shared" si="44"/>
        <v>7.4999999999999997E-2</v>
      </c>
      <c r="K228" s="1">
        <f t="shared" si="45"/>
        <v>4.0000000000000002E-4</v>
      </c>
      <c r="L228" s="1">
        <f t="shared" si="46"/>
        <v>0.18613936472519524</v>
      </c>
      <c r="M228" s="1">
        <f t="shared" si="47"/>
        <v>2.0833333333333332E-2</v>
      </c>
      <c r="N228" s="1">
        <v>264</v>
      </c>
      <c r="O228" s="1">
        <v>3.22</v>
      </c>
      <c r="P228" s="1">
        <v>4148</v>
      </c>
      <c r="Q228" s="1">
        <f>[1]!HeatTransferArea(I228,D228,0.36,K228)</f>
        <v>0.35342917352885178</v>
      </c>
      <c r="R228" s="1">
        <f>[1]!Convection(I228,M228,1000,9*10^-4,K228,0.6,0.36,7)</f>
        <v>25638.910216425455</v>
      </c>
      <c r="S228" s="1">
        <f t="shared" si="48"/>
        <v>0.87927628599441376</v>
      </c>
      <c r="T228" s="1">
        <f t="shared" si="49"/>
        <v>6.6170242800677579E-6</v>
      </c>
      <c r="U228" s="1">
        <f t="shared" si="50"/>
        <v>7.3522492000752879E-7</v>
      </c>
      <c r="V228" s="1">
        <f t="shared" si="51"/>
        <v>3</v>
      </c>
      <c r="W228" s="1">
        <f t="shared" si="52"/>
        <v>184.39952687302542</v>
      </c>
      <c r="X228" s="1">
        <f t="shared" si="53"/>
        <v>4.658385093167702</v>
      </c>
      <c r="Y228" s="1">
        <f t="shared" si="54"/>
        <v>0.17853777166379556</v>
      </c>
      <c r="Z228" s="1">
        <v>28.250629920000002</v>
      </c>
    </row>
    <row r="229" spans="1:26" x14ac:dyDescent="0.25">
      <c r="A229" s="1">
        <v>25</v>
      </c>
      <c r="B229" s="1">
        <v>0.4</v>
      </c>
      <c r="C229" s="1">
        <v>3</v>
      </c>
      <c r="D229" s="1">
        <f t="shared" si="42"/>
        <v>7.4999999999999997E-2</v>
      </c>
      <c r="E229" s="1">
        <v>15</v>
      </c>
      <c r="F229" s="1">
        <v>1.5</v>
      </c>
      <c r="G229" s="1">
        <v>75</v>
      </c>
      <c r="H229" s="1">
        <v>28.712045530000001</v>
      </c>
      <c r="I229" s="1">
        <f t="shared" si="43"/>
        <v>2.5000000000000001E-2</v>
      </c>
      <c r="J229" s="1">
        <f t="shared" si="44"/>
        <v>7.4999999999999997E-2</v>
      </c>
      <c r="K229" s="1">
        <f t="shared" si="45"/>
        <v>4.0000000000000002E-4</v>
      </c>
      <c r="L229" s="1">
        <f t="shared" si="46"/>
        <v>0.18613936472519524</v>
      </c>
      <c r="M229" s="1">
        <f t="shared" si="47"/>
        <v>2.0833333333333332E-2</v>
      </c>
      <c r="N229" s="1">
        <v>264</v>
      </c>
      <c r="O229" s="1">
        <v>3.22</v>
      </c>
      <c r="P229" s="1">
        <v>4148</v>
      </c>
      <c r="Q229" s="1">
        <f>[1]!HeatTransferArea(I229,D229,0.36,K229)</f>
        <v>0.35342917352885178</v>
      </c>
      <c r="R229" s="1">
        <f>[1]!Convection(I229,M229,1000,9*10^-4,K229,0.6,0.36,7)</f>
        <v>25638.910216425455</v>
      </c>
      <c r="S229" s="1">
        <f t="shared" si="48"/>
        <v>0.58618419066294247</v>
      </c>
      <c r="T229" s="1">
        <f t="shared" si="49"/>
        <v>9.9255364201016368E-6</v>
      </c>
      <c r="U229" s="1">
        <f t="shared" si="50"/>
        <v>1.1028373800112932E-6</v>
      </c>
      <c r="V229" s="1">
        <f t="shared" si="51"/>
        <v>3</v>
      </c>
      <c r="W229" s="1">
        <f t="shared" si="52"/>
        <v>122.93301791535029</v>
      </c>
      <c r="X229" s="1">
        <f t="shared" si="53"/>
        <v>4.658385093167702</v>
      </c>
      <c r="Y229" s="1">
        <f t="shared" si="54"/>
        <v>0.12096921126719293</v>
      </c>
      <c r="Z229" s="1">
        <v>28.712045530000001</v>
      </c>
    </row>
    <row r="230" spans="1:26" x14ac:dyDescent="0.25">
      <c r="A230" s="1">
        <v>25</v>
      </c>
      <c r="B230" s="1">
        <v>0.4</v>
      </c>
      <c r="C230" s="1">
        <v>4</v>
      </c>
      <c r="D230" s="1">
        <f t="shared" si="42"/>
        <v>0.1</v>
      </c>
      <c r="E230" s="1">
        <v>15</v>
      </c>
      <c r="F230" s="1">
        <v>0.5</v>
      </c>
      <c r="G230" s="1">
        <v>75</v>
      </c>
      <c r="H230" s="1">
        <v>26.493758530000001</v>
      </c>
      <c r="I230" s="1">
        <f t="shared" si="43"/>
        <v>2.5000000000000001E-2</v>
      </c>
      <c r="J230" s="1">
        <f t="shared" si="44"/>
        <v>0.1</v>
      </c>
      <c r="K230" s="1">
        <f t="shared" si="45"/>
        <v>4.0000000000000002E-4</v>
      </c>
      <c r="L230" s="1">
        <f t="shared" si="46"/>
        <v>0.24818581963359368</v>
      </c>
      <c r="M230" s="1">
        <f t="shared" si="47"/>
        <v>2.0833333333333332E-2</v>
      </c>
      <c r="N230" s="1">
        <v>264</v>
      </c>
      <c r="O230" s="1">
        <v>3.22</v>
      </c>
      <c r="P230" s="1">
        <v>4148</v>
      </c>
      <c r="Q230" s="1">
        <f>[1]!HeatTransferArea(I230,D230,0.36,K230)</f>
        <v>0.47123889803846908</v>
      </c>
      <c r="R230" s="1">
        <f>[1]!Convection(I230,M230,1000,9*10^-4,K230,0.6,0.36,7)</f>
        <v>25638.910216425455</v>
      </c>
      <c r="S230" s="1">
        <f t="shared" si="48"/>
        <v>1.3189144289916206</v>
      </c>
      <c r="T230" s="1">
        <f t="shared" si="49"/>
        <v>5.8817993600602304E-6</v>
      </c>
      <c r="U230" s="1">
        <f t="shared" si="50"/>
        <v>3.676124600037644E-7</v>
      </c>
      <c r="V230" s="1">
        <f t="shared" si="51"/>
        <v>4</v>
      </c>
      <c r="W230" s="1">
        <f t="shared" si="52"/>
        <v>368.7990537460509</v>
      </c>
      <c r="X230" s="1">
        <f t="shared" si="53"/>
        <v>4.658385093167702</v>
      </c>
      <c r="Y230" s="1">
        <f t="shared" si="54"/>
        <v>0.25115209595359406</v>
      </c>
      <c r="Z230" s="1">
        <v>26.493758530000001</v>
      </c>
    </row>
    <row r="231" spans="1:26" x14ac:dyDescent="0.25">
      <c r="A231" s="1">
        <v>25</v>
      </c>
      <c r="B231" s="1">
        <v>0.4</v>
      </c>
      <c r="C231" s="1">
        <v>4</v>
      </c>
      <c r="D231" s="1">
        <f t="shared" si="42"/>
        <v>0.1</v>
      </c>
      <c r="E231" s="1">
        <v>15</v>
      </c>
      <c r="F231" s="1">
        <v>1</v>
      </c>
      <c r="G231" s="1">
        <v>75</v>
      </c>
      <c r="H231" s="1">
        <v>28.395837350000001</v>
      </c>
      <c r="I231" s="1">
        <f t="shared" si="43"/>
        <v>2.5000000000000001E-2</v>
      </c>
      <c r="J231" s="1">
        <f t="shared" si="44"/>
        <v>0.1</v>
      </c>
      <c r="K231" s="1">
        <f t="shared" si="45"/>
        <v>4.0000000000000002E-4</v>
      </c>
      <c r="L231" s="1">
        <f t="shared" si="46"/>
        <v>0.24818581963359368</v>
      </c>
      <c r="M231" s="1">
        <f t="shared" si="47"/>
        <v>2.0833333333333332E-2</v>
      </c>
      <c r="N231" s="1">
        <v>264</v>
      </c>
      <c r="O231" s="1">
        <v>3.22</v>
      </c>
      <c r="P231" s="1">
        <v>4148</v>
      </c>
      <c r="Q231" s="1">
        <f>[1]!HeatTransferArea(I231,D231,0.36,K231)</f>
        <v>0.47123889803846908</v>
      </c>
      <c r="R231" s="1">
        <f>[1]!Convection(I231,M231,1000,9*10^-4,K231,0.6,0.36,7)</f>
        <v>25638.910216425455</v>
      </c>
      <c r="S231" s="1">
        <f t="shared" si="48"/>
        <v>0.6594572144958103</v>
      </c>
      <c r="T231" s="1">
        <f t="shared" si="49"/>
        <v>1.1763598720120461E-5</v>
      </c>
      <c r="U231" s="1">
        <f t="shared" si="50"/>
        <v>7.3522492000752879E-7</v>
      </c>
      <c r="V231" s="1">
        <f t="shared" si="51"/>
        <v>4</v>
      </c>
      <c r="W231" s="1">
        <f t="shared" si="52"/>
        <v>184.39952687302545</v>
      </c>
      <c r="X231" s="1">
        <f t="shared" si="53"/>
        <v>4.658385093167702</v>
      </c>
      <c r="Y231" s="1">
        <f t="shared" si="54"/>
        <v>0.13459158802882487</v>
      </c>
      <c r="Z231" s="1">
        <v>28.395837350000001</v>
      </c>
    </row>
    <row r="232" spans="1:26" x14ac:dyDescent="0.25">
      <c r="A232" s="1">
        <v>25</v>
      </c>
      <c r="B232" s="1">
        <v>0.4</v>
      </c>
      <c r="C232" s="1">
        <v>4</v>
      </c>
      <c r="D232" s="1">
        <f t="shared" si="42"/>
        <v>0.1</v>
      </c>
      <c r="E232" s="1">
        <v>15</v>
      </c>
      <c r="F232" s="1">
        <v>1.5</v>
      </c>
      <c r="G232" s="1">
        <v>75</v>
      </c>
      <c r="H232" s="1">
        <v>28.492696380000002</v>
      </c>
      <c r="I232" s="1">
        <f t="shared" si="43"/>
        <v>2.5000000000000001E-2</v>
      </c>
      <c r="J232" s="1">
        <f t="shared" si="44"/>
        <v>0.1</v>
      </c>
      <c r="K232" s="1">
        <f t="shared" si="45"/>
        <v>4.0000000000000002E-4</v>
      </c>
      <c r="L232" s="1">
        <f t="shared" si="46"/>
        <v>0.24818581963359368</v>
      </c>
      <c r="M232" s="1">
        <f t="shared" si="47"/>
        <v>2.0833333333333332E-2</v>
      </c>
      <c r="N232" s="1">
        <v>264</v>
      </c>
      <c r="O232" s="1">
        <v>3.22</v>
      </c>
      <c r="P232" s="1">
        <v>4148</v>
      </c>
      <c r="Q232" s="1">
        <f>[1]!HeatTransferArea(I232,D232,0.36,K232)</f>
        <v>0.47123889803846908</v>
      </c>
      <c r="R232" s="1">
        <f>[1]!Convection(I232,M232,1000,9*10^-4,K232,0.6,0.36,7)</f>
        <v>25638.910216425455</v>
      </c>
      <c r="S232" s="1">
        <f t="shared" si="48"/>
        <v>0.43963814299720683</v>
      </c>
      <c r="T232" s="1">
        <f t="shared" si="49"/>
        <v>1.7645398080180691E-5</v>
      </c>
      <c r="U232" s="1">
        <f t="shared" si="50"/>
        <v>1.1028373800112932E-6</v>
      </c>
      <c r="V232" s="1">
        <f t="shared" si="51"/>
        <v>4</v>
      </c>
      <c r="W232" s="1">
        <f t="shared" si="52"/>
        <v>122.93301791535029</v>
      </c>
      <c r="X232" s="1">
        <f t="shared" si="53"/>
        <v>4.658385093167702</v>
      </c>
      <c r="Y232" s="1">
        <f t="shared" si="54"/>
        <v>9.0033789242641687E-2</v>
      </c>
      <c r="Z232" s="1">
        <v>28.492696380000002</v>
      </c>
    </row>
    <row r="233" spans="1:26" x14ac:dyDescent="0.25">
      <c r="A233" s="1">
        <v>25</v>
      </c>
      <c r="B233" s="1">
        <v>0.4</v>
      </c>
      <c r="C233" s="1">
        <v>5</v>
      </c>
      <c r="D233" s="1">
        <f t="shared" si="42"/>
        <v>0.125</v>
      </c>
      <c r="E233" s="1">
        <v>15</v>
      </c>
      <c r="F233" s="1">
        <v>0.5</v>
      </c>
      <c r="G233" s="1">
        <v>75</v>
      </c>
      <c r="H233" s="1">
        <v>27.57899531</v>
      </c>
      <c r="I233" s="1">
        <f t="shared" si="43"/>
        <v>2.5000000000000001E-2</v>
      </c>
      <c r="J233" s="1">
        <f t="shared" si="44"/>
        <v>0.125</v>
      </c>
      <c r="K233" s="1">
        <f t="shared" si="45"/>
        <v>4.0000000000000002E-4</v>
      </c>
      <c r="L233" s="1">
        <f t="shared" si="46"/>
        <v>0.31023227454199215</v>
      </c>
      <c r="M233" s="1">
        <f t="shared" si="47"/>
        <v>2.0833333333333332E-2</v>
      </c>
      <c r="N233" s="1">
        <v>264</v>
      </c>
      <c r="O233" s="1">
        <v>3.22</v>
      </c>
      <c r="P233" s="1">
        <v>4148</v>
      </c>
      <c r="Q233" s="1">
        <f>[1]!HeatTransferArea(I233,D233,0.36,K233)</f>
        <v>0.58904862254808632</v>
      </c>
      <c r="R233" s="1">
        <f>[1]!Convection(I233,M233,1000,9*10^-4,K233,0.6,0.36,7)</f>
        <v>25638.910216425455</v>
      </c>
      <c r="S233" s="1">
        <f t="shared" si="48"/>
        <v>1.0551315431932964</v>
      </c>
      <c r="T233" s="1">
        <f t="shared" si="49"/>
        <v>9.1903115000941076E-6</v>
      </c>
      <c r="U233" s="1">
        <f t="shared" si="50"/>
        <v>3.676124600037644E-7</v>
      </c>
      <c r="V233" s="1">
        <f t="shared" si="51"/>
        <v>5</v>
      </c>
      <c r="W233" s="1">
        <f t="shared" si="52"/>
        <v>368.79905374605084</v>
      </c>
      <c r="X233" s="1">
        <f t="shared" si="53"/>
        <v>4.658385093167702</v>
      </c>
      <c r="Y233" s="1">
        <f t="shared" si="54"/>
        <v>0.20915182626300893</v>
      </c>
      <c r="Z233" s="1">
        <v>27.57899531</v>
      </c>
    </row>
    <row r="234" spans="1:26" x14ac:dyDescent="0.25">
      <c r="A234" s="1">
        <v>25</v>
      </c>
      <c r="B234" s="1">
        <v>0.4</v>
      </c>
      <c r="C234" s="1">
        <v>5</v>
      </c>
      <c r="D234" s="1">
        <f t="shared" si="42"/>
        <v>0.125</v>
      </c>
      <c r="E234" s="1">
        <v>15</v>
      </c>
      <c r="F234" s="1">
        <v>1</v>
      </c>
      <c r="G234" s="1">
        <v>75</v>
      </c>
      <c r="H234" s="1">
        <v>28.2410368</v>
      </c>
      <c r="I234" s="1">
        <f t="shared" si="43"/>
        <v>2.5000000000000001E-2</v>
      </c>
      <c r="J234" s="1">
        <f t="shared" si="44"/>
        <v>0.125</v>
      </c>
      <c r="K234" s="1">
        <f t="shared" si="45"/>
        <v>4.0000000000000002E-4</v>
      </c>
      <c r="L234" s="1">
        <f t="shared" si="46"/>
        <v>0.31023227454199215</v>
      </c>
      <c r="M234" s="1">
        <f t="shared" si="47"/>
        <v>2.0833333333333332E-2</v>
      </c>
      <c r="N234" s="1">
        <v>264</v>
      </c>
      <c r="O234" s="1">
        <v>3.22</v>
      </c>
      <c r="P234" s="1">
        <v>4148</v>
      </c>
      <c r="Q234" s="1">
        <f>[1]!HeatTransferArea(I234,D234,0.36,K234)</f>
        <v>0.58904862254808632</v>
      </c>
      <c r="R234" s="1">
        <f>[1]!Convection(I234,M234,1000,9*10^-4,K234,0.6,0.36,7)</f>
        <v>25638.910216425455</v>
      </c>
      <c r="S234" s="1">
        <f t="shared" si="48"/>
        <v>0.52756577159664819</v>
      </c>
      <c r="T234" s="1">
        <f t="shared" si="49"/>
        <v>1.8380623000188215E-5</v>
      </c>
      <c r="U234" s="1">
        <f t="shared" si="50"/>
        <v>7.3522492000752879E-7</v>
      </c>
      <c r="V234" s="1">
        <f t="shared" si="51"/>
        <v>5</v>
      </c>
      <c r="W234" s="1">
        <f t="shared" si="52"/>
        <v>184.39952687302542</v>
      </c>
      <c r="X234" s="1">
        <f t="shared" si="53"/>
        <v>4.658385093167702</v>
      </c>
      <c r="Y234" s="1">
        <f t="shared" si="54"/>
        <v>0.10708628715236621</v>
      </c>
      <c r="Z234" s="1">
        <v>28.2410368</v>
      </c>
    </row>
    <row r="235" spans="1:26" x14ac:dyDescent="0.25">
      <c r="A235" s="1">
        <v>25</v>
      </c>
      <c r="B235" s="1">
        <v>0.4</v>
      </c>
      <c r="C235" s="1">
        <v>5</v>
      </c>
      <c r="D235" s="1">
        <f t="shared" si="42"/>
        <v>0.125</v>
      </c>
      <c r="E235" s="1">
        <v>15</v>
      </c>
      <c r="F235" s="1">
        <v>1.5</v>
      </c>
      <c r="G235" s="1">
        <v>75</v>
      </c>
      <c r="H235" s="1">
        <v>28.24270323</v>
      </c>
      <c r="I235" s="1">
        <f t="shared" si="43"/>
        <v>2.5000000000000001E-2</v>
      </c>
      <c r="J235" s="1">
        <f t="shared" si="44"/>
        <v>0.125</v>
      </c>
      <c r="K235" s="1">
        <f t="shared" si="45"/>
        <v>4.0000000000000002E-4</v>
      </c>
      <c r="L235" s="1">
        <f t="shared" si="46"/>
        <v>0.31023227454199215</v>
      </c>
      <c r="M235" s="1">
        <f t="shared" si="47"/>
        <v>2.0833333333333332E-2</v>
      </c>
      <c r="N235" s="1">
        <v>264</v>
      </c>
      <c r="O235" s="1">
        <v>3.22</v>
      </c>
      <c r="P235" s="1">
        <v>4148</v>
      </c>
      <c r="Q235" s="1">
        <f>[1]!HeatTransferArea(I235,D235,0.36,K235)</f>
        <v>0.58904862254808632</v>
      </c>
      <c r="R235" s="1">
        <f>[1]!Convection(I235,M235,1000,9*10^-4,K235,0.6,0.36,7)</f>
        <v>25638.910216425455</v>
      </c>
      <c r="S235" s="1">
        <f t="shared" si="48"/>
        <v>0.35171051439776541</v>
      </c>
      <c r="T235" s="1">
        <f t="shared" si="49"/>
        <v>2.7570934500282325E-5</v>
      </c>
      <c r="U235" s="1">
        <f t="shared" si="50"/>
        <v>1.1028373800112932E-6</v>
      </c>
      <c r="V235" s="1">
        <f t="shared" si="51"/>
        <v>5</v>
      </c>
      <c r="W235" s="1">
        <f t="shared" si="52"/>
        <v>122.93301791535026</v>
      </c>
      <c r="X235" s="1">
        <f t="shared" si="53"/>
        <v>4.658385093167702</v>
      </c>
      <c r="Y235" s="1">
        <f t="shared" si="54"/>
        <v>7.1395070690106296E-2</v>
      </c>
      <c r="Z235" s="1">
        <v>28.24270323</v>
      </c>
    </row>
    <row r="236" spans="1:26" x14ac:dyDescent="0.25">
      <c r="A236" s="1">
        <v>25</v>
      </c>
      <c r="B236" s="1">
        <v>0.5</v>
      </c>
      <c r="C236" s="1">
        <v>3</v>
      </c>
      <c r="D236" s="1">
        <f t="shared" si="42"/>
        <v>7.4999999999999997E-2</v>
      </c>
      <c r="E236" s="1">
        <v>15</v>
      </c>
      <c r="F236" s="1">
        <v>0.5</v>
      </c>
      <c r="G236" s="1">
        <v>75</v>
      </c>
      <c r="H236" s="1">
        <v>18.645732160000001</v>
      </c>
      <c r="I236" s="1">
        <f t="shared" si="43"/>
        <v>2.5000000000000001E-2</v>
      </c>
      <c r="J236" s="1">
        <f t="shared" si="44"/>
        <v>7.4999999999999997E-2</v>
      </c>
      <c r="K236" s="1">
        <f t="shared" si="45"/>
        <v>5.0000000000000001E-4</v>
      </c>
      <c r="L236" s="1">
        <f t="shared" si="46"/>
        <v>0.18613936472519524</v>
      </c>
      <c r="M236" s="1">
        <f t="shared" si="47"/>
        <v>2.0833333333333332E-2</v>
      </c>
      <c r="N236" s="1">
        <v>264</v>
      </c>
      <c r="O236" s="1">
        <v>3.22</v>
      </c>
      <c r="P236" s="1">
        <v>4148</v>
      </c>
      <c r="Q236" s="1">
        <f>[1]!HeatTransferArea(I236,D236,0.36,K236)</f>
        <v>0.28274333882308145</v>
      </c>
      <c r="R236" s="1">
        <f>[1]!Convection(I236,M236,1000,9*10^-4,K236,0.6,0.36,7)</f>
        <v>20660.760475301788</v>
      </c>
      <c r="S236" s="1">
        <f t="shared" si="48"/>
        <v>1.7585525719888275</v>
      </c>
      <c r="T236" s="1">
        <f t="shared" si="49"/>
        <v>3.3085121400338789E-6</v>
      </c>
      <c r="U236" s="1">
        <f t="shared" si="50"/>
        <v>3.676124600037644E-7</v>
      </c>
      <c r="V236" s="1">
        <f t="shared" si="51"/>
        <v>3</v>
      </c>
      <c r="W236" s="1">
        <f t="shared" si="52"/>
        <v>237.75328510128645</v>
      </c>
      <c r="X236" s="1">
        <f t="shared" si="53"/>
        <v>4.658385093167702</v>
      </c>
      <c r="Y236" s="1">
        <f t="shared" si="54"/>
        <v>0.23567385791490839</v>
      </c>
      <c r="Z236" s="1">
        <v>18.645732160000001</v>
      </c>
    </row>
    <row r="237" spans="1:26" x14ac:dyDescent="0.25">
      <c r="A237" s="1">
        <v>25</v>
      </c>
      <c r="B237" s="1">
        <v>0.5</v>
      </c>
      <c r="C237" s="1">
        <v>3</v>
      </c>
      <c r="D237" s="1">
        <f t="shared" si="42"/>
        <v>7.4999999999999997E-2</v>
      </c>
      <c r="E237" s="1">
        <v>15</v>
      </c>
      <c r="F237" s="1">
        <v>1</v>
      </c>
      <c r="G237" s="1">
        <v>75</v>
      </c>
      <c r="H237" s="1">
        <v>27.44178325</v>
      </c>
      <c r="I237" s="1">
        <f t="shared" si="43"/>
        <v>2.5000000000000001E-2</v>
      </c>
      <c r="J237" s="1">
        <f t="shared" si="44"/>
        <v>7.4999999999999997E-2</v>
      </c>
      <c r="K237" s="1">
        <f t="shared" si="45"/>
        <v>5.0000000000000001E-4</v>
      </c>
      <c r="L237" s="1">
        <f t="shared" si="46"/>
        <v>0.18613936472519524</v>
      </c>
      <c r="M237" s="1">
        <f t="shared" si="47"/>
        <v>2.0833333333333332E-2</v>
      </c>
      <c r="N237" s="1">
        <v>264</v>
      </c>
      <c r="O237" s="1">
        <v>3.22</v>
      </c>
      <c r="P237" s="1">
        <v>4148</v>
      </c>
      <c r="Q237" s="1">
        <f>[1]!HeatTransferArea(I237,D237,0.36,K237)</f>
        <v>0.28274333882308145</v>
      </c>
      <c r="R237" s="1">
        <f>[1]!Convection(I237,M237,1000,9*10^-4,K237,0.6,0.36,7)</f>
        <v>20660.760475301788</v>
      </c>
      <c r="S237" s="1">
        <f t="shared" si="48"/>
        <v>0.87927628599441376</v>
      </c>
      <c r="T237" s="1">
        <f t="shared" si="49"/>
        <v>6.6170242800677579E-6</v>
      </c>
      <c r="U237" s="1">
        <f t="shared" si="50"/>
        <v>7.3522492000752879E-7</v>
      </c>
      <c r="V237" s="1">
        <f t="shared" si="51"/>
        <v>3</v>
      </c>
      <c r="W237" s="1">
        <f t="shared" si="52"/>
        <v>118.87664255064323</v>
      </c>
      <c r="X237" s="1">
        <f t="shared" si="53"/>
        <v>4.658385093167702</v>
      </c>
      <c r="Y237" s="1">
        <f t="shared" si="54"/>
        <v>0.17342603849223726</v>
      </c>
      <c r="Z237" s="1">
        <v>27.44178325</v>
      </c>
    </row>
    <row r="238" spans="1:26" x14ac:dyDescent="0.25">
      <c r="A238" s="1">
        <v>25</v>
      </c>
      <c r="B238" s="1">
        <v>0.5</v>
      </c>
      <c r="C238" s="1">
        <v>3</v>
      </c>
      <c r="D238" s="1">
        <f t="shared" si="42"/>
        <v>7.4999999999999997E-2</v>
      </c>
      <c r="E238" s="1">
        <v>15</v>
      </c>
      <c r="F238" s="1">
        <v>1.5</v>
      </c>
      <c r="G238" s="1">
        <v>75</v>
      </c>
      <c r="H238" s="1">
        <v>28.11801711</v>
      </c>
      <c r="I238" s="1">
        <f t="shared" si="43"/>
        <v>2.5000000000000001E-2</v>
      </c>
      <c r="J238" s="1">
        <f t="shared" si="44"/>
        <v>7.4999999999999997E-2</v>
      </c>
      <c r="K238" s="1">
        <f t="shared" si="45"/>
        <v>5.0000000000000001E-4</v>
      </c>
      <c r="L238" s="1">
        <f t="shared" si="46"/>
        <v>0.18613936472519524</v>
      </c>
      <c r="M238" s="1">
        <f t="shared" si="47"/>
        <v>2.0833333333333332E-2</v>
      </c>
      <c r="N238" s="1">
        <v>264</v>
      </c>
      <c r="O238" s="1">
        <v>3.22</v>
      </c>
      <c r="P238" s="1">
        <v>4148</v>
      </c>
      <c r="Q238" s="1">
        <f>[1]!HeatTransferArea(I238,D238,0.36,K238)</f>
        <v>0.28274333882308145</v>
      </c>
      <c r="R238" s="1">
        <f>[1]!Convection(I238,M238,1000,9*10^-4,K238,0.6,0.36,7)</f>
        <v>20660.760475301788</v>
      </c>
      <c r="S238" s="1">
        <f t="shared" si="48"/>
        <v>0.58618419066294247</v>
      </c>
      <c r="T238" s="1">
        <f t="shared" si="49"/>
        <v>9.9255364201016368E-6</v>
      </c>
      <c r="U238" s="1">
        <f t="shared" si="50"/>
        <v>1.1028373800112932E-6</v>
      </c>
      <c r="V238" s="1">
        <f t="shared" si="51"/>
        <v>3</v>
      </c>
      <c r="W238" s="1">
        <f t="shared" si="52"/>
        <v>79.251095033762155</v>
      </c>
      <c r="X238" s="1">
        <f t="shared" si="53"/>
        <v>4.658385093167702</v>
      </c>
      <c r="Y238" s="1">
        <f t="shared" si="54"/>
        <v>0.1184664585684131</v>
      </c>
      <c r="Z238" s="1">
        <v>28.11801711</v>
      </c>
    </row>
    <row r="239" spans="1:26" x14ac:dyDescent="0.25">
      <c r="A239" s="1">
        <v>25</v>
      </c>
      <c r="B239" s="1">
        <v>0.5</v>
      </c>
      <c r="C239" s="1">
        <v>4</v>
      </c>
      <c r="D239" s="1">
        <f t="shared" si="42"/>
        <v>0.1</v>
      </c>
      <c r="E239" s="1">
        <v>15</v>
      </c>
      <c r="F239" s="1">
        <v>0.5</v>
      </c>
      <c r="G239" s="1">
        <v>75</v>
      </c>
      <c r="H239" s="1">
        <v>25.602943369999998</v>
      </c>
      <c r="I239" s="1">
        <f t="shared" si="43"/>
        <v>2.5000000000000001E-2</v>
      </c>
      <c r="J239" s="1">
        <f t="shared" si="44"/>
        <v>0.1</v>
      </c>
      <c r="K239" s="1">
        <f t="shared" si="45"/>
        <v>5.0000000000000001E-4</v>
      </c>
      <c r="L239" s="1">
        <f t="shared" si="46"/>
        <v>0.24818581963359368</v>
      </c>
      <c r="M239" s="1">
        <f t="shared" si="47"/>
        <v>2.0833333333333332E-2</v>
      </c>
      <c r="N239" s="1">
        <v>264</v>
      </c>
      <c r="O239" s="1">
        <v>3.22</v>
      </c>
      <c r="P239" s="1">
        <v>4148</v>
      </c>
      <c r="Q239" s="1">
        <f>[1]!HeatTransferArea(I239,D239,0.36,K239)</f>
        <v>0.37699111843077526</v>
      </c>
      <c r="R239" s="1">
        <f>[1]!Convection(I239,M239,1000,9*10^-4,K239,0.6,0.36,7)</f>
        <v>20660.760475301788</v>
      </c>
      <c r="S239" s="1">
        <f t="shared" si="48"/>
        <v>1.3189144289916206</v>
      </c>
      <c r="T239" s="1">
        <f t="shared" si="49"/>
        <v>5.8817993600602304E-6</v>
      </c>
      <c r="U239" s="1">
        <f t="shared" si="50"/>
        <v>3.676124600037644E-7</v>
      </c>
      <c r="V239" s="1">
        <f t="shared" si="51"/>
        <v>4</v>
      </c>
      <c r="W239" s="1">
        <f t="shared" si="52"/>
        <v>237.75328510128645</v>
      </c>
      <c r="X239" s="1">
        <f t="shared" si="53"/>
        <v>4.658385093167702</v>
      </c>
      <c r="Y239" s="1">
        <f t="shared" si="54"/>
        <v>0.24270746193581594</v>
      </c>
      <c r="Z239" s="1">
        <v>25.602943369999998</v>
      </c>
    </row>
    <row r="240" spans="1:26" x14ac:dyDescent="0.25">
      <c r="A240" s="1">
        <v>25</v>
      </c>
      <c r="B240" s="1">
        <v>0.5</v>
      </c>
      <c r="C240" s="1">
        <v>4</v>
      </c>
      <c r="D240" s="1">
        <f t="shared" si="42"/>
        <v>0.1</v>
      </c>
      <c r="E240" s="1">
        <v>15</v>
      </c>
      <c r="F240" s="1">
        <v>1</v>
      </c>
      <c r="G240" s="1">
        <v>75</v>
      </c>
      <c r="H240" s="1">
        <v>28.081027500000001</v>
      </c>
      <c r="I240" s="1">
        <f t="shared" si="43"/>
        <v>2.5000000000000001E-2</v>
      </c>
      <c r="J240" s="1">
        <f t="shared" si="44"/>
        <v>0.1</v>
      </c>
      <c r="K240" s="1">
        <f t="shared" si="45"/>
        <v>5.0000000000000001E-4</v>
      </c>
      <c r="L240" s="1">
        <f t="shared" si="46"/>
        <v>0.24818581963359368</v>
      </c>
      <c r="M240" s="1">
        <f t="shared" si="47"/>
        <v>2.0833333333333332E-2</v>
      </c>
      <c r="N240" s="1">
        <v>264</v>
      </c>
      <c r="O240" s="1">
        <v>3.22</v>
      </c>
      <c r="P240" s="1">
        <v>4148</v>
      </c>
      <c r="Q240" s="1">
        <f>[1]!HeatTransferArea(I240,D240,0.36,K240)</f>
        <v>0.37699111843077526</v>
      </c>
      <c r="R240" s="1">
        <f>[1]!Convection(I240,M240,1000,9*10^-4,K240,0.6,0.36,7)</f>
        <v>20660.760475301788</v>
      </c>
      <c r="S240" s="1">
        <f t="shared" si="48"/>
        <v>0.6594572144958103</v>
      </c>
      <c r="T240" s="1">
        <f t="shared" si="49"/>
        <v>1.1763598720120461E-5</v>
      </c>
      <c r="U240" s="1">
        <f t="shared" si="50"/>
        <v>7.3522492000752879E-7</v>
      </c>
      <c r="V240" s="1">
        <f t="shared" si="51"/>
        <v>4</v>
      </c>
      <c r="W240" s="1">
        <f t="shared" si="52"/>
        <v>118.87664255064323</v>
      </c>
      <c r="X240" s="1">
        <f t="shared" si="53"/>
        <v>4.658385093167702</v>
      </c>
      <c r="Y240" s="1">
        <f t="shared" si="54"/>
        <v>0.13309944123574513</v>
      </c>
      <c r="Z240" s="1">
        <v>28.081027500000001</v>
      </c>
    </row>
    <row r="241" spans="1:26" x14ac:dyDescent="0.25">
      <c r="A241" s="1">
        <v>25</v>
      </c>
      <c r="B241" s="1">
        <v>0.5</v>
      </c>
      <c r="C241" s="1">
        <v>4</v>
      </c>
      <c r="D241" s="1">
        <f t="shared" si="42"/>
        <v>0.1</v>
      </c>
      <c r="E241" s="1">
        <v>15</v>
      </c>
      <c r="F241" s="1">
        <v>1.5</v>
      </c>
      <c r="G241" s="1">
        <v>75</v>
      </c>
      <c r="H241" s="1">
        <v>28.201669819999999</v>
      </c>
      <c r="I241" s="1">
        <f t="shared" si="43"/>
        <v>2.5000000000000001E-2</v>
      </c>
      <c r="J241" s="1">
        <f t="shared" si="44"/>
        <v>0.1</v>
      </c>
      <c r="K241" s="1">
        <f t="shared" si="45"/>
        <v>5.0000000000000001E-4</v>
      </c>
      <c r="L241" s="1">
        <f t="shared" si="46"/>
        <v>0.24818581963359368</v>
      </c>
      <c r="M241" s="1">
        <f t="shared" si="47"/>
        <v>2.0833333333333332E-2</v>
      </c>
      <c r="N241" s="1">
        <v>264</v>
      </c>
      <c r="O241" s="1">
        <v>3.22</v>
      </c>
      <c r="P241" s="1">
        <v>4148</v>
      </c>
      <c r="Q241" s="1">
        <f>[1]!HeatTransferArea(I241,D241,0.36,K241)</f>
        <v>0.37699111843077526</v>
      </c>
      <c r="R241" s="1">
        <f>[1]!Convection(I241,M241,1000,9*10^-4,K241,0.6,0.36,7)</f>
        <v>20660.760475301788</v>
      </c>
      <c r="S241" s="1">
        <f t="shared" si="48"/>
        <v>0.43963814299720683</v>
      </c>
      <c r="T241" s="1">
        <f t="shared" si="49"/>
        <v>1.7645398080180691E-5</v>
      </c>
      <c r="U241" s="1">
        <f t="shared" si="50"/>
        <v>1.1028373800112932E-6</v>
      </c>
      <c r="V241" s="1">
        <f t="shared" si="51"/>
        <v>4</v>
      </c>
      <c r="W241" s="1">
        <f t="shared" si="52"/>
        <v>79.251095033762141</v>
      </c>
      <c r="X241" s="1">
        <f t="shared" si="53"/>
        <v>4.658385093167702</v>
      </c>
      <c r="Y241" s="1">
        <f t="shared" si="54"/>
        <v>8.9114177296562638E-2</v>
      </c>
      <c r="Z241" s="1">
        <v>28.201669819999999</v>
      </c>
    </row>
    <row r="242" spans="1:26" x14ac:dyDescent="0.25">
      <c r="A242" s="1">
        <v>25</v>
      </c>
      <c r="B242" s="1">
        <v>0.5</v>
      </c>
      <c r="C242" s="1">
        <v>5</v>
      </c>
      <c r="D242" s="1">
        <f t="shared" si="42"/>
        <v>0.125</v>
      </c>
      <c r="E242" s="1">
        <v>15</v>
      </c>
      <c r="F242" s="1">
        <v>0.5</v>
      </c>
      <c r="G242" s="1">
        <v>75</v>
      </c>
      <c r="H242" s="1">
        <v>27.230346109999999</v>
      </c>
      <c r="I242" s="1">
        <f t="shared" si="43"/>
        <v>2.5000000000000001E-2</v>
      </c>
      <c r="J242" s="1">
        <f t="shared" si="44"/>
        <v>0.125</v>
      </c>
      <c r="K242" s="1">
        <f t="shared" si="45"/>
        <v>5.0000000000000001E-4</v>
      </c>
      <c r="L242" s="1">
        <f t="shared" si="46"/>
        <v>0.31023227454199215</v>
      </c>
      <c r="M242" s="1">
        <f t="shared" si="47"/>
        <v>2.0833333333333332E-2</v>
      </c>
      <c r="N242" s="1">
        <v>264</v>
      </c>
      <c r="O242" s="1">
        <v>3.22</v>
      </c>
      <c r="P242" s="1">
        <v>4148</v>
      </c>
      <c r="Q242" s="1">
        <f>[1]!HeatTransferArea(I242,D242,0.36,K242)</f>
        <v>0.47123889803846908</v>
      </c>
      <c r="R242" s="1">
        <f>[1]!Convection(I242,M242,1000,9*10^-4,K242,0.6,0.36,7)</f>
        <v>20660.760475301788</v>
      </c>
      <c r="S242" s="1">
        <f t="shared" si="48"/>
        <v>1.0551315431932964</v>
      </c>
      <c r="T242" s="1">
        <f t="shared" si="49"/>
        <v>9.1903115000941076E-6</v>
      </c>
      <c r="U242" s="1">
        <f t="shared" si="50"/>
        <v>3.676124600037644E-7</v>
      </c>
      <c r="V242" s="1">
        <f t="shared" si="51"/>
        <v>5</v>
      </c>
      <c r="W242" s="1">
        <f t="shared" si="52"/>
        <v>237.75328510128642</v>
      </c>
      <c r="X242" s="1">
        <f t="shared" si="53"/>
        <v>4.658385093167702</v>
      </c>
      <c r="Y242" s="1">
        <f t="shared" si="54"/>
        <v>0.20650776268906518</v>
      </c>
      <c r="Z242" s="1">
        <v>27.230346109999999</v>
      </c>
    </row>
    <row r="243" spans="1:26" x14ac:dyDescent="0.25">
      <c r="A243" s="1">
        <v>25</v>
      </c>
      <c r="B243" s="1">
        <v>0.5</v>
      </c>
      <c r="C243" s="1">
        <v>5</v>
      </c>
      <c r="D243" s="1">
        <f t="shared" si="42"/>
        <v>0.125</v>
      </c>
      <c r="E243" s="1">
        <v>15</v>
      </c>
      <c r="F243" s="1">
        <v>1</v>
      </c>
      <c r="G243" s="1">
        <v>75</v>
      </c>
      <c r="H243" s="1">
        <v>28.104016720000001</v>
      </c>
      <c r="I243" s="1">
        <f t="shared" si="43"/>
        <v>2.5000000000000001E-2</v>
      </c>
      <c r="J243" s="1">
        <f t="shared" si="44"/>
        <v>0.125</v>
      </c>
      <c r="K243" s="1">
        <f t="shared" si="45"/>
        <v>5.0000000000000001E-4</v>
      </c>
      <c r="L243" s="1">
        <f t="shared" si="46"/>
        <v>0.31023227454199215</v>
      </c>
      <c r="M243" s="1">
        <f t="shared" si="47"/>
        <v>2.0833333333333332E-2</v>
      </c>
      <c r="N243" s="1">
        <v>264</v>
      </c>
      <c r="O243" s="1">
        <v>3.22</v>
      </c>
      <c r="P243" s="1">
        <v>4148</v>
      </c>
      <c r="Q243" s="1">
        <f>[1]!HeatTransferArea(I243,D243,0.36,K243)</f>
        <v>0.47123889803846908</v>
      </c>
      <c r="R243" s="1">
        <f>[1]!Convection(I243,M243,1000,9*10^-4,K243,0.6,0.36,7)</f>
        <v>20660.760475301788</v>
      </c>
      <c r="S243" s="1">
        <f t="shared" si="48"/>
        <v>0.52756577159664819</v>
      </c>
      <c r="T243" s="1">
        <f t="shared" si="49"/>
        <v>1.8380623000188215E-5</v>
      </c>
      <c r="U243" s="1">
        <f t="shared" si="50"/>
        <v>7.3522492000752879E-7</v>
      </c>
      <c r="V243" s="1">
        <f t="shared" si="51"/>
        <v>5</v>
      </c>
      <c r="W243" s="1">
        <f t="shared" si="52"/>
        <v>118.87664255064321</v>
      </c>
      <c r="X243" s="1">
        <f t="shared" si="53"/>
        <v>4.658385093167702</v>
      </c>
      <c r="Y243" s="1">
        <f t="shared" si="54"/>
        <v>0.10656672507904601</v>
      </c>
      <c r="Z243" s="1">
        <v>28.104016720000001</v>
      </c>
    </row>
    <row r="244" spans="1:26" x14ac:dyDescent="0.25">
      <c r="A244" s="1">
        <v>25</v>
      </c>
      <c r="B244" s="1">
        <v>0.5</v>
      </c>
      <c r="C244" s="1">
        <v>5</v>
      </c>
      <c r="D244" s="1">
        <f t="shared" si="42"/>
        <v>0.125</v>
      </c>
      <c r="E244" s="1">
        <v>15</v>
      </c>
      <c r="F244" s="1">
        <v>1.5</v>
      </c>
      <c r="G244" s="1">
        <v>75</v>
      </c>
      <c r="H244" s="1">
        <v>28.06206809</v>
      </c>
      <c r="I244" s="1">
        <f t="shared" si="43"/>
        <v>2.5000000000000001E-2</v>
      </c>
      <c r="J244" s="1">
        <f t="shared" si="44"/>
        <v>0.125</v>
      </c>
      <c r="K244" s="1">
        <f t="shared" si="45"/>
        <v>5.0000000000000001E-4</v>
      </c>
      <c r="L244" s="1">
        <f t="shared" si="46"/>
        <v>0.31023227454199215</v>
      </c>
      <c r="M244" s="1">
        <f t="shared" si="47"/>
        <v>2.0833333333333332E-2</v>
      </c>
      <c r="N244" s="1">
        <v>264</v>
      </c>
      <c r="O244" s="1">
        <v>3.22</v>
      </c>
      <c r="P244" s="1">
        <v>4148</v>
      </c>
      <c r="Q244" s="1">
        <f>[1]!HeatTransferArea(I244,D244,0.36,K244)</f>
        <v>0.47123889803846908</v>
      </c>
      <c r="R244" s="1">
        <f>[1]!Convection(I244,M244,1000,9*10^-4,K244,0.6,0.36,7)</f>
        <v>20660.760475301788</v>
      </c>
      <c r="S244" s="1">
        <f t="shared" si="48"/>
        <v>0.35171051439776541</v>
      </c>
      <c r="T244" s="1">
        <f t="shared" si="49"/>
        <v>2.7570934500282325E-5</v>
      </c>
      <c r="U244" s="1">
        <f t="shared" si="50"/>
        <v>1.1028373800112932E-6</v>
      </c>
      <c r="V244" s="1">
        <f t="shared" si="51"/>
        <v>5</v>
      </c>
      <c r="W244" s="1">
        <f t="shared" si="52"/>
        <v>79.251095033762127</v>
      </c>
      <c r="X244" s="1">
        <f t="shared" si="53"/>
        <v>4.658385093167702</v>
      </c>
      <c r="Y244" s="1">
        <f t="shared" si="54"/>
        <v>7.0938440937479849E-2</v>
      </c>
      <c r="Z244" s="1">
        <v>28.06206809</v>
      </c>
    </row>
    <row r="245" spans="1:26" x14ac:dyDescent="0.25">
      <c r="A245" s="1">
        <v>25</v>
      </c>
      <c r="B245" s="1">
        <v>0.3</v>
      </c>
      <c r="C245" s="1">
        <v>3</v>
      </c>
      <c r="D245" s="1">
        <f t="shared" si="42"/>
        <v>7.4999999999999997E-2</v>
      </c>
      <c r="E245" s="1">
        <v>15</v>
      </c>
      <c r="F245" s="1">
        <v>0.5</v>
      </c>
      <c r="G245" s="1">
        <v>100</v>
      </c>
      <c r="H245" s="1">
        <v>-7.7374923500000001</v>
      </c>
      <c r="I245" s="1">
        <f t="shared" si="43"/>
        <v>2.5000000000000001E-2</v>
      </c>
      <c r="J245" s="1">
        <f t="shared" si="44"/>
        <v>7.4999999999999997E-2</v>
      </c>
      <c r="K245" s="1">
        <f t="shared" si="45"/>
        <v>2.9999999999999997E-4</v>
      </c>
      <c r="L245" s="1">
        <f t="shared" si="46"/>
        <v>0.18613936472519524</v>
      </c>
      <c r="M245" s="1">
        <f t="shared" si="47"/>
        <v>2.7777777777777776E-2</v>
      </c>
      <c r="N245" s="1">
        <v>264</v>
      </c>
      <c r="O245" s="1">
        <v>3.22</v>
      </c>
      <c r="P245" s="1">
        <v>4148</v>
      </c>
      <c r="Q245" s="1">
        <f>[1]!HeatTransferArea(I245,D245,0.36,K245)</f>
        <v>0.47123889803846908</v>
      </c>
      <c r="R245" s="1">
        <f>[1]!Convection(I245,M245,1000,9*10^-4,K245,0.6,0.36,7)</f>
        <v>34185.213621900613</v>
      </c>
      <c r="S245" s="1">
        <f t="shared" si="48"/>
        <v>2.3447367626517703</v>
      </c>
      <c r="T245" s="1">
        <f t="shared" si="49"/>
        <v>3.3085121400338789E-6</v>
      </c>
      <c r="U245" s="1">
        <f t="shared" si="50"/>
        <v>3.676124600037644E-7</v>
      </c>
      <c r="V245" s="1">
        <f t="shared" si="51"/>
        <v>3</v>
      </c>
      <c r="W245" s="1">
        <f t="shared" si="52"/>
        <v>655.64276221520174</v>
      </c>
      <c r="X245" s="1">
        <f t="shared" si="53"/>
        <v>4.658385093167702</v>
      </c>
      <c r="Y245" s="1">
        <f t="shared" si="54"/>
        <v>-9.7798501934052789E-2</v>
      </c>
      <c r="Z245" s="1">
        <v>-7.7374923500000001</v>
      </c>
    </row>
    <row r="246" spans="1:26" x14ac:dyDescent="0.25">
      <c r="A246" s="1">
        <v>25</v>
      </c>
      <c r="B246" s="1">
        <v>0.3</v>
      </c>
      <c r="C246" s="1">
        <v>3</v>
      </c>
      <c r="D246" s="1">
        <f t="shared" si="42"/>
        <v>7.4999999999999997E-2</v>
      </c>
      <c r="E246" s="1">
        <v>15</v>
      </c>
      <c r="F246" s="1">
        <v>1</v>
      </c>
      <c r="G246" s="1">
        <v>100</v>
      </c>
      <c r="H246" s="1">
        <v>36.42861894</v>
      </c>
      <c r="I246" s="1">
        <f t="shared" si="43"/>
        <v>2.5000000000000001E-2</v>
      </c>
      <c r="J246" s="1">
        <f t="shared" si="44"/>
        <v>7.4999999999999997E-2</v>
      </c>
      <c r="K246" s="1">
        <f t="shared" si="45"/>
        <v>2.9999999999999997E-4</v>
      </c>
      <c r="L246" s="1">
        <f t="shared" si="46"/>
        <v>0.18613936472519524</v>
      </c>
      <c r="M246" s="1">
        <f t="shared" si="47"/>
        <v>2.7777777777777776E-2</v>
      </c>
      <c r="N246" s="1">
        <v>264</v>
      </c>
      <c r="O246" s="1">
        <v>3.22</v>
      </c>
      <c r="P246" s="1">
        <v>4148</v>
      </c>
      <c r="Q246" s="1">
        <f>[1]!HeatTransferArea(I246,D246,0.36,K246)</f>
        <v>0.47123889803846908</v>
      </c>
      <c r="R246" s="1">
        <f>[1]!Convection(I246,M246,1000,9*10^-4,K246,0.6,0.36,7)</f>
        <v>34185.213621900613</v>
      </c>
      <c r="S246" s="1">
        <f t="shared" si="48"/>
        <v>1.1723683813258852</v>
      </c>
      <c r="T246" s="1">
        <f t="shared" si="49"/>
        <v>6.6170242800677579E-6</v>
      </c>
      <c r="U246" s="1">
        <f t="shared" si="50"/>
        <v>7.3522492000752879E-7</v>
      </c>
      <c r="V246" s="1">
        <f t="shared" si="51"/>
        <v>3</v>
      </c>
      <c r="W246" s="1">
        <f t="shared" si="52"/>
        <v>327.82138110760087</v>
      </c>
      <c r="X246" s="1">
        <f t="shared" si="53"/>
        <v>4.658385093167702</v>
      </c>
      <c r="Y246" s="1">
        <f t="shared" si="54"/>
        <v>0.23022086476495593</v>
      </c>
      <c r="Z246" s="1">
        <v>36.42861894</v>
      </c>
    </row>
    <row r="247" spans="1:26" x14ac:dyDescent="0.25">
      <c r="A247" s="1">
        <v>25</v>
      </c>
      <c r="B247" s="1">
        <v>0.3</v>
      </c>
      <c r="C247" s="1">
        <v>3</v>
      </c>
      <c r="D247" s="1">
        <f t="shared" si="42"/>
        <v>7.4999999999999997E-2</v>
      </c>
      <c r="E247" s="1">
        <v>15</v>
      </c>
      <c r="F247" s="1">
        <v>1.5</v>
      </c>
      <c r="G247" s="1">
        <v>100</v>
      </c>
      <c r="H247" s="1">
        <v>37.89330065</v>
      </c>
      <c r="I247" s="1">
        <f t="shared" si="43"/>
        <v>2.5000000000000001E-2</v>
      </c>
      <c r="J247" s="1">
        <f t="shared" si="44"/>
        <v>7.4999999999999997E-2</v>
      </c>
      <c r="K247" s="1">
        <f t="shared" si="45"/>
        <v>2.9999999999999997E-4</v>
      </c>
      <c r="L247" s="1">
        <f t="shared" si="46"/>
        <v>0.18613936472519524</v>
      </c>
      <c r="M247" s="1">
        <f t="shared" si="47"/>
        <v>2.7777777777777776E-2</v>
      </c>
      <c r="N247" s="1">
        <v>264</v>
      </c>
      <c r="O247" s="1">
        <v>3.22</v>
      </c>
      <c r="P247" s="1">
        <v>4148</v>
      </c>
      <c r="Q247" s="1">
        <f>[1]!HeatTransferArea(I247,D247,0.36,K247)</f>
        <v>0.47123889803846908</v>
      </c>
      <c r="R247" s="1">
        <f>[1]!Convection(I247,M247,1000,9*10^-4,K247,0.6,0.36,7)</f>
        <v>34185.213621900613</v>
      </c>
      <c r="S247" s="1">
        <f t="shared" si="48"/>
        <v>0.78157892088392333</v>
      </c>
      <c r="T247" s="1">
        <f t="shared" si="49"/>
        <v>9.9255364201016368E-6</v>
      </c>
      <c r="U247" s="1">
        <f t="shared" si="50"/>
        <v>1.1028373800112932E-6</v>
      </c>
      <c r="V247" s="1">
        <f t="shared" si="51"/>
        <v>3</v>
      </c>
      <c r="W247" s="1">
        <f t="shared" si="52"/>
        <v>218.54758740506725</v>
      </c>
      <c r="X247" s="1">
        <f t="shared" si="53"/>
        <v>4.658385093167702</v>
      </c>
      <c r="Y247" s="1">
        <f t="shared" si="54"/>
        <v>0.15965155415874366</v>
      </c>
      <c r="Z247" s="1">
        <v>37.89330065</v>
      </c>
    </row>
    <row r="248" spans="1:26" x14ac:dyDescent="0.25">
      <c r="A248" s="1">
        <v>25</v>
      </c>
      <c r="B248" s="1">
        <v>0.3</v>
      </c>
      <c r="C248" s="1">
        <v>4</v>
      </c>
      <c r="D248" s="1">
        <f t="shared" si="42"/>
        <v>0.1</v>
      </c>
      <c r="E248" s="1">
        <v>15</v>
      </c>
      <c r="F248" s="1">
        <v>0.5</v>
      </c>
      <c r="G248" s="1">
        <v>100</v>
      </c>
      <c r="H248" s="1">
        <v>28.503915559999999</v>
      </c>
      <c r="I248" s="1">
        <f t="shared" si="43"/>
        <v>2.5000000000000001E-2</v>
      </c>
      <c r="J248" s="1">
        <f t="shared" si="44"/>
        <v>0.1</v>
      </c>
      <c r="K248" s="1">
        <f t="shared" si="45"/>
        <v>2.9999999999999997E-4</v>
      </c>
      <c r="L248" s="1">
        <f t="shared" si="46"/>
        <v>0.24818581963359368</v>
      </c>
      <c r="M248" s="1">
        <f t="shared" si="47"/>
        <v>2.7777777777777776E-2</v>
      </c>
      <c r="N248" s="1">
        <v>264</v>
      </c>
      <c r="O248" s="1">
        <v>3.22</v>
      </c>
      <c r="P248" s="1">
        <v>4148</v>
      </c>
      <c r="Q248" s="1">
        <f>[1]!HeatTransferArea(I248,D248,0.36,K248)</f>
        <v>0.62831853071795885</v>
      </c>
      <c r="R248" s="1">
        <f>[1]!Convection(I248,M248,1000,9*10^-4,K248,0.6,0.36,7)</f>
        <v>34185.213621900613</v>
      </c>
      <c r="S248" s="1">
        <f t="shared" si="48"/>
        <v>1.7585525719888275</v>
      </c>
      <c r="T248" s="1">
        <f t="shared" si="49"/>
        <v>5.8817993600602304E-6</v>
      </c>
      <c r="U248" s="1">
        <f t="shared" si="50"/>
        <v>3.676124600037644E-7</v>
      </c>
      <c r="V248" s="1">
        <f t="shared" si="51"/>
        <v>4</v>
      </c>
      <c r="W248" s="1">
        <f t="shared" si="52"/>
        <v>655.64276221520186</v>
      </c>
      <c r="X248" s="1">
        <f t="shared" si="53"/>
        <v>4.658385093167702</v>
      </c>
      <c r="Y248" s="1">
        <f t="shared" si="54"/>
        <v>0.27020772185539588</v>
      </c>
      <c r="Z248" s="1">
        <v>28.503915559999999</v>
      </c>
    </row>
    <row r="249" spans="1:26" x14ac:dyDescent="0.25">
      <c r="A249" s="1">
        <v>25</v>
      </c>
      <c r="B249" s="1">
        <v>0.3</v>
      </c>
      <c r="C249" s="1">
        <v>4</v>
      </c>
      <c r="D249" s="1">
        <f t="shared" si="42"/>
        <v>0.1</v>
      </c>
      <c r="E249" s="1">
        <v>15</v>
      </c>
      <c r="F249" s="1">
        <v>1</v>
      </c>
      <c r="G249" s="1">
        <v>100</v>
      </c>
      <c r="H249" s="1">
        <v>37.094334089999997</v>
      </c>
      <c r="I249" s="1">
        <f t="shared" si="43"/>
        <v>2.5000000000000001E-2</v>
      </c>
      <c r="J249" s="1">
        <f t="shared" si="44"/>
        <v>0.1</v>
      </c>
      <c r="K249" s="1">
        <f t="shared" si="45"/>
        <v>2.9999999999999997E-4</v>
      </c>
      <c r="L249" s="1">
        <f t="shared" si="46"/>
        <v>0.24818581963359368</v>
      </c>
      <c r="M249" s="1">
        <f t="shared" si="47"/>
        <v>2.7777777777777776E-2</v>
      </c>
      <c r="N249" s="1">
        <v>264</v>
      </c>
      <c r="O249" s="1">
        <v>3.22</v>
      </c>
      <c r="P249" s="1">
        <v>4148</v>
      </c>
      <c r="Q249" s="1">
        <f>[1]!HeatTransferArea(I249,D249,0.36,K249)</f>
        <v>0.62831853071795885</v>
      </c>
      <c r="R249" s="1">
        <f>[1]!Convection(I249,M249,1000,9*10^-4,K249,0.6,0.36,7)</f>
        <v>34185.213621900613</v>
      </c>
      <c r="S249" s="1">
        <f t="shared" si="48"/>
        <v>0.87927628599441376</v>
      </c>
      <c r="T249" s="1">
        <f t="shared" si="49"/>
        <v>1.1763598720120461E-5</v>
      </c>
      <c r="U249" s="1">
        <f t="shared" si="50"/>
        <v>7.3522492000752879E-7</v>
      </c>
      <c r="V249" s="1">
        <f t="shared" si="51"/>
        <v>4</v>
      </c>
      <c r="W249" s="1">
        <f t="shared" si="52"/>
        <v>327.82138110760093</v>
      </c>
      <c r="X249" s="1">
        <f t="shared" si="53"/>
        <v>4.658385093167702</v>
      </c>
      <c r="Y249" s="1">
        <f t="shared" si="54"/>
        <v>0.17582102864259694</v>
      </c>
      <c r="Z249" s="1">
        <v>37.094334089999997</v>
      </c>
    </row>
    <row r="250" spans="1:26" x14ac:dyDescent="0.25">
      <c r="A250" s="1">
        <v>25</v>
      </c>
      <c r="B250" s="1">
        <v>0.3</v>
      </c>
      <c r="C250" s="1">
        <v>4</v>
      </c>
      <c r="D250" s="1">
        <f t="shared" si="42"/>
        <v>0.1</v>
      </c>
      <c r="E250" s="1">
        <v>15</v>
      </c>
      <c r="F250" s="1">
        <v>1.5</v>
      </c>
      <c r="G250" s="1">
        <v>100</v>
      </c>
      <c r="H250" s="1">
        <v>37.593140839999997</v>
      </c>
      <c r="I250" s="1">
        <f t="shared" si="43"/>
        <v>2.5000000000000001E-2</v>
      </c>
      <c r="J250" s="1">
        <f t="shared" si="44"/>
        <v>0.1</v>
      </c>
      <c r="K250" s="1">
        <f t="shared" si="45"/>
        <v>2.9999999999999997E-4</v>
      </c>
      <c r="L250" s="1">
        <f t="shared" si="46"/>
        <v>0.24818581963359368</v>
      </c>
      <c r="M250" s="1">
        <f t="shared" si="47"/>
        <v>2.7777777777777776E-2</v>
      </c>
      <c r="N250" s="1">
        <v>264</v>
      </c>
      <c r="O250" s="1">
        <v>3.22</v>
      </c>
      <c r="P250" s="1">
        <v>4148</v>
      </c>
      <c r="Q250" s="1">
        <f>[1]!HeatTransferArea(I250,D250,0.36,K250)</f>
        <v>0.62831853071795885</v>
      </c>
      <c r="R250" s="1">
        <f>[1]!Convection(I250,M250,1000,9*10^-4,K250,0.6,0.36,7)</f>
        <v>34185.213621900613</v>
      </c>
      <c r="S250" s="1">
        <f t="shared" si="48"/>
        <v>0.58618419066294247</v>
      </c>
      <c r="T250" s="1">
        <f t="shared" si="49"/>
        <v>1.7645398080180691E-5</v>
      </c>
      <c r="U250" s="1">
        <f t="shared" si="50"/>
        <v>1.1028373800112932E-6</v>
      </c>
      <c r="V250" s="1">
        <f t="shared" si="51"/>
        <v>4</v>
      </c>
      <c r="W250" s="1">
        <f t="shared" si="52"/>
        <v>218.54758740506725</v>
      </c>
      <c r="X250" s="1">
        <f t="shared" si="53"/>
        <v>4.658385093167702</v>
      </c>
      <c r="Y250" s="1">
        <f t="shared" si="54"/>
        <v>0.11879019360671352</v>
      </c>
      <c r="Z250" s="1">
        <v>37.593140839999997</v>
      </c>
    </row>
    <row r="251" spans="1:26" x14ac:dyDescent="0.25">
      <c r="A251" s="1">
        <v>25</v>
      </c>
      <c r="B251" s="1">
        <v>0.3</v>
      </c>
      <c r="C251" s="1">
        <v>5</v>
      </c>
      <c r="D251" s="1">
        <f t="shared" si="42"/>
        <v>0.125</v>
      </c>
      <c r="E251" s="1">
        <v>15</v>
      </c>
      <c r="F251" s="1">
        <v>0.5</v>
      </c>
      <c r="G251" s="1">
        <v>100</v>
      </c>
      <c r="H251" s="1">
        <v>33.9831377</v>
      </c>
      <c r="I251" s="1">
        <f t="shared" si="43"/>
        <v>2.5000000000000001E-2</v>
      </c>
      <c r="J251" s="1">
        <f t="shared" si="44"/>
        <v>0.125</v>
      </c>
      <c r="K251" s="1">
        <f t="shared" si="45"/>
        <v>2.9999999999999997E-4</v>
      </c>
      <c r="L251" s="1">
        <f t="shared" si="46"/>
        <v>0.31023227454199215</v>
      </c>
      <c r="M251" s="1">
        <f t="shared" si="47"/>
        <v>2.7777777777777776E-2</v>
      </c>
      <c r="N251" s="1">
        <v>264</v>
      </c>
      <c r="O251" s="1">
        <v>3.22</v>
      </c>
      <c r="P251" s="1">
        <v>4148</v>
      </c>
      <c r="Q251" s="1">
        <f>[1]!HeatTransferArea(I251,D251,0.36,K251)</f>
        <v>0.7853981633974485</v>
      </c>
      <c r="R251" s="1">
        <f>[1]!Convection(I251,M251,1000,9*10^-4,K251,0.6,0.36,7)</f>
        <v>34185.213621900613</v>
      </c>
      <c r="S251" s="1">
        <f t="shared" si="48"/>
        <v>1.4068420575910618</v>
      </c>
      <c r="T251" s="1">
        <f t="shared" si="49"/>
        <v>9.1903115000941076E-6</v>
      </c>
      <c r="U251" s="1">
        <f t="shared" si="50"/>
        <v>3.676124600037644E-7</v>
      </c>
      <c r="V251" s="1">
        <f t="shared" si="51"/>
        <v>5</v>
      </c>
      <c r="W251" s="1">
        <f t="shared" si="52"/>
        <v>655.64276221520163</v>
      </c>
      <c r="X251" s="1">
        <f t="shared" si="53"/>
        <v>4.658385093167702</v>
      </c>
      <c r="Y251" s="1">
        <f t="shared" si="54"/>
        <v>0.25771915300790954</v>
      </c>
      <c r="Z251" s="1">
        <v>33.9831377</v>
      </c>
    </row>
    <row r="252" spans="1:26" x14ac:dyDescent="0.25">
      <c r="A252" s="1">
        <v>25</v>
      </c>
      <c r="B252" s="1">
        <v>0.3</v>
      </c>
      <c r="C252" s="1">
        <v>5</v>
      </c>
      <c r="D252" s="1">
        <f t="shared" si="42"/>
        <v>0.125</v>
      </c>
      <c r="E252" s="1">
        <v>15</v>
      </c>
      <c r="F252" s="1">
        <v>1</v>
      </c>
      <c r="G252" s="1">
        <v>100</v>
      </c>
      <c r="H252" s="1">
        <v>36.921265759999997</v>
      </c>
      <c r="I252" s="1">
        <f t="shared" si="43"/>
        <v>2.5000000000000001E-2</v>
      </c>
      <c r="J252" s="1">
        <f t="shared" si="44"/>
        <v>0.125</v>
      </c>
      <c r="K252" s="1">
        <f t="shared" si="45"/>
        <v>2.9999999999999997E-4</v>
      </c>
      <c r="L252" s="1">
        <f t="shared" si="46"/>
        <v>0.31023227454199215</v>
      </c>
      <c r="M252" s="1">
        <f t="shared" si="47"/>
        <v>2.7777777777777776E-2</v>
      </c>
      <c r="N252" s="1">
        <v>264</v>
      </c>
      <c r="O252" s="1">
        <v>3.22</v>
      </c>
      <c r="P252" s="1">
        <v>4148</v>
      </c>
      <c r="Q252" s="1">
        <f>[1]!HeatTransferArea(I252,D252,0.36,K252)</f>
        <v>0.7853981633974485</v>
      </c>
      <c r="R252" s="1">
        <f>[1]!Convection(I252,M252,1000,9*10^-4,K252,0.6,0.36,7)</f>
        <v>34185.213621900613</v>
      </c>
      <c r="S252" s="1">
        <f t="shared" si="48"/>
        <v>0.70342102879553092</v>
      </c>
      <c r="T252" s="1">
        <f t="shared" si="49"/>
        <v>1.8380623000188215E-5</v>
      </c>
      <c r="U252" s="1">
        <f t="shared" si="50"/>
        <v>7.3522492000752879E-7</v>
      </c>
      <c r="V252" s="1">
        <f t="shared" si="51"/>
        <v>5</v>
      </c>
      <c r="W252" s="1">
        <f t="shared" si="52"/>
        <v>327.82138110760081</v>
      </c>
      <c r="X252" s="1">
        <f t="shared" si="53"/>
        <v>4.658385093167702</v>
      </c>
      <c r="Y252" s="1">
        <f t="shared" si="54"/>
        <v>0.14000057063075624</v>
      </c>
      <c r="Z252" s="1">
        <v>36.921265759999997</v>
      </c>
    </row>
    <row r="253" spans="1:26" x14ac:dyDescent="0.25">
      <c r="A253" s="1">
        <v>25</v>
      </c>
      <c r="B253" s="1">
        <v>0.3</v>
      </c>
      <c r="C253" s="1">
        <v>5</v>
      </c>
      <c r="D253" s="1">
        <f t="shared" si="42"/>
        <v>0.125</v>
      </c>
      <c r="E253" s="1">
        <v>15</v>
      </c>
      <c r="F253" s="1">
        <v>1.5</v>
      </c>
      <c r="G253" s="1">
        <v>100</v>
      </c>
      <c r="H253" s="1">
        <v>37.217051439999999</v>
      </c>
      <c r="I253" s="1">
        <f t="shared" si="43"/>
        <v>2.5000000000000001E-2</v>
      </c>
      <c r="J253" s="1">
        <f t="shared" si="44"/>
        <v>0.125</v>
      </c>
      <c r="K253" s="1">
        <f t="shared" si="45"/>
        <v>2.9999999999999997E-4</v>
      </c>
      <c r="L253" s="1">
        <f t="shared" si="46"/>
        <v>0.31023227454199215</v>
      </c>
      <c r="M253" s="1">
        <f t="shared" si="47"/>
        <v>2.7777777777777776E-2</v>
      </c>
      <c r="N253" s="1">
        <v>264</v>
      </c>
      <c r="O253" s="1">
        <v>3.22</v>
      </c>
      <c r="P253" s="1">
        <v>4148</v>
      </c>
      <c r="Q253" s="1">
        <f>[1]!HeatTransferArea(I253,D253,0.36,K253)</f>
        <v>0.7853981633974485</v>
      </c>
      <c r="R253" s="1">
        <f>[1]!Convection(I253,M253,1000,9*10^-4,K253,0.6,0.36,7)</f>
        <v>34185.213621900613</v>
      </c>
      <c r="S253" s="1">
        <f t="shared" si="48"/>
        <v>0.46894735253035391</v>
      </c>
      <c r="T253" s="1">
        <f t="shared" si="49"/>
        <v>2.7570934500282325E-5</v>
      </c>
      <c r="U253" s="1">
        <f t="shared" si="50"/>
        <v>1.1028373800112932E-6</v>
      </c>
      <c r="V253" s="1">
        <f t="shared" si="51"/>
        <v>5</v>
      </c>
      <c r="W253" s="1">
        <f t="shared" si="52"/>
        <v>218.54758740506722</v>
      </c>
      <c r="X253" s="1">
        <f t="shared" si="53"/>
        <v>4.658385093167702</v>
      </c>
      <c r="Y253" s="1">
        <f t="shared" si="54"/>
        <v>9.4081433947642776E-2</v>
      </c>
      <c r="Z253" s="1">
        <v>37.217051439999999</v>
      </c>
    </row>
    <row r="254" spans="1:26" x14ac:dyDescent="0.25">
      <c r="A254" s="1">
        <v>25</v>
      </c>
      <c r="B254" s="1">
        <v>0.4</v>
      </c>
      <c r="C254" s="1">
        <v>3</v>
      </c>
      <c r="D254" s="1">
        <f t="shared" si="42"/>
        <v>7.4999999999999997E-2</v>
      </c>
      <c r="E254" s="1">
        <v>15</v>
      </c>
      <c r="F254" s="1">
        <v>0.5</v>
      </c>
      <c r="G254" s="1">
        <v>100</v>
      </c>
      <c r="H254" s="1">
        <v>-10.94862768</v>
      </c>
      <c r="I254" s="1">
        <f t="shared" si="43"/>
        <v>2.5000000000000001E-2</v>
      </c>
      <c r="J254" s="1">
        <f t="shared" si="44"/>
        <v>7.4999999999999997E-2</v>
      </c>
      <c r="K254" s="1">
        <f t="shared" si="45"/>
        <v>4.0000000000000002E-4</v>
      </c>
      <c r="L254" s="1">
        <f t="shared" si="46"/>
        <v>0.18613936472519524</v>
      </c>
      <c r="M254" s="1">
        <f t="shared" si="47"/>
        <v>2.7777777777777776E-2</v>
      </c>
      <c r="N254" s="1">
        <v>264</v>
      </c>
      <c r="O254" s="1">
        <v>3.22</v>
      </c>
      <c r="P254" s="1">
        <v>4148</v>
      </c>
      <c r="Q254" s="1">
        <f>[1]!HeatTransferArea(I254,D254,0.36,K254)</f>
        <v>0.35342917352885178</v>
      </c>
      <c r="R254" s="1">
        <f>[1]!Convection(I254,M254,1000,9*10^-4,K254,0.6,0.36,7)</f>
        <v>25884.883040575744</v>
      </c>
      <c r="S254" s="1">
        <f t="shared" si="48"/>
        <v>2.3447367626517703</v>
      </c>
      <c r="T254" s="1">
        <f t="shared" si="49"/>
        <v>3.3085121400338789E-6</v>
      </c>
      <c r="U254" s="1">
        <f t="shared" si="50"/>
        <v>3.676124600037644E-7</v>
      </c>
      <c r="V254" s="1">
        <f t="shared" si="51"/>
        <v>3</v>
      </c>
      <c r="W254" s="1">
        <f t="shared" si="52"/>
        <v>372.3372128966592</v>
      </c>
      <c r="X254" s="1">
        <f t="shared" si="53"/>
        <v>4.658385093167702</v>
      </c>
      <c r="Y254" s="1">
        <f t="shared" si="54"/>
        <v>-0.13838584090331332</v>
      </c>
      <c r="Z254" s="1">
        <v>-10.94862768</v>
      </c>
    </row>
    <row r="255" spans="1:26" x14ac:dyDescent="0.25">
      <c r="A255" s="1">
        <v>25</v>
      </c>
      <c r="B255" s="1">
        <v>0.4</v>
      </c>
      <c r="C255" s="1">
        <v>3</v>
      </c>
      <c r="D255" s="1">
        <f t="shared" si="42"/>
        <v>7.4999999999999997E-2</v>
      </c>
      <c r="E255" s="1">
        <v>15</v>
      </c>
      <c r="F255" s="1">
        <v>1</v>
      </c>
      <c r="G255" s="1">
        <v>100</v>
      </c>
      <c r="H255" s="1">
        <v>35.241626959999998</v>
      </c>
      <c r="I255" s="1">
        <f t="shared" si="43"/>
        <v>2.5000000000000001E-2</v>
      </c>
      <c r="J255" s="1">
        <f t="shared" si="44"/>
        <v>7.4999999999999997E-2</v>
      </c>
      <c r="K255" s="1">
        <f t="shared" si="45"/>
        <v>4.0000000000000002E-4</v>
      </c>
      <c r="L255" s="1">
        <f t="shared" si="46"/>
        <v>0.18613936472519524</v>
      </c>
      <c r="M255" s="1">
        <f t="shared" si="47"/>
        <v>2.7777777777777776E-2</v>
      </c>
      <c r="N255" s="1">
        <v>264</v>
      </c>
      <c r="O255" s="1">
        <v>3.22</v>
      </c>
      <c r="P255" s="1">
        <v>4148</v>
      </c>
      <c r="Q255" s="1">
        <f>[1]!HeatTransferArea(I255,D255,0.36,K255)</f>
        <v>0.35342917352885178</v>
      </c>
      <c r="R255" s="1">
        <f>[1]!Convection(I255,M255,1000,9*10^-4,K255,0.6,0.36,7)</f>
        <v>25884.883040575744</v>
      </c>
      <c r="S255" s="1">
        <f t="shared" si="48"/>
        <v>1.1723683813258852</v>
      </c>
      <c r="T255" s="1">
        <f t="shared" si="49"/>
        <v>6.6170242800677579E-6</v>
      </c>
      <c r="U255" s="1">
        <f t="shared" si="50"/>
        <v>7.3522492000752879E-7</v>
      </c>
      <c r="V255" s="1">
        <f t="shared" si="51"/>
        <v>3</v>
      </c>
      <c r="W255" s="1">
        <f t="shared" si="52"/>
        <v>186.1686064483296</v>
      </c>
      <c r="X255" s="1">
        <f t="shared" si="53"/>
        <v>4.658385093167702</v>
      </c>
      <c r="Y255" s="1">
        <f t="shared" si="54"/>
        <v>0.2227193363497624</v>
      </c>
      <c r="Z255" s="1">
        <v>35.241626959999998</v>
      </c>
    </row>
    <row r="256" spans="1:26" x14ac:dyDescent="0.25">
      <c r="A256" s="1">
        <v>25</v>
      </c>
      <c r="B256" s="1">
        <v>0.4</v>
      </c>
      <c r="C256" s="1">
        <v>3</v>
      </c>
      <c r="D256" s="1">
        <f t="shared" si="42"/>
        <v>7.4999999999999997E-2</v>
      </c>
      <c r="E256" s="1">
        <v>15</v>
      </c>
      <c r="F256" s="1">
        <v>1.5</v>
      </c>
      <c r="G256" s="1">
        <v>100</v>
      </c>
      <c r="H256" s="1">
        <v>37.283999880000003</v>
      </c>
      <c r="I256" s="1">
        <f t="shared" si="43"/>
        <v>2.5000000000000001E-2</v>
      </c>
      <c r="J256" s="1">
        <f t="shared" si="44"/>
        <v>7.4999999999999997E-2</v>
      </c>
      <c r="K256" s="1">
        <f t="shared" si="45"/>
        <v>4.0000000000000002E-4</v>
      </c>
      <c r="L256" s="1">
        <f t="shared" si="46"/>
        <v>0.18613936472519524</v>
      </c>
      <c r="M256" s="1">
        <f t="shared" si="47"/>
        <v>2.7777777777777776E-2</v>
      </c>
      <c r="N256" s="1">
        <v>264</v>
      </c>
      <c r="O256" s="1">
        <v>3.22</v>
      </c>
      <c r="P256" s="1">
        <v>4148</v>
      </c>
      <c r="Q256" s="1">
        <f>[1]!HeatTransferArea(I256,D256,0.36,K256)</f>
        <v>0.35342917352885178</v>
      </c>
      <c r="R256" s="1">
        <f>[1]!Convection(I256,M256,1000,9*10^-4,K256,0.6,0.36,7)</f>
        <v>25884.883040575744</v>
      </c>
      <c r="S256" s="1">
        <f t="shared" si="48"/>
        <v>0.78157892088392333</v>
      </c>
      <c r="T256" s="1">
        <f t="shared" si="49"/>
        <v>9.9255364201016368E-6</v>
      </c>
      <c r="U256" s="1">
        <f t="shared" si="50"/>
        <v>1.1028373800112932E-6</v>
      </c>
      <c r="V256" s="1">
        <f t="shared" si="51"/>
        <v>3</v>
      </c>
      <c r="W256" s="1">
        <f t="shared" si="52"/>
        <v>124.11240429888639</v>
      </c>
      <c r="X256" s="1">
        <f t="shared" si="53"/>
        <v>4.658385093167702</v>
      </c>
      <c r="Y256" s="1">
        <f t="shared" si="54"/>
        <v>0.15708445619651804</v>
      </c>
      <c r="Z256" s="1">
        <v>37.283999880000003</v>
      </c>
    </row>
    <row r="257" spans="1:26" x14ac:dyDescent="0.25">
      <c r="A257" s="1">
        <v>25</v>
      </c>
      <c r="B257" s="1">
        <v>0.4</v>
      </c>
      <c r="C257" s="1">
        <v>4</v>
      </c>
      <c r="D257" s="1">
        <f t="shared" si="42"/>
        <v>0.1</v>
      </c>
      <c r="E257" s="1">
        <v>15</v>
      </c>
      <c r="F257" s="1">
        <v>0.5</v>
      </c>
      <c r="G257" s="1">
        <v>100</v>
      </c>
      <c r="H257" s="1">
        <v>27.07644801</v>
      </c>
      <c r="I257" s="1">
        <f t="shared" si="43"/>
        <v>2.5000000000000001E-2</v>
      </c>
      <c r="J257" s="1">
        <f t="shared" si="44"/>
        <v>0.1</v>
      </c>
      <c r="K257" s="1">
        <f t="shared" si="45"/>
        <v>4.0000000000000002E-4</v>
      </c>
      <c r="L257" s="1">
        <f t="shared" si="46"/>
        <v>0.24818581963359368</v>
      </c>
      <c r="M257" s="1">
        <f t="shared" si="47"/>
        <v>2.7777777777777776E-2</v>
      </c>
      <c r="N257" s="1">
        <v>264</v>
      </c>
      <c r="O257" s="1">
        <v>3.22</v>
      </c>
      <c r="P257" s="1">
        <v>4148</v>
      </c>
      <c r="Q257" s="1">
        <f>[1]!HeatTransferArea(I257,D257,0.36,K257)</f>
        <v>0.47123889803846908</v>
      </c>
      <c r="R257" s="1">
        <f>[1]!Convection(I257,M257,1000,9*10^-4,K257,0.6,0.36,7)</f>
        <v>25884.883040575744</v>
      </c>
      <c r="S257" s="1">
        <f t="shared" si="48"/>
        <v>1.7585525719888275</v>
      </c>
      <c r="T257" s="1">
        <f t="shared" si="49"/>
        <v>5.8817993600602304E-6</v>
      </c>
      <c r="U257" s="1">
        <f t="shared" si="50"/>
        <v>3.676124600037644E-7</v>
      </c>
      <c r="V257" s="1">
        <f t="shared" si="51"/>
        <v>4</v>
      </c>
      <c r="W257" s="1">
        <f t="shared" si="52"/>
        <v>372.3372128966592</v>
      </c>
      <c r="X257" s="1">
        <f t="shared" si="53"/>
        <v>4.658385093167702</v>
      </c>
      <c r="Y257" s="1">
        <f t="shared" si="54"/>
        <v>0.25667580011306235</v>
      </c>
      <c r="Z257" s="1">
        <v>27.07644801</v>
      </c>
    </row>
    <row r="258" spans="1:26" x14ac:dyDescent="0.25">
      <c r="A258" s="1">
        <v>25</v>
      </c>
      <c r="B258" s="1">
        <v>0.4</v>
      </c>
      <c r="C258" s="1">
        <v>4</v>
      </c>
      <c r="D258" s="1">
        <f t="shared" ref="D258:D321" si="56">C258*A258/1000</f>
        <v>0.1</v>
      </c>
      <c r="E258" s="1">
        <v>15</v>
      </c>
      <c r="F258" s="1">
        <v>1</v>
      </c>
      <c r="G258" s="1">
        <v>100</v>
      </c>
      <c r="H258" s="1">
        <v>36.897140559999997</v>
      </c>
      <c r="I258" s="1">
        <f t="shared" ref="I258:I321" si="57">A258/1000</f>
        <v>2.5000000000000001E-2</v>
      </c>
      <c r="J258" s="1">
        <f t="shared" ref="J258:J321" si="58">D258</f>
        <v>0.1</v>
      </c>
      <c r="K258" s="1">
        <f t="shared" ref="K258:K321" si="59">B258/1000</f>
        <v>4.0000000000000002E-4</v>
      </c>
      <c r="L258" s="1">
        <f t="shared" ref="L258:L321" si="60">PI()*I258^2*J258/4*(1-0.36)*7900</f>
        <v>0.24818581963359368</v>
      </c>
      <c r="M258" s="1">
        <f t="shared" ref="M258:M321" si="61">G258/3600</f>
        <v>2.7777777777777776E-2</v>
      </c>
      <c r="N258" s="1">
        <v>264</v>
      </c>
      <c r="O258" s="1">
        <v>3.22</v>
      </c>
      <c r="P258" s="1">
        <v>4148</v>
      </c>
      <c r="Q258" s="1">
        <f>[1]!HeatTransferArea(I258,D258,0.36,K258)</f>
        <v>0.47123889803846908</v>
      </c>
      <c r="R258" s="1">
        <f>[1]!Convection(I258,M258,1000,9*10^-4,K258,0.6,0.36,7)</f>
        <v>25884.883040575744</v>
      </c>
      <c r="S258" s="1">
        <f t="shared" ref="S258:S321" si="62">M258*P258/(2*F258*L258*N258)</f>
        <v>0.87927628599441376</v>
      </c>
      <c r="T258" s="1">
        <f t="shared" ref="T258:T321" si="63">J258^2*F258/(N258*O258)</f>
        <v>1.1763598720120461E-5</v>
      </c>
      <c r="U258" s="1">
        <f t="shared" ref="U258:U321" si="64">I258^2*F258/(N258*O258)</f>
        <v>7.3522492000752879E-7</v>
      </c>
      <c r="V258" s="1">
        <f t="shared" ref="V258:V321" si="65">C258</f>
        <v>4</v>
      </c>
      <c r="W258" s="1">
        <f t="shared" ref="W258:W321" si="66">R258*Q258/(F258*L258*N258)</f>
        <v>186.1686064483296</v>
      </c>
      <c r="X258" s="1">
        <f t="shared" ref="X258:X321" si="67">E258/O258</f>
        <v>4.658385093167702</v>
      </c>
      <c r="Y258" s="1">
        <f t="shared" ref="Y258:Y321" si="68">H258/(L258*F258*N258*O258)</f>
        <v>0.17488636381744749</v>
      </c>
      <c r="Z258" s="1">
        <v>36.897140559999997</v>
      </c>
    </row>
    <row r="259" spans="1:26" x14ac:dyDescent="0.25">
      <c r="A259" s="1">
        <v>25</v>
      </c>
      <c r="B259" s="1">
        <v>0.4</v>
      </c>
      <c r="C259" s="1">
        <v>4</v>
      </c>
      <c r="D259" s="1">
        <f t="shared" si="56"/>
        <v>0.1</v>
      </c>
      <c r="E259" s="1">
        <v>15</v>
      </c>
      <c r="F259" s="1">
        <v>1.5</v>
      </c>
      <c r="G259" s="1">
        <v>100</v>
      </c>
      <c r="H259" s="1">
        <v>37.503170840000003</v>
      </c>
      <c r="I259" s="1">
        <f t="shared" si="57"/>
        <v>2.5000000000000001E-2</v>
      </c>
      <c r="J259" s="1">
        <f t="shared" si="58"/>
        <v>0.1</v>
      </c>
      <c r="K259" s="1">
        <f t="shared" si="59"/>
        <v>4.0000000000000002E-4</v>
      </c>
      <c r="L259" s="1">
        <f t="shared" si="60"/>
        <v>0.24818581963359368</v>
      </c>
      <c r="M259" s="1">
        <f t="shared" si="61"/>
        <v>2.7777777777777776E-2</v>
      </c>
      <c r="N259" s="1">
        <v>264</v>
      </c>
      <c r="O259" s="1">
        <v>3.22</v>
      </c>
      <c r="P259" s="1">
        <v>4148</v>
      </c>
      <c r="Q259" s="1">
        <f>[1]!HeatTransferArea(I259,D259,0.36,K259)</f>
        <v>0.47123889803846908</v>
      </c>
      <c r="R259" s="1">
        <f>[1]!Convection(I259,M259,1000,9*10^-4,K259,0.6,0.36,7)</f>
        <v>25884.883040575744</v>
      </c>
      <c r="S259" s="1">
        <f t="shared" si="62"/>
        <v>0.58618419066294247</v>
      </c>
      <c r="T259" s="1">
        <f t="shared" si="63"/>
        <v>1.7645398080180691E-5</v>
      </c>
      <c r="U259" s="1">
        <f t="shared" si="64"/>
        <v>1.1028373800112932E-6</v>
      </c>
      <c r="V259" s="1">
        <f t="shared" si="65"/>
        <v>4</v>
      </c>
      <c r="W259" s="1">
        <f t="shared" si="66"/>
        <v>124.11240429888639</v>
      </c>
      <c r="X259" s="1">
        <f t="shared" si="67"/>
        <v>4.658385093167702</v>
      </c>
      <c r="Y259" s="1">
        <f t="shared" si="68"/>
        <v>0.11850589829432441</v>
      </c>
      <c r="Z259" s="1">
        <v>37.503170840000003</v>
      </c>
    </row>
    <row r="260" spans="1:26" x14ac:dyDescent="0.25">
      <c r="A260" s="1">
        <v>25</v>
      </c>
      <c r="B260" s="1">
        <v>0.4</v>
      </c>
      <c r="C260" s="1">
        <v>5</v>
      </c>
      <c r="D260" s="1">
        <f t="shared" si="56"/>
        <v>0.125</v>
      </c>
      <c r="E260" s="1">
        <v>15</v>
      </c>
      <c r="F260" s="1">
        <v>0.5</v>
      </c>
      <c r="G260" s="1">
        <v>100</v>
      </c>
      <c r="H260" s="1">
        <v>33.63646018</v>
      </c>
      <c r="I260" s="1">
        <f t="shared" si="57"/>
        <v>2.5000000000000001E-2</v>
      </c>
      <c r="J260" s="1">
        <f t="shared" si="58"/>
        <v>0.125</v>
      </c>
      <c r="K260" s="1">
        <f t="shared" si="59"/>
        <v>4.0000000000000002E-4</v>
      </c>
      <c r="L260" s="1">
        <f t="shared" si="60"/>
        <v>0.31023227454199215</v>
      </c>
      <c r="M260" s="1">
        <f t="shared" si="61"/>
        <v>2.7777777777777776E-2</v>
      </c>
      <c r="N260" s="1">
        <v>264</v>
      </c>
      <c r="O260" s="1">
        <v>3.22</v>
      </c>
      <c r="P260" s="1">
        <v>4148</v>
      </c>
      <c r="Q260" s="1">
        <f>[1]!HeatTransferArea(I260,D260,0.36,K260)</f>
        <v>0.58904862254808632</v>
      </c>
      <c r="R260" s="1">
        <f>[1]!Convection(I260,M260,1000,9*10^-4,K260,0.6,0.36,7)</f>
        <v>25884.883040575744</v>
      </c>
      <c r="S260" s="1">
        <f t="shared" si="62"/>
        <v>1.4068420575910618</v>
      </c>
      <c r="T260" s="1">
        <f t="shared" si="63"/>
        <v>9.1903115000941076E-6</v>
      </c>
      <c r="U260" s="1">
        <f t="shared" si="64"/>
        <v>3.676124600037644E-7</v>
      </c>
      <c r="V260" s="1">
        <f t="shared" si="65"/>
        <v>5</v>
      </c>
      <c r="W260" s="1">
        <f t="shared" si="66"/>
        <v>372.33721289665914</v>
      </c>
      <c r="X260" s="1">
        <f t="shared" si="67"/>
        <v>4.658385093167702</v>
      </c>
      <c r="Y260" s="1">
        <f t="shared" si="68"/>
        <v>0.25509004213504027</v>
      </c>
      <c r="Z260" s="1">
        <v>33.63646018</v>
      </c>
    </row>
    <row r="261" spans="1:26" x14ac:dyDescent="0.25">
      <c r="A261" s="1">
        <v>25</v>
      </c>
      <c r="B261" s="1">
        <v>0.4</v>
      </c>
      <c r="C261" s="1">
        <v>5</v>
      </c>
      <c r="D261" s="1">
        <f t="shared" si="56"/>
        <v>0.125</v>
      </c>
      <c r="E261" s="1">
        <v>15</v>
      </c>
      <c r="F261" s="1">
        <v>1</v>
      </c>
      <c r="G261" s="1">
        <v>100</v>
      </c>
      <c r="H261" s="1">
        <v>37.077374239999997</v>
      </c>
      <c r="I261" s="1">
        <f t="shared" si="57"/>
        <v>2.5000000000000001E-2</v>
      </c>
      <c r="J261" s="1">
        <f t="shared" si="58"/>
        <v>0.125</v>
      </c>
      <c r="K261" s="1">
        <f t="shared" si="59"/>
        <v>4.0000000000000002E-4</v>
      </c>
      <c r="L261" s="1">
        <f t="shared" si="60"/>
        <v>0.31023227454199215</v>
      </c>
      <c r="M261" s="1">
        <f t="shared" si="61"/>
        <v>2.7777777777777776E-2</v>
      </c>
      <c r="N261" s="1">
        <v>264</v>
      </c>
      <c r="O261" s="1">
        <v>3.22</v>
      </c>
      <c r="P261" s="1">
        <v>4148</v>
      </c>
      <c r="Q261" s="1">
        <f>[1]!HeatTransferArea(I261,D261,0.36,K261)</f>
        <v>0.58904862254808632</v>
      </c>
      <c r="R261" s="1">
        <f>[1]!Convection(I261,M261,1000,9*10^-4,K261,0.6,0.36,7)</f>
        <v>25884.883040575744</v>
      </c>
      <c r="S261" s="1">
        <f t="shared" si="62"/>
        <v>0.70342102879553092</v>
      </c>
      <c r="T261" s="1">
        <f t="shared" si="63"/>
        <v>1.8380623000188215E-5</v>
      </c>
      <c r="U261" s="1">
        <f t="shared" si="64"/>
        <v>7.3522492000752879E-7</v>
      </c>
      <c r="V261" s="1">
        <f t="shared" si="65"/>
        <v>5</v>
      </c>
      <c r="W261" s="1">
        <f t="shared" si="66"/>
        <v>186.16860644832957</v>
      </c>
      <c r="X261" s="1">
        <f t="shared" si="67"/>
        <v>4.658385093167702</v>
      </c>
      <c r="Y261" s="1">
        <f t="shared" si="68"/>
        <v>0.1405925133995217</v>
      </c>
      <c r="Z261" s="1">
        <v>37.077374239999997</v>
      </c>
    </row>
    <row r="262" spans="1:26" x14ac:dyDescent="0.25">
      <c r="A262" s="1">
        <v>25</v>
      </c>
      <c r="B262" s="1">
        <v>0.4</v>
      </c>
      <c r="C262" s="1">
        <v>5</v>
      </c>
      <c r="D262" s="1">
        <f t="shared" si="56"/>
        <v>0.125</v>
      </c>
      <c r="E262" s="1">
        <v>15</v>
      </c>
      <c r="F262" s="1">
        <v>1.5</v>
      </c>
      <c r="G262" s="1">
        <v>100</v>
      </c>
      <c r="H262" s="1">
        <v>37.314712550000003</v>
      </c>
      <c r="I262" s="1">
        <f t="shared" si="57"/>
        <v>2.5000000000000001E-2</v>
      </c>
      <c r="J262" s="1">
        <f t="shared" si="58"/>
        <v>0.125</v>
      </c>
      <c r="K262" s="1">
        <f t="shared" si="59"/>
        <v>4.0000000000000002E-4</v>
      </c>
      <c r="L262" s="1">
        <f t="shared" si="60"/>
        <v>0.31023227454199215</v>
      </c>
      <c r="M262" s="1">
        <f t="shared" si="61"/>
        <v>2.7777777777777776E-2</v>
      </c>
      <c r="N262" s="1">
        <v>264</v>
      </c>
      <c r="O262" s="1">
        <v>3.22</v>
      </c>
      <c r="P262" s="1">
        <v>4148</v>
      </c>
      <c r="Q262" s="1">
        <f>[1]!HeatTransferArea(I262,D262,0.36,K262)</f>
        <v>0.58904862254808632</v>
      </c>
      <c r="R262" s="1">
        <f>[1]!Convection(I262,M262,1000,9*10^-4,K262,0.6,0.36,7)</f>
        <v>25884.883040575744</v>
      </c>
      <c r="S262" s="1">
        <f t="shared" si="62"/>
        <v>0.46894735253035391</v>
      </c>
      <c r="T262" s="1">
        <f t="shared" si="63"/>
        <v>2.7570934500282325E-5</v>
      </c>
      <c r="U262" s="1">
        <f t="shared" si="64"/>
        <v>1.1028373800112932E-6</v>
      </c>
      <c r="V262" s="1">
        <f t="shared" si="65"/>
        <v>5</v>
      </c>
      <c r="W262" s="1">
        <f t="shared" si="66"/>
        <v>124.11240429888637</v>
      </c>
      <c r="X262" s="1">
        <f t="shared" si="67"/>
        <v>4.658385093167702</v>
      </c>
      <c r="Y262" s="1">
        <f t="shared" si="68"/>
        <v>9.432831264743799E-2</v>
      </c>
      <c r="Z262" s="1">
        <v>37.314712550000003</v>
      </c>
    </row>
    <row r="263" spans="1:26" x14ac:dyDescent="0.25">
      <c r="A263" s="1">
        <v>25</v>
      </c>
      <c r="B263" s="1">
        <v>0.5</v>
      </c>
      <c r="C263" s="1">
        <v>3</v>
      </c>
      <c r="D263" s="1">
        <f t="shared" si="56"/>
        <v>7.4999999999999997E-2</v>
      </c>
      <c r="E263" s="1">
        <v>15</v>
      </c>
      <c r="F263" s="1">
        <v>0.5</v>
      </c>
      <c r="G263" s="1">
        <v>100</v>
      </c>
      <c r="H263" s="1">
        <v>-15.13942724</v>
      </c>
      <c r="I263" s="1">
        <f t="shared" si="57"/>
        <v>2.5000000000000001E-2</v>
      </c>
      <c r="J263" s="1">
        <f t="shared" si="58"/>
        <v>7.4999999999999997E-2</v>
      </c>
      <c r="K263" s="1">
        <f t="shared" si="59"/>
        <v>5.0000000000000001E-4</v>
      </c>
      <c r="L263" s="1">
        <f t="shared" si="60"/>
        <v>0.18613936472519524</v>
      </c>
      <c r="M263" s="1">
        <f t="shared" si="61"/>
        <v>2.7777777777777776E-2</v>
      </c>
      <c r="N263" s="1">
        <v>264</v>
      </c>
      <c r="O263" s="1">
        <v>3.22</v>
      </c>
      <c r="P263" s="1">
        <v>4148</v>
      </c>
      <c r="Q263" s="1">
        <f>[1]!HeatTransferArea(I263,D263,0.36,K263)</f>
        <v>0.28274333882308145</v>
      </c>
      <c r="R263" s="1">
        <f>[1]!Convection(I263,M263,1000,9*10^-4,K263,0.6,0.36,7)</f>
        <v>20885.729705543305</v>
      </c>
      <c r="S263" s="1">
        <f t="shared" si="62"/>
        <v>2.3447367626517703</v>
      </c>
      <c r="T263" s="1">
        <f t="shared" si="63"/>
        <v>3.3085121400338789E-6</v>
      </c>
      <c r="U263" s="1">
        <f t="shared" si="64"/>
        <v>3.676124600037644E-7</v>
      </c>
      <c r="V263" s="1">
        <f t="shared" si="65"/>
        <v>3</v>
      </c>
      <c r="W263" s="1">
        <f t="shared" si="66"/>
        <v>240.34211398784015</v>
      </c>
      <c r="X263" s="1">
        <f t="shared" si="67"/>
        <v>4.658385093167702</v>
      </c>
      <c r="Y263" s="1">
        <f t="shared" si="68"/>
        <v>-0.1913557050833907</v>
      </c>
      <c r="Z263" s="1">
        <v>-15.13942724</v>
      </c>
    </row>
    <row r="264" spans="1:26" x14ac:dyDescent="0.25">
      <c r="A264" s="2">
        <v>25</v>
      </c>
      <c r="B264" s="2">
        <v>0.5</v>
      </c>
      <c r="C264" s="2">
        <v>3</v>
      </c>
      <c r="D264" s="2">
        <f t="shared" si="56"/>
        <v>7.4999999999999997E-2</v>
      </c>
      <c r="E264" s="2">
        <v>15</v>
      </c>
      <c r="F264" s="2">
        <v>1</v>
      </c>
      <c r="G264" s="2">
        <v>100</v>
      </c>
      <c r="H264" s="2">
        <v>33.232518220000003</v>
      </c>
      <c r="I264" s="2">
        <f t="shared" si="57"/>
        <v>2.5000000000000001E-2</v>
      </c>
      <c r="J264" s="2">
        <f t="shared" si="58"/>
        <v>7.4999999999999997E-2</v>
      </c>
      <c r="K264" s="2">
        <f t="shared" si="59"/>
        <v>5.0000000000000001E-4</v>
      </c>
      <c r="L264" s="2">
        <f t="shared" si="60"/>
        <v>0.18613936472519524</v>
      </c>
      <c r="M264" s="2">
        <f t="shared" si="61"/>
        <v>2.7777777777777776E-2</v>
      </c>
      <c r="N264" s="1">
        <v>264</v>
      </c>
      <c r="O264" s="1">
        <v>3.22</v>
      </c>
      <c r="P264" s="2">
        <v>4148</v>
      </c>
      <c r="Q264" s="2">
        <f>[1]!HeatTransferArea(I264,D264,0.36,K264)</f>
        <v>0.28274333882308145</v>
      </c>
      <c r="R264" s="2">
        <f>[1]!Convection(I264,M264,1000,9*10^-4,K264,0.6,0.36,7)</f>
        <v>20885.729705543305</v>
      </c>
      <c r="S264" s="2">
        <f t="shared" si="62"/>
        <v>1.1723683813258852</v>
      </c>
      <c r="T264" s="2">
        <f t="shared" si="63"/>
        <v>6.6170242800677579E-6</v>
      </c>
      <c r="U264" s="2">
        <f t="shared" si="64"/>
        <v>7.3522492000752879E-7</v>
      </c>
      <c r="V264" s="2">
        <f t="shared" si="65"/>
        <v>3</v>
      </c>
      <c r="W264" s="2">
        <f t="shared" si="66"/>
        <v>120.17105699392008</v>
      </c>
      <c r="X264" s="2">
        <f t="shared" si="67"/>
        <v>4.658385093167702</v>
      </c>
      <c r="Y264" s="2">
        <f t="shared" si="68"/>
        <v>0.2100222107109492</v>
      </c>
      <c r="Z264" s="2">
        <v>33.232518220000003</v>
      </c>
    </row>
    <row r="265" spans="1:26" x14ac:dyDescent="0.25">
      <c r="A265" s="1">
        <v>25</v>
      </c>
      <c r="B265" s="1">
        <v>0.5</v>
      </c>
      <c r="C265" s="1">
        <v>3</v>
      </c>
      <c r="D265" s="1">
        <f t="shared" si="56"/>
        <v>7.4999999999999997E-2</v>
      </c>
      <c r="E265" s="1">
        <v>15</v>
      </c>
      <c r="F265" s="1">
        <v>1.5</v>
      </c>
      <c r="G265" s="1">
        <v>100</v>
      </c>
      <c r="H265" s="1">
        <v>35.951470180000001</v>
      </c>
      <c r="I265" s="1">
        <f t="shared" si="57"/>
        <v>2.5000000000000001E-2</v>
      </c>
      <c r="J265" s="1">
        <f t="shared" si="58"/>
        <v>7.4999999999999997E-2</v>
      </c>
      <c r="K265" s="1">
        <f t="shared" si="59"/>
        <v>5.0000000000000001E-4</v>
      </c>
      <c r="L265" s="1">
        <f t="shared" si="60"/>
        <v>0.18613936472519524</v>
      </c>
      <c r="M265" s="1">
        <f t="shared" si="61"/>
        <v>2.7777777777777776E-2</v>
      </c>
      <c r="N265" s="1">
        <v>264</v>
      </c>
      <c r="O265" s="1">
        <v>3.22</v>
      </c>
      <c r="P265" s="1">
        <v>4148</v>
      </c>
      <c r="Q265" s="1">
        <f>[1]!HeatTransferArea(I265,D265,0.36,K265)</f>
        <v>0.28274333882308145</v>
      </c>
      <c r="R265" s="1">
        <f>[1]!Convection(I265,M265,1000,9*10^-4,K265,0.6,0.36,7)</f>
        <v>20885.729705543305</v>
      </c>
      <c r="S265" s="1">
        <f t="shared" si="62"/>
        <v>0.78157892088392333</v>
      </c>
      <c r="T265" s="1">
        <f t="shared" si="63"/>
        <v>9.9255364201016368E-6</v>
      </c>
      <c r="U265" s="1">
        <f t="shared" si="64"/>
        <v>1.1028373800112932E-6</v>
      </c>
      <c r="V265" s="1">
        <f t="shared" si="65"/>
        <v>3</v>
      </c>
      <c r="W265" s="1">
        <f t="shared" si="66"/>
        <v>80.114037995946717</v>
      </c>
      <c r="X265" s="1">
        <f t="shared" si="67"/>
        <v>4.658385093167702</v>
      </c>
      <c r="Y265" s="1">
        <f t="shared" si="68"/>
        <v>0.15147025965205088</v>
      </c>
      <c r="Z265" s="1">
        <v>35.951470180000001</v>
      </c>
    </row>
    <row r="266" spans="1:26" x14ac:dyDescent="0.25">
      <c r="A266" s="1">
        <v>25</v>
      </c>
      <c r="B266" s="1">
        <v>0.5</v>
      </c>
      <c r="C266" s="1">
        <v>4</v>
      </c>
      <c r="D266" s="1">
        <f t="shared" si="56"/>
        <v>0.1</v>
      </c>
      <c r="E266" s="1">
        <v>15</v>
      </c>
      <c r="F266" s="1">
        <v>0.5</v>
      </c>
      <c r="G266" s="1">
        <v>100</v>
      </c>
      <c r="H266" s="1">
        <v>24.778896029999999</v>
      </c>
      <c r="I266" s="1">
        <f t="shared" si="57"/>
        <v>2.5000000000000001E-2</v>
      </c>
      <c r="J266" s="1">
        <f t="shared" si="58"/>
        <v>0.1</v>
      </c>
      <c r="K266" s="1">
        <f t="shared" si="59"/>
        <v>5.0000000000000001E-4</v>
      </c>
      <c r="L266" s="1">
        <f t="shared" si="60"/>
        <v>0.24818581963359368</v>
      </c>
      <c r="M266" s="1">
        <f t="shared" si="61"/>
        <v>2.7777777777777776E-2</v>
      </c>
      <c r="N266" s="1">
        <v>264</v>
      </c>
      <c r="O266" s="1">
        <v>3.22</v>
      </c>
      <c r="P266" s="1">
        <v>4148</v>
      </c>
      <c r="Q266" s="1">
        <f>[1]!HeatTransferArea(I266,D266,0.36,K266)</f>
        <v>0.37699111843077526</v>
      </c>
      <c r="R266" s="1">
        <f>[1]!Convection(I266,M266,1000,9*10^-4,K266,0.6,0.36,7)</f>
        <v>20885.729705543305</v>
      </c>
      <c r="S266" s="1">
        <f t="shared" si="62"/>
        <v>1.7585525719888275</v>
      </c>
      <c r="T266" s="1">
        <f t="shared" si="63"/>
        <v>5.8817993600602304E-6</v>
      </c>
      <c r="U266" s="1">
        <f t="shared" si="64"/>
        <v>3.676124600037644E-7</v>
      </c>
      <c r="V266" s="1">
        <f t="shared" si="65"/>
        <v>4</v>
      </c>
      <c r="W266" s="1">
        <f t="shared" si="66"/>
        <v>240.34211398784015</v>
      </c>
      <c r="X266" s="1">
        <f t="shared" si="67"/>
        <v>4.658385093167702</v>
      </c>
      <c r="Y266" s="1">
        <f t="shared" si="68"/>
        <v>0.2348957648384927</v>
      </c>
      <c r="Z266" s="1">
        <v>24.778896029999999</v>
      </c>
    </row>
    <row r="267" spans="1:26" x14ac:dyDescent="0.25">
      <c r="A267" s="1">
        <v>25</v>
      </c>
      <c r="B267" s="1">
        <v>0.5</v>
      </c>
      <c r="C267" s="1">
        <v>4</v>
      </c>
      <c r="D267" s="1">
        <f t="shared" si="56"/>
        <v>0.1</v>
      </c>
      <c r="E267" s="1">
        <v>15</v>
      </c>
      <c r="F267" s="1">
        <v>1</v>
      </c>
      <c r="G267" s="1">
        <v>100</v>
      </c>
      <c r="H267" s="1">
        <v>36.078850889999998</v>
      </c>
      <c r="I267" s="1">
        <f t="shared" si="57"/>
        <v>2.5000000000000001E-2</v>
      </c>
      <c r="J267" s="1">
        <f t="shared" si="58"/>
        <v>0.1</v>
      </c>
      <c r="K267" s="1">
        <f t="shared" si="59"/>
        <v>5.0000000000000001E-4</v>
      </c>
      <c r="L267" s="1">
        <f t="shared" si="60"/>
        <v>0.24818581963359368</v>
      </c>
      <c r="M267" s="1">
        <f t="shared" si="61"/>
        <v>2.7777777777777776E-2</v>
      </c>
      <c r="N267" s="1">
        <v>264</v>
      </c>
      <c r="O267" s="1">
        <v>3.22</v>
      </c>
      <c r="P267" s="1">
        <v>4148</v>
      </c>
      <c r="Q267" s="1">
        <f>[1]!HeatTransferArea(I267,D267,0.36,K267)</f>
        <v>0.37699111843077526</v>
      </c>
      <c r="R267" s="1">
        <f>[1]!Convection(I267,M267,1000,9*10^-4,K267,0.6,0.36,7)</f>
        <v>20885.729705543305</v>
      </c>
      <c r="S267" s="1">
        <f t="shared" si="62"/>
        <v>0.87927628599441376</v>
      </c>
      <c r="T267" s="1">
        <f t="shared" si="63"/>
        <v>1.1763598720120461E-5</v>
      </c>
      <c r="U267" s="1">
        <f t="shared" si="64"/>
        <v>7.3522492000752879E-7</v>
      </c>
      <c r="V267" s="1">
        <f t="shared" si="65"/>
        <v>4</v>
      </c>
      <c r="W267" s="1">
        <f t="shared" si="66"/>
        <v>120.17105699392008</v>
      </c>
      <c r="X267" s="1">
        <f t="shared" si="67"/>
        <v>4.658385093167702</v>
      </c>
      <c r="Y267" s="1">
        <f t="shared" si="68"/>
        <v>0.17100780567544283</v>
      </c>
      <c r="Z267" s="1">
        <v>36.078850889999998</v>
      </c>
    </row>
    <row r="268" spans="1:26" x14ac:dyDescent="0.25">
      <c r="A268" s="1">
        <v>25</v>
      </c>
      <c r="B268" s="1">
        <v>0.5</v>
      </c>
      <c r="C268" s="1">
        <v>4</v>
      </c>
      <c r="D268" s="1">
        <f t="shared" si="56"/>
        <v>0.1</v>
      </c>
      <c r="E268" s="1">
        <v>15</v>
      </c>
      <c r="F268" s="1">
        <v>1.5</v>
      </c>
      <c r="G268" s="1">
        <v>100</v>
      </c>
      <c r="H268" s="1">
        <v>36.917236799999998</v>
      </c>
      <c r="I268" s="1">
        <f t="shared" si="57"/>
        <v>2.5000000000000001E-2</v>
      </c>
      <c r="J268" s="1">
        <f t="shared" si="58"/>
        <v>0.1</v>
      </c>
      <c r="K268" s="1">
        <f t="shared" si="59"/>
        <v>5.0000000000000001E-4</v>
      </c>
      <c r="L268" s="1">
        <f t="shared" si="60"/>
        <v>0.24818581963359368</v>
      </c>
      <c r="M268" s="1">
        <f t="shared" si="61"/>
        <v>2.7777777777777776E-2</v>
      </c>
      <c r="N268" s="1">
        <v>264</v>
      </c>
      <c r="O268" s="1">
        <v>3.22</v>
      </c>
      <c r="P268" s="1">
        <v>4148</v>
      </c>
      <c r="Q268" s="1">
        <f>[1]!HeatTransferArea(I268,D268,0.36,K268)</f>
        <v>0.37699111843077526</v>
      </c>
      <c r="R268" s="1">
        <f>[1]!Convection(I268,M268,1000,9*10^-4,K268,0.6,0.36,7)</f>
        <v>20885.729705543305</v>
      </c>
      <c r="S268" s="1">
        <f t="shared" si="62"/>
        <v>0.58618419066294247</v>
      </c>
      <c r="T268" s="1">
        <f t="shared" si="63"/>
        <v>1.7645398080180691E-5</v>
      </c>
      <c r="U268" s="1">
        <f t="shared" si="64"/>
        <v>1.1028373800112932E-6</v>
      </c>
      <c r="V268" s="1">
        <f t="shared" si="65"/>
        <v>4</v>
      </c>
      <c r="W268" s="1">
        <f t="shared" si="66"/>
        <v>80.114037995946703</v>
      </c>
      <c r="X268" s="1">
        <f t="shared" si="67"/>
        <v>4.658385093167702</v>
      </c>
      <c r="Y268" s="1">
        <f t="shared" si="68"/>
        <v>0.11665441112147545</v>
      </c>
      <c r="Z268" s="1">
        <v>36.917236799999998</v>
      </c>
    </row>
    <row r="269" spans="1:26" x14ac:dyDescent="0.25">
      <c r="A269" s="1">
        <v>25</v>
      </c>
      <c r="B269" s="1">
        <v>0.5</v>
      </c>
      <c r="C269" s="1">
        <v>5</v>
      </c>
      <c r="D269" s="1">
        <f t="shared" si="56"/>
        <v>0.125</v>
      </c>
      <c r="E269" s="1">
        <v>15</v>
      </c>
      <c r="F269" s="1">
        <v>0.5</v>
      </c>
      <c r="G269" s="1">
        <v>100</v>
      </c>
      <c r="H269" s="1">
        <v>32.503391030000003</v>
      </c>
      <c r="I269" s="1">
        <f t="shared" si="57"/>
        <v>2.5000000000000001E-2</v>
      </c>
      <c r="J269" s="1">
        <f t="shared" si="58"/>
        <v>0.125</v>
      </c>
      <c r="K269" s="1">
        <f t="shared" si="59"/>
        <v>5.0000000000000001E-4</v>
      </c>
      <c r="L269" s="1">
        <f t="shared" si="60"/>
        <v>0.31023227454199215</v>
      </c>
      <c r="M269" s="1">
        <f t="shared" si="61"/>
        <v>2.7777777777777776E-2</v>
      </c>
      <c r="N269" s="1">
        <v>264</v>
      </c>
      <c r="O269" s="1">
        <v>3.22</v>
      </c>
      <c r="P269" s="1">
        <v>4148</v>
      </c>
      <c r="Q269" s="1">
        <f>[1]!HeatTransferArea(I269,D269,0.36,K269)</f>
        <v>0.47123889803846908</v>
      </c>
      <c r="R269" s="1">
        <f>[1]!Convection(I269,M269,1000,9*10^-4,K269,0.6,0.36,7)</f>
        <v>20885.729705543305</v>
      </c>
      <c r="S269" s="1">
        <f t="shared" si="62"/>
        <v>1.4068420575910618</v>
      </c>
      <c r="T269" s="1">
        <f t="shared" si="63"/>
        <v>9.1903115000941076E-6</v>
      </c>
      <c r="U269" s="1">
        <f t="shared" si="64"/>
        <v>3.676124600037644E-7</v>
      </c>
      <c r="V269" s="1">
        <f t="shared" si="65"/>
        <v>5</v>
      </c>
      <c r="W269" s="1">
        <f t="shared" si="66"/>
        <v>240.34211398784009</v>
      </c>
      <c r="X269" s="1">
        <f t="shared" si="67"/>
        <v>4.658385093167702</v>
      </c>
      <c r="Y269" s="1">
        <f t="shared" si="68"/>
        <v>0.24649714455697494</v>
      </c>
      <c r="Z269" s="1">
        <v>32.503391030000003</v>
      </c>
    </row>
    <row r="270" spans="1:26" x14ac:dyDescent="0.25">
      <c r="A270" s="1">
        <v>25</v>
      </c>
      <c r="B270" s="1">
        <v>0.5</v>
      </c>
      <c r="C270" s="1">
        <v>5</v>
      </c>
      <c r="D270" s="1">
        <f t="shared" si="56"/>
        <v>0.125</v>
      </c>
      <c r="E270" s="1">
        <v>15</v>
      </c>
      <c r="F270" s="1">
        <v>1</v>
      </c>
      <c r="G270" s="1">
        <v>100</v>
      </c>
      <c r="H270" s="1">
        <v>36.74842452</v>
      </c>
      <c r="I270" s="1">
        <f t="shared" si="57"/>
        <v>2.5000000000000001E-2</v>
      </c>
      <c r="J270" s="1">
        <f t="shared" si="58"/>
        <v>0.125</v>
      </c>
      <c r="K270" s="1">
        <f t="shared" si="59"/>
        <v>5.0000000000000001E-4</v>
      </c>
      <c r="L270" s="1">
        <f t="shared" si="60"/>
        <v>0.31023227454199215</v>
      </c>
      <c r="M270" s="1">
        <f t="shared" si="61"/>
        <v>2.7777777777777776E-2</v>
      </c>
      <c r="N270" s="1">
        <v>264</v>
      </c>
      <c r="O270" s="1">
        <v>3.22</v>
      </c>
      <c r="P270" s="1">
        <v>4148</v>
      </c>
      <c r="Q270" s="1">
        <f>[1]!HeatTransferArea(I270,D270,0.36,K270)</f>
        <v>0.47123889803846908</v>
      </c>
      <c r="R270" s="1">
        <f>[1]!Convection(I270,M270,1000,9*10^-4,K270,0.6,0.36,7)</f>
        <v>20885.729705543305</v>
      </c>
      <c r="S270" s="1">
        <f t="shared" si="62"/>
        <v>0.70342102879553092</v>
      </c>
      <c r="T270" s="1">
        <f t="shared" si="63"/>
        <v>1.8380623000188215E-5</v>
      </c>
      <c r="U270" s="1">
        <f t="shared" si="64"/>
        <v>7.3522492000752879E-7</v>
      </c>
      <c r="V270" s="1">
        <f t="shared" si="65"/>
        <v>5</v>
      </c>
      <c r="W270" s="1">
        <f t="shared" si="66"/>
        <v>120.17105699392005</v>
      </c>
      <c r="X270" s="1">
        <f t="shared" si="67"/>
        <v>4.658385093167702</v>
      </c>
      <c r="Y270" s="1">
        <f t="shared" si="68"/>
        <v>0.13934517944276661</v>
      </c>
      <c r="Z270" s="1">
        <v>36.74842452</v>
      </c>
    </row>
    <row r="271" spans="1:26" x14ac:dyDescent="0.25">
      <c r="A271" s="1">
        <v>25</v>
      </c>
      <c r="B271" s="1">
        <v>0.5</v>
      </c>
      <c r="C271" s="1">
        <v>5</v>
      </c>
      <c r="D271" s="1">
        <f t="shared" si="56"/>
        <v>0.125</v>
      </c>
      <c r="E271" s="1">
        <v>15</v>
      </c>
      <c r="F271" s="1">
        <v>1.5</v>
      </c>
      <c r="G271" s="1">
        <v>100</v>
      </c>
      <c r="H271" s="1">
        <v>37.020039629999999</v>
      </c>
      <c r="I271" s="1">
        <f t="shared" si="57"/>
        <v>2.5000000000000001E-2</v>
      </c>
      <c r="J271" s="1">
        <f t="shared" si="58"/>
        <v>0.125</v>
      </c>
      <c r="K271" s="1">
        <f t="shared" si="59"/>
        <v>5.0000000000000001E-4</v>
      </c>
      <c r="L271" s="1">
        <f t="shared" si="60"/>
        <v>0.31023227454199215</v>
      </c>
      <c r="M271" s="1">
        <f t="shared" si="61"/>
        <v>2.7777777777777776E-2</v>
      </c>
      <c r="N271" s="1">
        <v>264</v>
      </c>
      <c r="O271" s="1">
        <v>3.22</v>
      </c>
      <c r="P271" s="1">
        <v>4148</v>
      </c>
      <c r="Q271" s="1">
        <f>[1]!HeatTransferArea(I271,D271,0.36,K271)</f>
        <v>0.47123889803846908</v>
      </c>
      <c r="R271" s="1">
        <f>[1]!Convection(I271,M271,1000,9*10^-4,K271,0.6,0.36,7)</f>
        <v>20885.729705543305</v>
      </c>
      <c r="S271" s="1">
        <f t="shared" si="62"/>
        <v>0.46894735253035391</v>
      </c>
      <c r="T271" s="1">
        <f t="shared" si="63"/>
        <v>2.7570934500282325E-5</v>
      </c>
      <c r="U271" s="1">
        <f t="shared" si="64"/>
        <v>1.1028373800112932E-6</v>
      </c>
      <c r="V271" s="1">
        <f t="shared" si="65"/>
        <v>5</v>
      </c>
      <c r="W271" s="1">
        <f t="shared" si="66"/>
        <v>80.114037995946688</v>
      </c>
      <c r="X271" s="1">
        <f t="shared" si="67"/>
        <v>4.658385093167702</v>
      </c>
      <c r="Y271" s="1">
        <f t="shared" si="68"/>
        <v>9.3583405413079732E-2</v>
      </c>
      <c r="Z271" s="1">
        <v>37.020039629999999</v>
      </c>
    </row>
    <row r="272" spans="1:26" x14ac:dyDescent="0.25">
      <c r="A272" s="2">
        <v>25</v>
      </c>
      <c r="B272" s="2">
        <v>0.3</v>
      </c>
      <c r="C272" s="2">
        <v>2.5</v>
      </c>
      <c r="D272" s="2">
        <f t="shared" si="56"/>
        <v>6.25E-2</v>
      </c>
      <c r="E272" s="2">
        <v>15</v>
      </c>
      <c r="F272" s="2">
        <v>0.5</v>
      </c>
      <c r="G272" s="2">
        <v>75</v>
      </c>
      <c r="H272" s="2">
        <v>11.63906849</v>
      </c>
      <c r="I272" s="2">
        <f t="shared" si="57"/>
        <v>2.5000000000000001E-2</v>
      </c>
      <c r="J272" s="2">
        <f t="shared" si="58"/>
        <v>6.25E-2</v>
      </c>
      <c r="K272" s="2">
        <f t="shared" si="59"/>
        <v>2.9999999999999997E-4</v>
      </c>
      <c r="L272" s="2">
        <f t="shared" si="60"/>
        <v>0.15511613727099607</v>
      </c>
      <c r="M272" s="2">
        <f t="shared" si="61"/>
        <v>2.0833333333333332E-2</v>
      </c>
      <c r="N272" s="1">
        <v>264</v>
      </c>
      <c r="O272" s="1">
        <v>3.22</v>
      </c>
      <c r="P272" s="2">
        <v>4148</v>
      </c>
      <c r="Q272" s="2">
        <f>[1]!HeatTransferArea(I272,D272,0.36,K272)</f>
        <v>0.39269908169872425</v>
      </c>
      <c r="R272" s="2">
        <f>[1]!Convection(I272,M272,1000,9*10^-4,K272,0.6,0.36,7)</f>
        <v>33909.243146205263</v>
      </c>
      <c r="S272" s="2">
        <f t="shared" si="62"/>
        <v>2.1102630863865928</v>
      </c>
      <c r="T272" s="2">
        <f t="shared" si="63"/>
        <v>2.2975778750235269E-6</v>
      </c>
      <c r="U272" s="2">
        <f t="shared" si="64"/>
        <v>3.676124600037644E-7</v>
      </c>
      <c r="V272" s="2">
        <f t="shared" si="65"/>
        <v>2.5</v>
      </c>
      <c r="W272" s="2">
        <f t="shared" si="66"/>
        <v>650.34988772929159</v>
      </c>
      <c r="X272" s="2">
        <f t="shared" si="67"/>
        <v>4.658385093167702</v>
      </c>
      <c r="Y272" s="2">
        <f t="shared" si="68"/>
        <v>0.17653525107211324</v>
      </c>
      <c r="Z272" s="2">
        <v>11.63906849</v>
      </c>
    </row>
    <row r="273" spans="1:26" x14ac:dyDescent="0.25">
      <c r="A273" s="2">
        <v>25</v>
      </c>
      <c r="B273" s="1">
        <v>0.3</v>
      </c>
      <c r="C273" s="1">
        <v>2.5</v>
      </c>
      <c r="D273" s="1">
        <f t="shared" si="56"/>
        <v>6.25E-2</v>
      </c>
      <c r="E273" s="1">
        <v>15</v>
      </c>
      <c r="F273" s="1">
        <v>1</v>
      </c>
      <c r="G273" s="1">
        <v>75</v>
      </c>
      <c r="H273" s="1">
        <v>28.434787870000001</v>
      </c>
      <c r="I273" s="1">
        <f t="shared" si="57"/>
        <v>2.5000000000000001E-2</v>
      </c>
      <c r="J273" s="1">
        <f t="shared" si="58"/>
        <v>6.25E-2</v>
      </c>
      <c r="K273" s="1">
        <f t="shared" si="59"/>
        <v>2.9999999999999997E-4</v>
      </c>
      <c r="L273" s="1">
        <f t="shared" si="60"/>
        <v>0.15511613727099607</v>
      </c>
      <c r="M273" s="1">
        <f t="shared" si="61"/>
        <v>2.0833333333333332E-2</v>
      </c>
      <c r="N273" s="1">
        <v>264</v>
      </c>
      <c r="O273" s="1">
        <v>3.22</v>
      </c>
      <c r="P273" s="1">
        <v>4148</v>
      </c>
      <c r="Q273" s="1">
        <f>[1]!HeatTransferArea(I273,D273,0.36,K273)</f>
        <v>0.39269908169872425</v>
      </c>
      <c r="R273" s="1">
        <f>[1]!Convection(I273,M273,1000,9*10^-4,K273,0.6,0.36,7)</f>
        <v>33909.243146205263</v>
      </c>
      <c r="S273" s="1">
        <f t="shared" si="62"/>
        <v>1.0551315431932964</v>
      </c>
      <c r="T273" s="1">
        <f t="shared" si="63"/>
        <v>4.5951557500470538E-6</v>
      </c>
      <c r="U273" s="1">
        <f t="shared" si="64"/>
        <v>7.3522492000752879E-7</v>
      </c>
      <c r="V273" s="1">
        <f t="shared" si="65"/>
        <v>2.5</v>
      </c>
      <c r="W273" s="1">
        <f t="shared" si="66"/>
        <v>325.1749438646458</v>
      </c>
      <c r="X273" s="1">
        <f t="shared" si="67"/>
        <v>4.658385093167702</v>
      </c>
      <c r="Y273" s="1">
        <f t="shared" si="68"/>
        <v>0.21564193131630632</v>
      </c>
      <c r="Z273" s="1">
        <v>28.434787870000001</v>
      </c>
    </row>
    <row r="274" spans="1:26" x14ac:dyDescent="0.25">
      <c r="A274" s="2">
        <v>25</v>
      </c>
      <c r="B274" s="1">
        <v>0.3</v>
      </c>
      <c r="C274" s="1">
        <v>2.5</v>
      </c>
      <c r="D274" s="1">
        <f t="shared" si="56"/>
        <v>6.25E-2</v>
      </c>
      <c r="E274" s="1">
        <v>15</v>
      </c>
      <c r="F274" s="1">
        <v>1.5</v>
      </c>
      <c r="G274" s="1">
        <v>75</v>
      </c>
      <c r="H274" s="1">
        <v>29.13888944</v>
      </c>
      <c r="I274" s="1">
        <f t="shared" si="57"/>
        <v>2.5000000000000001E-2</v>
      </c>
      <c r="J274" s="1">
        <f t="shared" si="58"/>
        <v>6.25E-2</v>
      </c>
      <c r="K274" s="1">
        <f t="shared" si="59"/>
        <v>2.9999999999999997E-4</v>
      </c>
      <c r="L274" s="1">
        <f t="shared" si="60"/>
        <v>0.15511613727099607</v>
      </c>
      <c r="M274" s="1">
        <f t="shared" si="61"/>
        <v>2.0833333333333332E-2</v>
      </c>
      <c r="N274" s="1">
        <v>264</v>
      </c>
      <c r="O274" s="1">
        <v>3.22</v>
      </c>
      <c r="P274" s="1">
        <v>4148</v>
      </c>
      <c r="Q274" s="1">
        <f>[1]!HeatTransferArea(I274,D274,0.36,K274)</f>
        <v>0.39269908169872425</v>
      </c>
      <c r="R274" s="1">
        <f>[1]!Convection(I274,M274,1000,9*10^-4,K274,0.6,0.36,7)</f>
        <v>33909.243146205263</v>
      </c>
      <c r="S274" s="1">
        <f t="shared" si="62"/>
        <v>0.70342102879553081</v>
      </c>
      <c r="T274" s="1">
        <f t="shared" si="63"/>
        <v>6.8927336250705811E-6</v>
      </c>
      <c r="U274" s="1">
        <f t="shared" si="64"/>
        <v>1.1028373800112932E-6</v>
      </c>
      <c r="V274" s="1">
        <f t="shared" si="65"/>
        <v>2.5</v>
      </c>
      <c r="W274" s="1">
        <f t="shared" si="66"/>
        <v>216.78329590976386</v>
      </c>
      <c r="X274" s="1">
        <f t="shared" si="67"/>
        <v>4.658385093167702</v>
      </c>
      <c r="Y274" s="1">
        <f t="shared" si="68"/>
        <v>0.14732110127405759</v>
      </c>
      <c r="Z274" s="1">
        <v>29.13888944</v>
      </c>
    </row>
    <row r="275" spans="1:26" x14ac:dyDescent="0.25">
      <c r="A275" s="2">
        <v>25</v>
      </c>
      <c r="B275" s="1">
        <v>0.3</v>
      </c>
      <c r="C275" s="1">
        <v>3.3333330000000001</v>
      </c>
      <c r="D275" s="1">
        <f t="shared" si="56"/>
        <v>8.3333325E-2</v>
      </c>
      <c r="E275" s="1">
        <v>15</v>
      </c>
      <c r="F275" s="1">
        <v>0.5</v>
      </c>
      <c r="G275" s="1">
        <v>75</v>
      </c>
      <c r="H275" s="1">
        <v>24.7830355</v>
      </c>
      <c r="I275" s="1">
        <f t="shared" si="57"/>
        <v>2.5000000000000001E-2</v>
      </c>
      <c r="J275" s="1">
        <f t="shared" si="58"/>
        <v>8.3333325E-2</v>
      </c>
      <c r="K275" s="1">
        <f t="shared" si="59"/>
        <v>2.9999999999999997E-4</v>
      </c>
      <c r="L275" s="1">
        <f t="shared" si="60"/>
        <v>0.20682149567917646</v>
      </c>
      <c r="M275" s="1">
        <f t="shared" si="61"/>
        <v>2.0833333333333332E-2</v>
      </c>
      <c r="N275" s="1">
        <v>264</v>
      </c>
      <c r="O275" s="1">
        <v>3.22</v>
      </c>
      <c r="P275" s="1">
        <v>4148</v>
      </c>
      <c r="Q275" s="1">
        <f>[1]!HeatTransferArea(I275,D275,0.36,K275)</f>
        <v>0.52359872323842149</v>
      </c>
      <c r="R275" s="1">
        <f>[1]!Convection(I275,M275,1000,9*10^-4,K275,0.6,0.36,7)</f>
        <v>33909.243146205263</v>
      </c>
      <c r="S275" s="1">
        <f t="shared" si="62"/>
        <v>1.5826974730596919</v>
      </c>
      <c r="T275" s="1">
        <f t="shared" si="63"/>
        <v>4.0845820720141776E-6</v>
      </c>
      <c r="U275" s="1">
        <f t="shared" si="64"/>
        <v>3.676124600037644E-7</v>
      </c>
      <c r="V275" s="1">
        <f t="shared" si="65"/>
        <v>3.3333330000000001</v>
      </c>
      <c r="W275" s="1">
        <f t="shared" si="66"/>
        <v>650.34988772929171</v>
      </c>
      <c r="X275" s="1">
        <f t="shared" si="67"/>
        <v>4.658385093167702</v>
      </c>
      <c r="Y275" s="1">
        <f t="shared" si="68"/>
        <v>0.28192203497139001</v>
      </c>
      <c r="Z275" s="1">
        <v>24.7830355</v>
      </c>
    </row>
    <row r="276" spans="1:26" x14ac:dyDescent="0.25">
      <c r="A276" s="2">
        <v>25</v>
      </c>
      <c r="B276" s="1">
        <v>0.3</v>
      </c>
      <c r="C276" s="1">
        <v>3.3333330000000001</v>
      </c>
      <c r="D276" s="1">
        <f t="shared" si="56"/>
        <v>8.3333325E-2</v>
      </c>
      <c r="E276" s="1">
        <v>15</v>
      </c>
      <c r="F276" s="1">
        <v>1</v>
      </c>
      <c r="G276" s="1">
        <v>75</v>
      </c>
      <c r="H276" s="1">
        <v>28.59126462</v>
      </c>
      <c r="I276" s="1">
        <f t="shared" si="57"/>
        <v>2.5000000000000001E-2</v>
      </c>
      <c r="J276" s="1">
        <f t="shared" si="58"/>
        <v>8.3333325E-2</v>
      </c>
      <c r="K276" s="1">
        <f t="shared" si="59"/>
        <v>2.9999999999999997E-4</v>
      </c>
      <c r="L276" s="1">
        <f t="shared" si="60"/>
        <v>0.20682149567917646</v>
      </c>
      <c r="M276" s="1">
        <f t="shared" si="61"/>
        <v>2.0833333333333332E-2</v>
      </c>
      <c r="N276" s="1">
        <v>264</v>
      </c>
      <c r="O276" s="1">
        <v>3.22</v>
      </c>
      <c r="P276" s="1">
        <v>4148</v>
      </c>
      <c r="Q276" s="1">
        <f>[1]!HeatTransferArea(I276,D276,0.36,K276)</f>
        <v>0.52359872323842149</v>
      </c>
      <c r="R276" s="1">
        <f>[1]!Convection(I276,M276,1000,9*10^-4,K276,0.6,0.36,7)</f>
        <v>33909.243146205263</v>
      </c>
      <c r="S276" s="1">
        <f t="shared" si="62"/>
        <v>0.79134873652984594</v>
      </c>
      <c r="T276" s="1">
        <f t="shared" si="63"/>
        <v>8.1691641440283553E-6</v>
      </c>
      <c r="U276" s="1">
        <f t="shared" si="64"/>
        <v>7.3522492000752879E-7</v>
      </c>
      <c r="V276" s="1">
        <f t="shared" si="65"/>
        <v>3.3333330000000001</v>
      </c>
      <c r="W276" s="1">
        <f t="shared" si="66"/>
        <v>325.17494386464585</v>
      </c>
      <c r="X276" s="1">
        <f t="shared" si="67"/>
        <v>4.658385093167702</v>
      </c>
      <c r="Y276" s="1">
        <f t="shared" si="68"/>
        <v>0.16262147354943476</v>
      </c>
      <c r="Z276" s="1">
        <v>28.59126462</v>
      </c>
    </row>
    <row r="277" spans="1:26" x14ac:dyDescent="0.25">
      <c r="A277" s="2">
        <v>25</v>
      </c>
      <c r="B277" s="1">
        <v>0.3</v>
      </c>
      <c r="C277" s="1">
        <v>3.3333330000000001</v>
      </c>
      <c r="D277" s="1">
        <f t="shared" si="56"/>
        <v>8.3333325E-2</v>
      </c>
      <c r="E277" s="1">
        <v>15</v>
      </c>
      <c r="F277" s="1">
        <v>1.5</v>
      </c>
      <c r="G277" s="1">
        <v>75</v>
      </c>
      <c r="H277" s="1">
        <v>28.808101709999999</v>
      </c>
      <c r="I277" s="1">
        <f t="shared" si="57"/>
        <v>2.5000000000000001E-2</v>
      </c>
      <c r="J277" s="1">
        <f t="shared" si="58"/>
        <v>8.3333325E-2</v>
      </c>
      <c r="K277" s="1">
        <f t="shared" si="59"/>
        <v>2.9999999999999997E-4</v>
      </c>
      <c r="L277" s="1">
        <f t="shared" si="60"/>
        <v>0.20682149567917646</v>
      </c>
      <c r="M277" s="1">
        <f t="shared" si="61"/>
        <v>2.0833333333333332E-2</v>
      </c>
      <c r="N277" s="1">
        <v>264</v>
      </c>
      <c r="O277" s="1">
        <v>3.22</v>
      </c>
      <c r="P277" s="1">
        <v>4148</v>
      </c>
      <c r="Q277" s="1">
        <f>[1]!HeatTransferArea(I277,D277,0.36,K277)</f>
        <v>0.52359872323842149</v>
      </c>
      <c r="R277" s="1">
        <f>[1]!Convection(I277,M277,1000,9*10^-4,K277,0.6,0.36,7)</f>
        <v>33909.243146205263</v>
      </c>
      <c r="S277" s="1">
        <f t="shared" si="62"/>
        <v>0.52756582435323063</v>
      </c>
      <c r="T277" s="1">
        <f t="shared" si="63"/>
        <v>1.2253746216042535E-5</v>
      </c>
      <c r="U277" s="1">
        <f t="shared" si="64"/>
        <v>1.1028373800112932E-6</v>
      </c>
      <c r="V277" s="1">
        <f t="shared" si="65"/>
        <v>3.3333330000000001</v>
      </c>
      <c r="W277" s="1">
        <f t="shared" si="66"/>
        <v>216.78329590976389</v>
      </c>
      <c r="X277" s="1">
        <f t="shared" si="67"/>
        <v>4.658385093167702</v>
      </c>
      <c r="Y277" s="1">
        <f t="shared" si="68"/>
        <v>0.10923653343091597</v>
      </c>
      <c r="Z277" s="1">
        <v>28.808101709999999</v>
      </c>
    </row>
    <row r="278" spans="1:26" x14ac:dyDescent="0.25">
      <c r="A278" s="2">
        <v>25</v>
      </c>
      <c r="B278" s="1">
        <v>0.3</v>
      </c>
      <c r="C278" s="1">
        <v>4.1666660000000002</v>
      </c>
      <c r="D278" s="1">
        <f t="shared" si="56"/>
        <v>0.10416665</v>
      </c>
      <c r="E278" s="1">
        <v>15</v>
      </c>
      <c r="F278" s="1">
        <v>0.5</v>
      </c>
      <c r="G278" s="1">
        <v>75</v>
      </c>
      <c r="H278" s="1">
        <v>27.16480606</v>
      </c>
      <c r="I278" s="1">
        <f t="shared" si="57"/>
        <v>2.5000000000000001E-2</v>
      </c>
      <c r="J278" s="1">
        <f t="shared" si="58"/>
        <v>0.10416665</v>
      </c>
      <c r="K278" s="1">
        <f t="shared" si="59"/>
        <v>2.9999999999999997E-4</v>
      </c>
      <c r="L278" s="1">
        <f t="shared" si="60"/>
        <v>0.25852685408735682</v>
      </c>
      <c r="M278" s="1">
        <f t="shared" si="61"/>
        <v>2.0833333333333332E-2</v>
      </c>
      <c r="N278" s="1">
        <v>264</v>
      </c>
      <c r="O278" s="1">
        <v>3.22</v>
      </c>
      <c r="P278" s="1">
        <v>4148</v>
      </c>
      <c r="Q278" s="1">
        <f>[1]!HeatTransferArea(I278,D278,0.36,K278)</f>
        <v>0.65449836477811862</v>
      </c>
      <c r="R278" s="1">
        <f>[1]!Convection(I278,M278,1000,9*10^-4,K278,0.6,0.36,7)</f>
        <v>33909.243146205263</v>
      </c>
      <c r="S278" s="1">
        <f t="shared" si="62"/>
        <v>1.2661580544172444</v>
      </c>
      <c r="T278" s="1">
        <f t="shared" si="63"/>
        <v>6.382158721662961E-6</v>
      </c>
      <c r="U278" s="1">
        <f t="shared" si="64"/>
        <v>3.676124600037644E-7</v>
      </c>
      <c r="V278" s="1">
        <f t="shared" si="65"/>
        <v>4.1666660000000002</v>
      </c>
      <c r="W278" s="1">
        <f t="shared" si="66"/>
        <v>650.34988772929159</v>
      </c>
      <c r="X278" s="1">
        <f t="shared" si="67"/>
        <v>4.658385093167702</v>
      </c>
      <c r="Y278" s="1">
        <f t="shared" si="68"/>
        <v>0.24721290863792261</v>
      </c>
      <c r="Z278" s="1">
        <v>27.16480606</v>
      </c>
    </row>
    <row r="279" spans="1:26" x14ac:dyDescent="0.25">
      <c r="A279" s="2">
        <v>25</v>
      </c>
      <c r="B279" s="1">
        <v>0.3</v>
      </c>
      <c r="C279" s="1">
        <v>4.1666660000000002</v>
      </c>
      <c r="D279" s="1">
        <f t="shared" si="56"/>
        <v>0.10416665</v>
      </c>
      <c r="E279" s="1">
        <v>15</v>
      </c>
      <c r="F279" s="1">
        <v>1</v>
      </c>
      <c r="G279" s="1">
        <v>75</v>
      </c>
      <c r="H279" s="1">
        <v>28.37920205</v>
      </c>
      <c r="I279" s="1">
        <f t="shared" si="57"/>
        <v>2.5000000000000001E-2</v>
      </c>
      <c r="J279" s="1">
        <f t="shared" si="58"/>
        <v>0.10416665</v>
      </c>
      <c r="K279" s="1">
        <f t="shared" si="59"/>
        <v>2.9999999999999997E-4</v>
      </c>
      <c r="L279" s="1">
        <f t="shared" si="60"/>
        <v>0.25852685408735682</v>
      </c>
      <c r="M279" s="1">
        <f t="shared" si="61"/>
        <v>2.0833333333333332E-2</v>
      </c>
      <c r="N279" s="1">
        <v>264</v>
      </c>
      <c r="O279" s="1">
        <v>3.22</v>
      </c>
      <c r="P279" s="1">
        <v>4148</v>
      </c>
      <c r="Q279" s="1">
        <f>[1]!HeatTransferArea(I279,D279,0.36,K279)</f>
        <v>0.65449836477811862</v>
      </c>
      <c r="R279" s="1">
        <f>[1]!Convection(I279,M279,1000,9*10^-4,K279,0.6,0.36,7)</f>
        <v>33909.243146205263</v>
      </c>
      <c r="S279" s="1">
        <f t="shared" si="62"/>
        <v>0.63307902720862219</v>
      </c>
      <c r="T279" s="1">
        <f t="shared" si="63"/>
        <v>1.2764317443325922E-5</v>
      </c>
      <c r="U279" s="1">
        <f t="shared" si="64"/>
        <v>7.3522492000752879E-7</v>
      </c>
      <c r="V279" s="1">
        <f t="shared" si="65"/>
        <v>4.1666660000000002</v>
      </c>
      <c r="W279" s="1">
        <f t="shared" si="66"/>
        <v>325.1749438646458</v>
      </c>
      <c r="X279" s="1">
        <f t="shared" si="67"/>
        <v>4.658385093167702</v>
      </c>
      <c r="Y279" s="1">
        <f t="shared" si="68"/>
        <v>0.12913225053232344</v>
      </c>
      <c r="Z279" s="1">
        <v>28.37920205</v>
      </c>
    </row>
    <row r="280" spans="1:26" x14ac:dyDescent="0.25">
      <c r="A280" s="2">
        <v>25</v>
      </c>
      <c r="B280" s="1">
        <v>0.3</v>
      </c>
      <c r="C280" s="1">
        <v>4.1666660000000002</v>
      </c>
      <c r="D280" s="1">
        <f t="shared" si="56"/>
        <v>0.10416665</v>
      </c>
      <c r="E280" s="1">
        <v>15</v>
      </c>
      <c r="F280" s="1">
        <v>1.5</v>
      </c>
      <c r="G280" s="1">
        <v>75</v>
      </c>
      <c r="H280" s="1">
        <v>28.485842559999998</v>
      </c>
      <c r="I280" s="1">
        <f t="shared" si="57"/>
        <v>2.5000000000000001E-2</v>
      </c>
      <c r="J280" s="1">
        <f t="shared" si="58"/>
        <v>0.10416665</v>
      </c>
      <c r="K280" s="1">
        <f t="shared" si="59"/>
        <v>2.9999999999999997E-4</v>
      </c>
      <c r="L280" s="1">
        <f t="shared" si="60"/>
        <v>0.25852685408735682</v>
      </c>
      <c r="M280" s="1">
        <f t="shared" si="61"/>
        <v>2.0833333333333332E-2</v>
      </c>
      <c r="N280" s="1">
        <v>264</v>
      </c>
      <c r="O280" s="1">
        <v>3.22</v>
      </c>
      <c r="P280" s="1">
        <v>4148</v>
      </c>
      <c r="Q280" s="1">
        <f>[1]!HeatTransferArea(I280,D280,0.36,K280)</f>
        <v>0.65449836477811862</v>
      </c>
      <c r="R280" s="1">
        <f>[1]!Convection(I280,M280,1000,9*10^-4,K280,0.6,0.36,7)</f>
        <v>33909.243146205263</v>
      </c>
      <c r="S280" s="1">
        <f t="shared" si="62"/>
        <v>0.42205268480574815</v>
      </c>
      <c r="T280" s="1">
        <f t="shared" si="63"/>
        <v>1.9146476164988884E-5</v>
      </c>
      <c r="U280" s="1">
        <f t="shared" si="64"/>
        <v>1.1028373800112932E-6</v>
      </c>
      <c r="V280" s="1">
        <f t="shared" si="65"/>
        <v>4.1666660000000002</v>
      </c>
      <c r="W280" s="1">
        <f t="shared" si="66"/>
        <v>216.78329590976389</v>
      </c>
      <c r="X280" s="1">
        <f t="shared" si="67"/>
        <v>4.658385093167702</v>
      </c>
      <c r="Y280" s="1">
        <f t="shared" si="68"/>
        <v>8.6411660473548368E-2</v>
      </c>
      <c r="Z280" s="1">
        <v>28.485842559999998</v>
      </c>
    </row>
    <row r="281" spans="1:26" x14ac:dyDescent="0.25">
      <c r="A281" s="2">
        <v>25</v>
      </c>
      <c r="B281" s="2">
        <v>0.4</v>
      </c>
      <c r="C281" s="2">
        <v>2.5</v>
      </c>
      <c r="D281" s="2">
        <f t="shared" si="56"/>
        <v>6.25E-2</v>
      </c>
      <c r="E281" s="2">
        <v>15</v>
      </c>
      <c r="F281" s="2">
        <v>0.5</v>
      </c>
      <c r="G281" s="2">
        <v>75</v>
      </c>
      <c r="H281" s="2">
        <v>9.1229263399999994</v>
      </c>
      <c r="I281" s="2">
        <f t="shared" si="57"/>
        <v>2.5000000000000001E-2</v>
      </c>
      <c r="J281" s="2">
        <f t="shared" si="58"/>
        <v>6.25E-2</v>
      </c>
      <c r="K281" s="2">
        <f t="shared" si="59"/>
        <v>4.0000000000000002E-4</v>
      </c>
      <c r="L281" s="2">
        <f t="shared" si="60"/>
        <v>0.15511613727099607</v>
      </c>
      <c r="M281" s="2">
        <f t="shared" si="61"/>
        <v>2.0833333333333332E-2</v>
      </c>
      <c r="N281" s="1">
        <v>264</v>
      </c>
      <c r="O281" s="1">
        <v>3.22</v>
      </c>
      <c r="P281" s="2">
        <v>4148</v>
      </c>
      <c r="Q281" s="2">
        <f>[1]!HeatTransferArea(I281,D281,0.36,K281)</f>
        <v>0.29452431127404316</v>
      </c>
      <c r="R281" s="2">
        <f>[1]!Convection(I281,M281,1000,9*10^-4,K281,0.6,0.36,7)</f>
        <v>25638.910216425455</v>
      </c>
      <c r="S281" s="2">
        <f t="shared" si="62"/>
        <v>2.1102630863865928</v>
      </c>
      <c r="T281" s="2">
        <f t="shared" si="63"/>
        <v>2.2975778750235269E-6</v>
      </c>
      <c r="U281" s="2">
        <f t="shared" si="64"/>
        <v>3.676124600037644E-7</v>
      </c>
      <c r="V281" s="2">
        <f t="shared" si="65"/>
        <v>2.5</v>
      </c>
      <c r="W281" s="2">
        <f t="shared" si="66"/>
        <v>368.79905374605084</v>
      </c>
      <c r="X281" s="2">
        <f t="shared" si="67"/>
        <v>4.658385093167702</v>
      </c>
      <c r="Y281" s="2">
        <f t="shared" si="68"/>
        <v>0.13837173424385399</v>
      </c>
      <c r="Z281" s="2">
        <v>9.1229263399999994</v>
      </c>
    </row>
    <row r="282" spans="1:26" x14ac:dyDescent="0.25">
      <c r="A282" s="2">
        <v>25</v>
      </c>
      <c r="B282" s="1">
        <v>0.4</v>
      </c>
      <c r="C282" s="1">
        <v>2.5</v>
      </c>
      <c r="D282" s="1">
        <f t="shared" si="56"/>
        <v>6.25E-2</v>
      </c>
      <c r="E282" s="1">
        <v>15</v>
      </c>
      <c r="F282" s="1">
        <v>1</v>
      </c>
      <c r="G282" s="1">
        <v>75</v>
      </c>
      <c r="H282" s="1">
        <v>27.613682950000001</v>
      </c>
      <c r="I282" s="1">
        <f t="shared" si="57"/>
        <v>2.5000000000000001E-2</v>
      </c>
      <c r="J282" s="1">
        <f t="shared" si="58"/>
        <v>6.25E-2</v>
      </c>
      <c r="K282" s="1">
        <f t="shared" si="59"/>
        <v>4.0000000000000002E-4</v>
      </c>
      <c r="L282" s="1">
        <f t="shared" si="60"/>
        <v>0.15511613727099607</v>
      </c>
      <c r="M282" s="1">
        <f t="shared" si="61"/>
        <v>2.0833333333333332E-2</v>
      </c>
      <c r="N282" s="1">
        <v>264</v>
      </c>
      <c r="O282" s="1">
        <v>3.22</v>
      </c>
      <c r="P282" s="1">
        <v>4148</v>
      </c>
      <c r="Q282" s="1">
        <f>[1]!HeatTransferArea(I282,D282,0.36,K282)</f>
        <v>0.29452431127404316</v>
      </c>
      <c r="R282" s="1">
        <f>[1]!Convection(I282,M282,1000,9*10^-4,K282,0.6,0.36,7)</f>
        <v>25638.910216425455</v>
      </c>
      <c r="S282" s="1">
        <f t="shared" si="62"/>
        <v>1.0551315431932964</v>
      </c>
      <c r="T282" s="1">
        <f t="shared" si="63"/>
        <v>4.5951557500470538E-6</v>
      </c>
      <c r="U282" s="1">
        <f t="shared" si="64"/>
        <v>7.3522492000752879E-7</v>
      </c>
      <c r="V282" s="1">
        <f t="shared" si="65"/>
        <v>2.5</v>
      </c>
      <c r="W282" s="1">
        <f t="shared" si="66"/>
        <v>184.39952687302542</v>
      </c>
      <c r="X282" s="1">
        <f t="shared" si="67"/>
        <v>4.658385093167702</v>
      </c>
      <c r="Y282" s="1">
        <f t="shared" si="68"/>
        <v>0.20941488817564227</v>
      </c>
      <c r="Z282" s="1">
        <v>27.613682950000001</v>
      </c>
    </row>
    <row r="283" spans="1:26" x14ac:dyDescent="0.25">
      <c r="A283" s="2">
        <v>25</v>
      </c>
      <c r="B283" s="1">
        <v>0.4</v>
      </c>
      <c r="C283" s="1">
        <v>2.5</v>
      </c>
      <c r="D283" s="1">
        <f t="shared" si="56"/>
        <v>6.25E-2</v>
      </c>
      <c r="E283" s="1">
        <v>15</v>
      </c>
      <c r="F283" s="1">
        <v>1.5</v>
      </c>
      <c r="G283" s="1">
        <v>75</v>
      </c>
      <c r="H283" s="1">
        <v>28.663402749999999</v>
      </c>
      <c r="I283" s="1">
        <f t="shared" si="57"/>
        <v>2.5000000000000001E-2</v>
      </c>
      <c r="J283" s="1">
        <f t="shared" si="58"/>
        <v>6.25E-2</v>
      </c>
      <c r="K283" s="1">
        <f t="shared" si="59"/>
        <v>4.0000000000000002E-4</v>
      </c>
      <c r="L283" s="1">
        <f t="shared" si="60"/>
        <v>0.15511613727099607</v>
      </c>
      <c r="M283" s="1">
        <f t="shared" si="61"/>
        <v>2.0833333333333332E-2</v>
      </c>
      <c r="N283" s="1">
        <v>264</v>
      </c>
      <c r="O283" s="1">
        <v>3.22</v>
      </c>
      <c r="P283" s="1">
        <v>4148</v>
      </c>
      <c r="Q283" s="1">
        <f>[1]!HeatTransferArea(I283,D283,0.36,K283)</f>
        <v>0.29452431127404316</v>
      </c>
      <c r="R283" s="1">
        <f>[1]!Convection(I283,M283,1000,9*10^-4,K283,0.6,0.36,7)</f>
        <v>25638.910216425455</v>
      </c>
      <c r="S283" s="1">
        <f t="shared" si="62"/>
        <v>0.70342102879553081</v>
      </c>
      <c r="T283" s="1">
        <f t="shared" si="63"/>
        <v>6.8927336250705811E-6</v>
      </c>
      <c r="U283" s="1">
        <f t="shared" si="64"/>
        <v>1.1028373800112932E-6</v>
      </c>
      <c r="V283" s="1">
        <f t="shared" si="65"/>
        <v>2.5</v>
      </c>
      <c r="W283" s="1">
        <f t="shared" si="66"/>
        <v>122.93301791535026</v>
      </c>
      <c r="X283" s="1">
        <f t="shared" si="67"/>
        <v>4.658385093167702</v>
      </c>
      <c r="Y283" s="1">
        <f t="shared" si="68"/>
        <v>0.1449171241782182</v>
      </c>
      <c r="Z283" s="1">
        <v>28.663402749999999</v>
      </c>
    </row>
    <row r="284" spans="1:26" x14ac:dyDescent="0.25">
      <c r="A284" s="2">
        <v>25</v>
      </c>
      <c r="B284" s="1">
        <v>0.4</v>
      </c>
      <c r="C284" s="1">
        <v>3.3333330000000001</v>
      </c>
      <c r="D284" s="1">
        <f t="shared" si="56"/>
        <v>8.3333325E-2</v>
      </c>
      <c r="E284" s="1">
        <v>15</v>
      </c>
      <c r="F284" s="1">
        <v>0.5</v>
      </c>
      <c r="G284" s="1">
        <v>75</v>
      </c>
      <c r="H284" s="1">
        <v>23.754516379999998</v>
      </c>
      <c r="I284" s="1">
        <f t="shared" si="57"/>
        <v>2.5000000000000001E-2</v>
      </c>
      <c r="J284" s="1">
        <f t="shared" si="58"/>
        <v>8.3333325E-2</v>
      </c>
      <c r="K284" s="1">
        <f t="shared" si="59"/>
        <v>4.0000000000000002E-4</v>
      </c>
      <c r="L284" s="1">
        <f t="shared" si="60"/>
        <v>0.20682149567917646</v>
      </c>
      <c r="M284" s="1">
        <f t="shared" si="61"/>
        <v>2.0833333333333332E-2</v>
      </c>
      <c r="N284" s="1">
        <v>264</v>
      </c>
      <c r="O284" s="1">
        <v>3.22</v>
      </c>
      <c r="P284" s="1">
        <v>4148</v>
      </c>
      <c r="Q284" s="1">
        <f>[1]!HeatTransferArea(I284,D284,0.36,K284)</f>
        <v>0.39269904242881604</v>
      </c>
      <c r="R284" s="1">
        <f>[1]!Convection(I284,M284,1000,9*10^-4,K284,0.6,0.36,7)</f>
        <v>25638.910216425455</v>
      </c>
      <c r="S284" s="1">
        <f t="shared" si="62"/>
        <v>1.5826974730596919</v>
      </c>
      <c r="T284" s="1">
        <f t="shared" si="63"/>
        <v>4.0845820720141776E-6</v>
      </c>
      <c r="U284" s="1">
        <f t="shared" si="64"/>
        <v>3.676124600037644E-7</v>
      </c>
      <c r="V284" s="1">
        <f t="shared" si="65"/>
        <v>3.3333330000000001</v>
      </c>
      <c r="W284" s="1">
        <f t="shared" si="66"/>
        <v>368.79905374605079</v>
      </c>
      <c r="X284" s="1">
        <f t="shared" si="67"/>
        <v>4.658385093167702</v>
      </c>
      <c r="Y284" s="1">
        <f t="shared" si="68"/>
        <v>0.27022200721178069</v>
      </c>
      <c r="Z284" s="1">
        <v>23.754516379999998</v>
      </c>
    </row>
    <row r="285" spans="1:26" x14ac:dyDescent="0.25">
      <c r="A285" s="2">
        <v>25</v>
      </c>
      <c r="B285" s="1">
        <v>0.4</v>
      </c>
      <c r="C285" s="1">
        <v>3.3333330000000001</v>
      </c>
      <c r="D285" s="1">
        <f t="shared" si="56"/>
        <v>8.3333325E-2</v>
      </c>
      <c r="E285" s="1">
        <v>15</v>
      </c>
      <c r="F285" s="1">
        <v>1</v>
      </c>
      <c r="G285" s="1">
        <v>75</v>
      </c>
      <c r="H285" s="1">
        <v>28.381494700000001</v>
      </c>
      <c r="I285" s="1">
        <f t="shared" si="57"/>
        <v>2.5000000000000001E-2</v>
      </c>
      <c r="J285" s="1">
        <f t="shared" si="58"/>
        <v>8.3333325E-2</v>
      </c>
      <c r="K285" s="1">
        <f t="shared" si="59"/>
        <v>4.0000000000000002E-4</v>
      </c>
      <c r="L285" s="1">
        <f t="shared" si="60"/>
        <v>0.20682149567917646</v>
      </c>
      <c r="M285" s="1">
        <f t="shared" si="61"/>
        <v>2.0833333333333332E-2</v>
      </c>
      <c r="N285" s="1">
        <v>264</v>
      </c>
      <c r="O285" s="1">
        <v>3.22</v>
      </c>
      <c r="P285" s="1">
        <v>4148</v>
      </c>
      <c r="Q285" s="1">
        <f>[1]!HeatTransferArea(I285,D285,0.36,K285)</f>
        <v>0.39269904242881604</v>
      </c>
      <c r="R285" s="1">
        <f>[1]!Convection(I285,M285,1000,9*10^-4,K285,0.6,0.36,7)</f>
        <v>25638.910216425455</v>
      </c>
      <c r="S285" s="1">
        <f t="shared" si="62"/>
        <v>0.79134873652984594</v>
      </c>
      <c r="T285" s="1">
        <f t="shared" si="63"/>
        <v>8.1691641440283553E-6</v>
      </c>
      <c r="U285" s="1">
        <f t="shared" si="64"/>
        <v>7.3522492000752879E-7</v>
      </c>
      <c r="V285" s="1">
        <f t="shared" si="65"/>
        <v>3.3333330000000001</v>
      </c>
      <c r="W285" s="1">
        <f t="shared" si="66"/>
        <v>184.39952687302539</v>
      </c>
      <c r="X285" s="1">
        <f t="shared" si="67"/>
        <v>4.658385093167702</v>
      </c>
      <c r="Y285" s="1">
        <f t="shared" si="68"/>
        <v>0.16142834362146075</v>
      </c>
      <c r="Z285" s="1">
        <v>28.381494700000001</v>
      </c>
    </row>
    <row r="286" spans="1:26" x14ac:dyDescent="0.25">
      <c r="A286" s="2">
        <v>25</v>
      </c>
      <c r="B286" s="1">
        <v>0.4</v>
      </c>
      <c r="C286" s="1">
        <v>3.3333330000000001</v>
      </c>
      <c r="D286" s="1">
        <f t="shared" si="56"/>
        <v>8.3333325E-2</v>
      </c>
      <c r="E286" s="1">
        <v>15</v>
      </c>
      <c r="F286" s="1">
        <v>1.5</v>
      </c>
      <c r="G286" s="1">
        <v>75</v>
      </c>
      <c r="H286" s="1">
        <v>28.65762024</v>
      </c>
      <c r="I286" s="1">
        <f t="shared" si="57"/>
        <v>2.5000000000000001E-2</v>
      </c>
      <c r="J286" s="1">
        <f t="shared" si="58"/>
        <v>8.3333325E-2</v>
      </c>
      <c r="K286" s="1">
        <f t="shared" si="59"/>
        <v>4.0000000000000002E-4</v>
      </c>
      <c r="L286" s="1">
        <f t="shared" si="60"/>
        <v>0.20682149567917646</v>
      </c>
      <c r="M286" s="1">
        <f t="shared" si="61"/>
        <v>2.0833333333333332E-2</v>
      </c>
      <c r="N286" s="1">
        <v>264</v>
      </c>
      <c r="O286" s="1">
        <v>3.22</v>
      </c>
      <c r="P286" s="1">
        <v>4148</v>
      </c>
      <c r="Q286" s="1">
        <f>[1]!HeatTransferArea(I286,D286,0.36,K286)</f>
        <v>0.39269904242881604</v>
      </c>
      <c r="R286" s="1">
        <f>[1]!Convection(I286,M286,1000,9*10^-4,K286,0.6,0.36,7)</f>
        <v>25638.910216425455</v>
      </c>
      <c r="S286" s="1">
        <f t="shared" si="62"/>
        <v>0.52756582435323063</v>
      </c>
      <c r="T286" s="1">
        <f t="shared" si="63"/>
        <v>1.2253746216042535E-5</v>
      </c>
      <c r="U286" s="1">
        <f t="shared" si="64"/>
        <v>1.1028373800112932E-6</v>
      </c>
      <c r="V286" s="1">
        <f t="shared" si="65"/>
        <v>3.3333330000000001</v>
      </c>
      <c r="W286" s="1">
        <f t="shared" si="66"/>
        <v>122.93301791535026</v>
      </c>
      <c r="X286" s="1">
        <f t="shared" si="67"/>
        <v>4.658385093167702</v>
      </c>
      <c r="Y286" s="1">
        <f t="shared" si="68"/>
        <v>0.10866592748492675</v>
      </c>
      <c r="Z286" s="1">
        <v>28.65762024</v>
      </c>
    </row>
    <row r="287" spans="1:26" x14ac:dyDescent="0.25">
      <c r="A287" s="2">
        <v>25</v>
      </c>
      <c r="B287" s="1">
        <v>0.4</v>
      </c>
      <c r="C287" s="1">
        <v>4.1666660000000002</v>
      </c>
      <c r="D287" s="1">
        <f t="shared" si="56"/>
        <v>0.10416665</v>
      </c>
      <c r="E287" s="1">
        <v>15</v>
      </c>
      <c r="F287" s="1">
        <v>0.5</v>
      </c>
      <c r="G287" s="1">
        <v>75</v>
      </c>
      <c r="H287" s="1">
        <v>26.822093809999998</v>
      </c>
      <c r="I287" s="1">
        <f t="shared" si="57"/>
        <v>2.5000000000000001E-2</v>
      </c>
      <c r="J287" s="1">
        <f t="shared" si="58"/>
        <v>0.10416665</v>
      </c>
      <c r="K287" s="1">
        <f t="shared" si="59"/>
        <v>4.0000000000000002E-4</v>
      </c>
      <c r="L287" s="1">
        <f t="shared" si="60"/>
        <v>0.25852685408735682</v>
      </c>
      <c r="M287" s="1">
        <f t="shared" si="61"/>
        <v>2.0833333333333332E-2</v>
      </c>
      <c r="N287" s="1">
        <v>264</v>
      </c>
      <c r="O287" s="1">
        <v>3.22</v>
      </c>
      <c r="P287" s="1">
        <v>4148</v>
      </c>
      <c r="Q287" s="1">
        <f>[1]!HeatTransferArea(I287,D287,0.36,K287)</f>
        <v>0.49087377358358891</v>
      </c>
      <c r="R287" s="1">
        <f>[1]!Convection(I287,M287,1000,9*10^-4,K287,0.6,0.36,7)</f>
        <v>25638.910216425455</v>
      </c>
      <c r="S287" s="1">
        <f t="shared" si="62"/>
        <v>1.2661580544172444</v>
      </c>
      <c r="T287" s="1">
        <f t="shared" si="63"/>
        <v>6.382158721662961E-6</v>
      </c>
      <c r="U287" s="1">
        <f t="shared" si="64"/>
        <v>3.676124600037644E-7</v>
      </c>
      <c r="V287" s="1">
        <f t="shared" si="65"/>
        <v>4.1666660000000002</v>
      </c>
      <c r="W287" s="1">
        <f t="shared" si="66"/>
        <v>368.79905374605084</v>
      </c>
      <c r="X287" s="1">
        <f t="shared" si="67"/>
        <v>4.658385093167702</v>
      </c>
      <c r="Y287" s="1">
        <f t="shared" si="68"/>
        <v>0.24409406096563604</v>
      </c>
      <c r="Z287" s="1">
        <v>26.822093809999998</v>
      </c>
    </row>
    <row r="288" spans="1:26" x14ac:dyDescent="0.25">
      <c r="A288" s="2">
        <v>25</v>
      </c>
      <c r="B288" s="1">
        <v>0.4</v>
      </c>
      <c r="C288" s="1">
        <v>4.1666660000000002</v>
      </c>
      <c r="D288" s="1">
        <f t="shared" si="56"/>
        <v>0.10416665</v>
      </c>
      <c r="E288" s="1">
        <v>15</v>
      </c>
      <c r="F288" s="1">
        <v>1</v>
      </c>
      <c r="G288" s="1">
        <v>75</v>
      </c>
      <c r="H288" s="1">
        <v>28.37684071</v>
      </c>
      <c r="I288" s="1">
        <f t="shared" si="57"/>
        <v>2.5000000000000001E-2</v>
      </c>
      <c r="J288" s="1">
        <f t="shared" si="58"/>
        <v>0.10416665</v>
      </c>
      <c r="K288" s="1">
        <f t="shared" si="59"/>
        <v>4.0000000000000002E-4</v>
      </c>
      <c r="L288" s="1">
        <f t="shared" si="60"/>
        <v>0.25852685408735682</v>
      </c>
      <c r="M288" s="1">
        <f t="shared" si="61"/>
        <v>2.0833333333333332E-2</v>
      </c>
      <c r="N288" s="1">
        <v>264</v>
      </c>
      <c r="O288" s="1">
        <v>3.22</v>
      </c>
      <c r="P288" s="1">
        <v>4148</v>
      </c>
      <c r="Q288" s="1">
        <f>[1]!HeatTransferArea(I288,D288,0.36,K288)</f>
        <v>0.49087377358358891</v>
      </c>
      <c r="R288" s="1">
        <f>[1]!Convection(I288,M288,1000,9*10^-4,K288,0.6,0.36,7)</f>
        <v>25638.910216425455</v>
      </c>
      <c r="S288" s="1">
        <f t="shared" si="62"/>
        <v>0.63307902720862219</v>
      </c>
      <c r="T288" s="1">
        <f t="shared" si="63"/>
        <v>1.2764317443325922E-5</v>
      </c>
      <c r="U288" s="1">
        <f t="shared" si="64"/>
        <v>7.3522492000752879E-7</v>
      </c>
      <c r="V288" s="1">
        <f t="shared" si="65"/>
        <v>4.1666660000000002</v>
      </c>
      <c r="W288" s="1">
        <f t="shared" si="66"/>
        <v>184.39952687302542</v>
      </c>
      <c r="X288" s="1">
        <f t="shared" si="67"/>
        <v>4.658385093167702</v>
      </c>
      <c r="Y288" s="1">
        <f t="shared" si="68"/>
        <v>0.12912150586276105</v>
      </c>
      <c r="Z288" s="1">
        <v>28.37684071</v>
      </c>
    </row>
    <row r="289" spans="1:26" x14ac:dyDescent="0.25">
      <c r="A289" s="2">
        <v>25</v>
      </c>
      <c r="B289" s="1">
        <v>0.4</v>
      </c>
      <c r="C289" s="1">
        <v>4.1666660000000002</v>
      </c>
      <c r="D289" s="1">
        <f t="shared" si="56"/>
        <v>0.10416665</v>
      </c>
      <c r="E289" s="1">
        <v>15</v>
      </c>
      <c r="F289" s="1">
        <v>1.5</v>
      </c>
      <c r="G289" s="1">
        <v>75</v>
      </c>
      <c r="H289" s="1">
        <v>28.449097399999999</v>
      </c>
      <c r="I289" s="1">
        <f t="shared" si="57"/>
        <v>2.5000000000000001E-2</v>
      </c>
      <c r="J289" s="1">
        <f t="shared" si="58"/>
        <v>0.10416665</v>
      </c>
      <c r="K289" s="1">
        <f t="shared" si="59"/>
        <v>4.0000000000000002E-4</v>
      </c>
      <c r="L289" s="1">
        <f t="shared" si="60"/>
        <v>0.25852685408735682</v>
      </c>
      <c r="M289" s="1">
        <f t="shared" si="61"/>
        <v>2.0833333333333332E-2</v>
      </c>
      <c r="N289" s="1">
        <v>264</v>
      </c>
      <c r="O289" s="1">
        <v>3.22</v>
      </c>
      <c r="P289" s="1">
        <v>4148</v>
      </c>
      <c r="Q289" s="1">
        <f>[1]!HeatTransferArea(I289,D289,0.36,K289)</f>
        <v>0.49087377358358891</v>
      </c>
      <c r="R289" s="1">
        <f>[1]!Convection(I289,M289,1000,9*10^-4,K289,0.6,0.36,7)</f>
        <v>25638.910216425455</v>
      </c>
      <c r="S289" s="1">
        <f t="shared" si="62"/>
        <v>0.42205268480574815</v>
      </c>
      <c r="T289" s="1">
        <f t="shared" si="63"/>
        <v>1.9146476164988884E-5</v>
      </c>
      <c r="U289" s="1">
        <f t="shared" si="64"/>
        <v>1.1028373800112932E-6</v>
      </c>
      <c r="V289" s="1">
        <f t="shared" si="65"/>
        <v>4.1666660000000002</v>
      </c>
      <c r="W289" s="1">
        <f t="shared" si="66"/>
        <v>122.93301791535029</v>
      </c>
      <c r="X289" s="1">
        <f t="shared" si="67"/>
        <v>4.658385093167702</v>
      </c>
      <c r="Y289" s="1">
        <f t="shared" si="68"/>
        <v>8.630019421506302E-2</v>
      </c>
      <c r="Z289" s="1">
        <v>28.449097399999999</v>
      </c>
    </row>
    <row r="290" spans="1:26" x14ac:dyDescent="0.25">
      <c r="A290" s="2">
        <v>25</v>
      </c>
      <c r="B290" s="2">
        <v>0.5</v>
      </c>
      <c r="C290" s="2">
        <v>2.5</v>
      </c>
      <c r="D290" s="2">
        <f t="shared" si="56"/>
        <v>6.25E-2</v>
      </c>
      <c r="E290" s="2">
        <v>15</v>
      </c>
      <c r="F290" s="2">
        <v>0.5</v>
      </c>
      <c r="G290" s="2">
        <v>75</v>
      </c>
      <c r="H290" s="2">
        <v>5.9497813300000004</v>
      </c>
      <c r="I290" s="2">
        <f t="shared" si="57"/>
        <v>2.5000000000000001E-2</v>
      </c>
      <c r="J290" s="2">
        <f t="shared" si="58"/>
        <v>6.25E-2</v>
      </c>
      <c r="K290" s="2">
        <f t="shared" si="59"/>
        <v>5.0000000000000001E-4</v>
      </c>
      <c r="L290" s="2">
        <f t="shared" si="60"/>
        <v>0.15511613727099607</v>
      </c>
      <c r="M290" s="2">
        <f t="shared" si="61"/>
        <v>2.0833333333333332E-2</v>
      </c>
      <c r="N290" s="1">
        <v>264</v>
      </c>
      <c r="O290" s="1">
        <v>3.22</v>
      </c>
      <c r="P290" s="2">
        <v>4148</v>
      </c>
      <c r="Q290" s="2">
        <f>[1]!HeatTransferArea(I290,D290,0.36,K290)</f>
        <v>0.23561944901923454</v>
      </c>
      <c r="R290" s="2">
        <f>[1]!Convection(I290,M290,1000,9*10^-4,K290,0.6,0.36,7)</f>
        <v>20660.760475301788</v>
      </c>
      <c r="S290" s="2">
        <f t="shared" si="62"/>
        <v>2.1102630863865928</v>
      </c>
      <c r="T290" s="2">
        <f t="shared" si="63"/>
        <v>2.2975778750235269E-6</v>
      </c>
      <c r="U290" s="2">
        <f t="shared" si="64"/>
        <v>3.676124600037644E-7</v>
      </c>
      <c r="V290" s="2">
        <f t="shared" si="65"/>
        <v>2.5</v>
      </c>
      <c r="W290" s="2">
        <f t="shared" si="66"/>
        <v>237.75328510128642</v>
      </c>
      <c r="X290" s="2">
        <f t="shared" si="67"/>
        <v>4.658385093167702</v>
      </c>
      <c r="Y290" s="2">
        <f t="shared" si="68"/>
        <v>9.0243144614034487E-2</v>
      </c>
      <c r="Z290" s="2">
        <v>5.9497813300000004</v>
      </c>
    </row>
    <row r="291" spans="1:26" x14ac:dyDescent="0.25">
      <c r="A291" s="2">
        <v>25</v>
      </c>
      <c r="B291" s="1">
        <v>0.5</v>
      </c>
      <c r="C291" s="1">
        <v>2.5</v>
      </c>
      <c r="D291" s="1">
        <f t="shared" si="56"/>
        <v>6.25E-2</v>
      </c>
      <c r="E291" s="1">
        <v>15</v>
      </c>
      <c r="F291" s="1">
        <v>1</v>
      </c>
      <c r="G291" s="1">
        <v>75</v>
      </c>
      <c r="H291" s="1">
        <v>26.24371884</v>
      </c>
      <c r="I291" s="1">
        <f t="shared" si="57"/>
        <v>2.5000000000000001E-2</v>
      </c>
      <c r="J291" s="1">
        <f t="shared" si="58"/>
        <v>6.25E-2</v>
      </c>
      <c r="K291" s="1">
        <f t="shared" si="59"/>
        <v>5.0000000000000001E-4</v>
      </c>
      <c r="L291" s="1">
        <f t="shared" si="60"/>
        <v>0.15511613727099607</v>
      </c>
      <c r="M291" s="1">
        <f t="shared" si="61"/>
        <v>2.0833333333333332E-2</v>
      </c>
      <c r="N291" s="1">
        <v>264</v>
      </c>
      <c r="O291" s="1">
        <v>3.22</v>
      </c>
      <c r="P291" s="1">
        <v>4148</v>
      </c>
      <c r="Q291" s="1">
        <f>[1]!HeatTransferArea(I291,D291,0.36,K291)</f>
        <v>0.23561944901923454</v>
      </c>
      <c r="R291" s="1">
        <f>[1]!Convection(I291,M291,1000,9*10^-4,K291,0.6,0.36,7)</f>
        <v>20660.760475301788</v>
      </c>
      <c r="S291" s="1">
        <f t="shared" si="62"/>
        <v>1.0551315431932964</v>
      </c>
      <c r="T291" s="1">
        <f t="shared" si="63"/>
        <v>4.5951557500470538E-6</v>
      </c>
      <c r="U291" s="1">
        <f t="shared" si="64"/>
        <v>7.3522492000752879E-7</v>
      </c>
      <c r="V291" s="1">
        <f t="shared" si="65"/>
        <v>2.5</v>
      </c>
      <c r="W291" s="1">
        <f t="shared" si="66"/>
        <v>118.87664255064321</v>
      </c>
      <c r="X291" s="1">
        <f t="shared" si="67"/>
        <v>4.658385093167702</v>
      </c>
      <c r="Y291" s="1">
        <f t="shared" si="68"/>
        <v>0.1990254417037694</v>
      </c>
      <c r="Z291" s="1">
        <v>26.24371884</v>
      </c>
    </row>
    <row r="292" spans="1:26" x14ac:dyDescent="0.25">
      <c r="A292" s="2">
        <v>25</v>
      </c>
      <c r="B292" s="1">
        <v>0.5</v>
      </c>
      <c r="C292" s="1">
        <v>2.5</v>
      </c>
      <c r="D292" s="1">
        <f t="shared" si="56"/>
        <v>6.25E-2</v>
      </c>
      <c r="E292" s="1">
        <v>15</v>
      </c>
      <c r="F292" s="1">
        <v>1.5</v>
      </c>
      <c r="G292" s="1">
        <v>75</v>
      </c>
      <c r="H292" s="1">
        <v>27.709897380000001</v>
      </c>
      <c r="I292" s="1">
        <f t="shared" si="57"/>
        <v>2.5000000000000001E-2</v>
      </c>
      <c r="J292" s="1">
        <f t="shared" si="58"/>
        <v>6.25E-2</v>
      </c>
      <c r="K292" s="1">
        <f t="shared" si="59"/>
        <v>5.0000000000000001E-4</v>
      </c>
      <c r="L292" s="1">
        <f t="shared" si="60"/>
        <v>0.15511613727099607</v>
      </c>
      <c r="M292" s="1">
        <f t="shared" si="61"/>
        <v>2.0833333333333332E-2</v>
      </c>
      <c r="N292" s="1">
        <v>264</v>
      </c>
      <c r="O292" s="1">
        <v>3.22</v>
      </c>
      <c r="P292" s="1">
        <v>4148</v>
      </c>
      <c r="Q292" s="1">
        <f>[1]!HeatTransferArea(I292,D292,0.36,K292)</f>
        <v>0.23561944901923454</v>
      </c>
      <c r="R292" s="1">
        <f>[1]!Convection(I292,M292,1000,9*10^-4,K292,0.6,0.36,7)</f>
        <v>20660.760475301788</v>
      </c>
      <c r="S292" s="1">
        <f t="shared" si="62"/>
        <v>0.70342102879553081</v>
      </c>
      <c r="T292" s="1">
        <f t="shared" si="63"/>
        <v>6.8927336250705811E-6</v>
      </c>
      <c r="U292" s="1">
        <f t="shared" si="64"/>
        <v>1.1028373800112932E-6</v>
      </c>
      <c r="V292" s="1">
        <f t="shared" si="65"/>
        <v>2.5</v>
      </c>
      <c r="W292" s="1">
        <f t="shared" si="66"/>
        <v>79.251095033762127</v>
      </c>
      <c r="X292" s="1">
        <f t="shared" si="67"/>
        <v>4.658385093167702</v>
      </c>
      <c r="Y292" s="1">
        <f t="shared" si="68"/>
        <v>0.14009636869032041</v>
      </c>
      <c r="Z292" s="1">
        <v>27.709897380000001</v>
      </c>
    </row>
    <row r="293" spans="1:26" x14ac:dyDescent="0.25">
      <c r="A293" s="2">
        <v>25</v>
      </c>
      <c r="B293" s="1">
        <v>0.5</v>
      </c>
      <c r="C293" s="1">
        <v>3.3333330000000001</v>
      </c>
      <c r="D293" s="1">
        <f t="shared" si="56"/>
        <v>8.3333325E-2</v>
      </c>
      <c r="E293" s="1">
        <v>15</v>
      </c>
      <c r="F293" s="1">
        <v>0.5</v>
      </c>
      <c r="G293" s="1">
        <v>75</v>
      </c>
      <c r="H293" s="1">
        <v>22.21138462</v>
      </c>
      <c r="I293" s="1">
        <f t="shared" si="57"/>
        <v>2.5000000000000001E-2</v>
      </c>
      <c r="J293" s="1">
        <f t="shared" si="58"/>
        <v>8.3333325E-2</v>
      </c>
      <c r="K293" s="1">
        <f t="shared" si="59"/>
        <v>5.0000000000000001E-4</v>
      </c>
      <c r="L293" s="1">
        <f t="shared" si="60"/>
        <v>0.20682149567917646</v>
      </c>
      <c r="M293" s="1">
        <f t="shared" si="61"/>
        <v>2.0833333333333332E-2</v>
      </c>
      <c r="N293" s="1">
        <v>264</v>
      </c>
      <c r="O293" s="1">
        <v>3.22</v>
      </c>
      <c r="P293" s="1">
        <v>4148</v>
      </c>
      <c r="Q293" s="1">
        <f>[1]!HeatTransferArea(I293,D293,0.36,K293)</f>
        <v>0.31415923394305284</v>
      </c>
      <c r="R293" s="1">
        <f>[1]!Convection(I293,M293,1000,9*10^-4,K293,0.6,0.36,7)</f>
        <v>20660.760475301788</v>
      </c>
      <c r="S293" s="1">
        <f t="shared" si="62"/>
        <v>1.5826974730596919</v>
      </c>
      <c r="T293" s="1">
        <f t="shared" si="63"/>
        <v>4.0845820720141776E-6</v>
      </c>
      <c r="U293" s="1">
        <f t="shared" si="64"/>
        <v>3.676124600037644E-7</v>
      </c>
      <c r="V293" s="1">
        <f t="shared" si="65"/>
        <v>3.3333330000000001</v>
      </c>
      <c r="W293" s="1">
        <f t="shared" si="66"/>
        <v>237.75328510128637</v>
      </c>
      <c r="X293" s="1">
        <f t="shared" si="67"/>
        <v>4.658385093167702</v>
      </c>
      <c r="Y293" s="1">
        <f t="shared" si="68"/>
        <v>0.25266794907357631</v>
      </c>
      <c r="Z293" s="1">
        <v>22.21138462</v>
      </c>
    </row>
    <row r="294" spans="1:26" x14ac:dyDescent="0.25">
      <c r="A294" s="2">
        <v>25</v>
      </c>
      <c r="B294" s="1">
        <v>0.5</v>
      </c>
      <c r="C294" s="1">
        <v>3.3333330000000001</v>
      </c>
      <c r="D294" s="1">
        <f t="shared" si="56"/>
        <v>8.3333325E-2</v>
      </c>
      <c r="E294" s="1">
        <v>15</v>
      </c>
      <c r="F294" s="1">
        <v>1</v>
      </c>
      <c r="G294" s="1">
        <v>75</v>
      </c>
      <c r="H294" s="1">
        <v>27.80060246</v>
      </c>
      <c r="I294" s="1">
        <f t="shared" si="57"/>
        <v>2.5000000000000001E-2</v>
      </c>
      <c r="J294" s="1">
        <f t="shared" si="58"/>
        <v>8.3333325E-2</v>
      </c>
      <c r="K294" s="1">
        <f t="shared" si="59"/>
        <v>5.0000000000000001E-4</v>
      </c>
      <c r="L294" s="1">
        <f t="shared" si="60"/>
        <v>0.20682149567917646</v>
      </c>
      <c r="M294" s="1">
        <f t="shared" si="61"/>
        <v>2.0833333333333332E-2</v>
      </c>
      <c r="N294" s="1">
        <v>264</v>
      </c>
      <c r="O294" s="1">
        <v>3.22</v>
      </c>
      <c r="P294" s="1">
        <v>4148</v>
      </c>
      <c r="Q294" s="1">
        <f>[1]!HeatTransferArea(I294,D294,0.36,K294)</f>
        <v>0.31415923394305284</v>
      </c>
      <c r="R294" s="1">
        <f>[1]!Convection(I294,M294,1000,9*10^-4,K294,0.6,0.36,7)</f>
        <v>20660.760475301788</v>
      </c>
      <c r="S294" s="1">
        <f t="shared" si="62"/>
        <v>0.79134873652984594</v>
      </c>
      <c r="T294" s="1">
        <f t="shared" si="63"/>
        <v>8.1691641440283553E-6</v>
      </c>
      <c r="U294" s="1">
        <f t="shared" si="64"/>
        <v>7.3522492000752879E-7</v>
      </c>
      <c r="V294" s="1">
        <f t="shared" si="65"/>
        <v>3.3333330000000001</v>
      </c>
      <c r="W294" s="1">
        <f t="shared" si="66"/>
        <v>118.87664255064318</v>
      </c>
      <c r="X294" s="1">
        <f t="shared" si="67"/>
        <v>4.658385093167702</v>
      </c>
      <c r="Y294" s="1">
        <f t="shared" si="68"/>
        <v>0.15812434314097301</v>
      </c>
      <c r="Z294" s="1">
        <v>27.80060246</v>
      </c>
    </row>
    <row r="295" spans="1:26" x14ac:dyDescent="0.25">
      <c r="A295" s="2">
        <v>25</v>
      </c>
      <c r="B295" s="1">
        <v>0.5</v>
      </c>
      <c r="C295" s="1">
        <v>3.3333330000000001</v>
      </c>
      <c r="D295" s="1">
        <f t="shared" si="56"/>
        <v>8.3333325E-2</v>
      </c>
      <c r="E295" s="1">
        <v>15</v>
      </c>
      <c r="F295" s="1">
        <v>1.5</v>
      </c>
      <c r="G295" s="1">
        <v>75</v>
      </c>
      <c r="H295" s="1">
        <v>28.204148870000001</v>
      </c>
      <c r="I295" s="1">
        <f t="shared" si="57"/>
        <v>2.5000000000000001E-2</v>
      </c>
      <c r="J295" s="1">
        <f t="shared" si="58"/>
        <v>8.3333325E-2</v>
      </c>
      <c r="K295" s="1">
        <f t="shared" si="59"/>
        <v>5.0000000000000001E-4</v>
      </c>
      <c r="L295" s="1">
        <f t="shared" si="60"/>
        <v>0.20682149567917646</v>
      </c>
      <c r="M295" s="1">
        <f t="shared" si="61"/>
        <v>2.0833333333333332E-2</v>
      </c>
      <c r="N295" s="1">
        <v>264</v>
      </c>
      <c r="O295" s="1">
        <v>3.22</v>
      </c>
      <c r="P295" s="1">
        <v>4148</v>
      </c>
      <c r="Q295" s="1">
        <f>[1]!HeatTransferArea(I295,D295,0.36,K295)</f>
        <v>0.31415923394305284</v>
      </c>
      <c r="R295" s="1">
        <f>[1]!Convection(I295,M295,1000,9*10^-4,K295,0.6,0.36,7)</f>
        <v>20660.760475301788</v>
      </c>
      <c r="S295" s="1">
        <f t="shared" si="62"/>
        <v>0.52756582435323063</v>
      </c>
      <c r="T295" s="1">
        <f t="shared" si="63"/>
        <v>1.2253746216042535E-5</v>
      </c>
      <c r="U295" s="1">
        <f t="shared" si="64"/>
        <v>1.1028373800112932E-6</v>
      </c>
      <c r="V295" s="1">
        <f t="shared" si="65"/>
        <v>3.3333330000000001</v>
      </c>
      <c r="W295" s="1">
        <f t="shared" si="66"/>
        <v>79.251095033762127</v>
      </c>
      <c r="X295" s="1">
        <f t="shared" si="67"/>
        <v>4.658385093167702</v>
      </c>
      <c r="Y295" s="1">
        <f t="shared" si="68"/>
        <v>0.10694642368118347</v>
      </c>
      <c r="Z295" s="1">
        <v>28.204148870000001</v>
      </c>
    </row>
    <row r="296" spans="1:26" x14ac:dyDescent="0.25">
      <c r="A296" s="2">
        <v>25</v>
      </c>
      <c r="B296" s="1">
        <v>0.5</v>
      </c>
      <c r="C296" s="1">
        <v>4.1666660000000002</v>
      </c>
      <c r="D296" s="1">
        <f t="shared" si="56"/>
        <v>0.10416665</v>
      </c>
      <c r="E296" s="1">
        <v>15</v>
      </c>
      <c r="F296" s="1">
        <v>0.5</v>
      </c>
      <c r="G296" s="1">
        <v>75</v>
      </c>
      <c r="H296" s="1">
        <v>26.051261319999998</v>
      </c>
      <c r="I296" s="1">
        <f t="shared" si="57"/>
        <v>2.5000000000000001E-2</v>
      </c>
      <c r="J296" s="1">
        <f t="shared" si="58"/>
        <v>0.10416665</v>
      </c>
      <c r="K296" s="1">
        <f t="shared" si="59"/>
        <v>5.0000000000000001E-4</v>
      </c>
      <c r="L296" s="1">
        <f t="shared" si="60"/>
        <v>0.25852685408735682</v>
      </c>
      <c r="M296" s="1">
        <f t="shared" si="61"/>
        <v>2.0833333333333332E-2</v>
      </c>
      <c r="N296" s="1">
        <v>264</v>
      </c>
      <c r="O296" s="1">
        <v>3.22</v>
      </c>
      <c r="P296" s="1">
        <v>4148</v>
      </c>
      <c r="Q296" s="1">
        <f>[1]!HeatTransferArea(I296,D296,0.36,K296)</f>
        <v>0.39269901886687114</v>
      </c>
      <c r="R296" s="1">
        <f>[1]!Convection(I296,M296,1000,9*10^-4,K296,0.6,0.36,7)</f>
        <v>20660.760475301788</v>
      </c>
      <c r="S296" s="1">
        <f t="shared" si="62"/>
        <v>1.2661580544172444</v>
      </c>
      <c r="T296" s="1">
        <f t="shared" si="63"/>
        <v>6.382158721662961E-6</v>
      </c>
      <c r="U296" s="1">
        <f t="shared" si="64"/>
        <v>3.676124600037644E-7</v>
      </c>
      <c r="V296" s="1">
        <f t="shared" si="65"/>
        <v>4.1666660000000002</v>
      </c>
      <c r="W296" s="1">
        <f t="shared" si="66"/>
        <v>237.75328510128642</v>
      </c>
      <c r="X296" s="1">
        <f t="shared" si="67"/>
        <v>4.658385093167702</v>
      </c>
      <c r="Y296" s="1">
        <f t="shared" si="68"/>
        <v>0.23707911149371214</v>
      </c>
      <c r="Z296" s="1">
        <v>26.051261319999998</v>
      </c>
    </row>
    <row r="297" spans="1:26" x14ac:dyDescent="0.25">
      <c r="A297" s="2">
        <v>25</v>
      </c>
      <c r="B297" s="1">
        <v>0.5</v>
      </c>
      <c r="C297" s="1">
        <v>4.1666660000000002</v>
      </c>
      <c r="D297" s="1">
        <f t="shared" si="56"/>
        <v>0.10416665</v>
      </c>
      <c r="E297" s="1">
        <v>15</v>
      </c>
      <c r="F297" s="1">
        <v>1</v>
      </c>
      <c r="G297" s="1">
        <v>75</v>
      </c>
      <c r="H297" s="1">
        <v>28.104284889999999</v>
      </c>
      <c r="I297" s="1">
        <f t="shared" si="57"/>
        <v>2.5000000000000001E-2</v>
      </c>
      <c r="J297" s="1">
        <f t="shared" si="58"/>
        <v>0.10416665</v>
      </c>
      <c r="K297" s="1">
        <f t="shared" si="59"/>
        <v>5.0000000000000001E-4</v>
      </c>
      <c r="L297" s="1">
        <f t="shared" si="60"/>
        <v>0.25852685408735682</v>
      </c>
      <c r="M297" s="1">
        <f t="shared" si="61"/>
        <v>2.0833333333333332E-2</v>
      </c>
      <c r="N297" s="1">
        <v>264</v>
      </c>
      <c r="O297" s="1">
        <v>3.22</v>
      </c>
      <c r="P297" s="1">
        <v>4148</v>
      </c>
      <c r="Q297" s="1">
        <f>[1]!HeatTransferArea(I297,D297,0.36,K297)</f>
        <v>0.39269901886687114</v>
      </c>
      <c r="R297" s="1">
        <f>[1]!Convection(I297,M297,1000,9*10^-4,K297,0.6,0.36,7)</f>
        <v>20660.760475301788</v>
      </c>
      <c r="S297" s="1">
        <f t="shared" si="62"/>
        <v>0.63307902720862219</v>
      </c>
      <c r="T297" s="1">
        <f t="shared" si="63"/>
        <v>1.2764317443325922E-5</v>
      </c>
      <c r="U297" s="1">
        <f t="shared" si="64"/>
        <v>7.3522492000752879E-7</v>
      </c>
      <c r="V297" s="1">
        <f t="shared" si="65"/>
        <v>4.1666660000000002</v>
      </c>
      <c r="W297" s="1">
        <f t="shared" si="66"/>
        <v>118.87664255064321</v>
      </c>
      <c r="X297" s="1">
        <f t="shared" si="67"/>
        <v>4.658385093167702</v>
      </c>
      <c r="Y297" s="1">
        <f t="shared" si="68"/>
        <v>0.12788131079419382</v>
      </c>
      <c r="Z297" s="1">
        <v>28.104284889999999</v>
      </c>
    </row>
    <row r="298" spans="1:26" x14ac:dyDescent="0.25">
      <c r="A298" s="2">
        <v>25</v>
      </c>
      <c r="B298" s="1">
        <v>0.5</v>
      </c>
      <c r="C298" s="1">
        <v>4.1666660000000002</v>
      </c>
      <c r="D298" s="1">
        <f t="shared" si="56"/>
        <v>0.10416665</v>
      </c>
      <c r="E298" s="1">
        <v>15</v>
      </c>
      <c r="F298" s="1">
        <v>1.5</v>
      </c>
      <c r="G298" s="1">
        <v>75</v>
      </c>
      <c r="H298" s="1">
        <v>28.18397607</v>
      </c>
      <c r="I298" s="1">
        <f t="shared" si="57"/>
        <v>2.5000000000000001E-2</v>
      </c>
      <c r="J298" s="1">
        <f t="shared" si="58"/>
        <v>0.10416665</v>
      </c>
      <c r="K298" s="1">
        <f t="shared" si="59"/>
        <v>5.0000000000000001E-4</v>
      </c>
      <c r="L298" s="1">
        <f t="shared" si="60"/>
        <v>0.25852685408735682</v>
      </c>
      <c r="M298" s="1">
        <f t="shared" si="61"/>
        <v>2.0833333333333332E-2</v>
      </c>
      <c r="N298" s="1">
        <v>264</v>
      </c>
      <c r="O298" s="1">
        <v>3.22</v>
      </c>
      <c r="P298" s="1">
        <v>4148</v>
      </c>
      <c r="Q298" s="1">
        <f>[1]!HeatTransferArea(I298,D298,0.36,K298)</f>
        <v>0.39269901886687114</v>
      </c>
      <c r="R298" s="1">
        <f>[1]!Convection(I298,M298,1000,9*10^-4,K298,0.6,0.36,7)</f>
        <v>20660.760475301788</v>
      </c>
      <c r="S298" s="1">
        <f t="shared" si="62"/>
        <v>0.42205268480574815</v>
      </c>
      <c r="T298" s="1">
        <f t="shared" si="63"/>
        <v>1.9146476164988884E-5</v>
      </c>
      <c r="U298" s="1">
        <f t="shared" si="64"/>
        <v>1.1028373800112932E-6</v>
      </c>
      <c r="V298" s="1">
        <f t="shared" si="65"/>
        <v>4.1666660000000002</v>
      </c>
      <c r="W298" s="1">
        <f t="shared" si="66"/>
        <v>79.251095033762141</v>
      </c>
      <c r="X298" s="1">
        <f t="shared" si="67"/>
        <v>4.658385093167702</v>
      </c>
      <c r="Y298" s="1">
        <f t="shared" si="68"/>
        <v>8.5495949990796141E-2</v>
      </c>
      <c r="Z298" s="1">
        <v>28.18397607</v>
      </c>
    </row>
    <row r="299" spans="1:26" x14ac:dyDescent="0.25">
      <c r="A299" s="1">
        <f>35</f>
        <v>35</v>
      </c>
      <c r="B299" s="1">
        <v>0.3</v>
      </c>
      <c r="C299" s="1">
        <v>2.1428569999999998</v>
      </c>
      <c r="D299" s="1">
        <f t="shared" si="56"/>
        <v>7.4999995E-2</v>
      </c>
      <c r="E299" s="1">
        <v>15</v>
      </c>
      <c r="F299" s="1">
        <v>0.5</v>
      </c>
      <c r="G299" s="1">
        <v>125</v>
      </c>
      <c r="H299" s="1">
        <v>44.429507780000002</v>
      </c>
      <c r="I299" s="1">
        <f t="shared" si="57"/>
        <v>3.5000000000000003E-2</v>
      </c>
      <c r="J299" s="1">
        <f t="shared" si="58"/>
        <v>7.4999995E-2</v>
      </c>
      <c r="K299" s="1">
        <f t="shared" si="59"/>
        <v>2.9999999999999997E-4</v>
      </c>
      <c r="L299" s="1">
        <f t="shared" si="60"/>
        <v>0.36483313053917238</v>
      </c>
      <c r="M299" s="1">
        <f t="shared" si="61"/>
        <v>3.4722222222222224E-2</v>
      </c>
      <c r="N299" s="1">
        <v>264</v>
      </c>
      <c r="O299" s="1">
        <v>3.22</v>
      </c>
      <c r="P299" s="1">
        <v>4148</v>
      </c>
      <c r="Q299" s="1">
        <f>[1]!HeatTransferArea(I299,D299,0.36,K299)</f>
        <v>0.92362817858018342</v>
      </c>
      <c r="R299" s="1">
        <f>[1]!Convection(I299,M299,1000,9*10^-4,K299,0.6,0.36,7)</f>
        <v>33773.470677395402</v>
      </c>
      <c r="S299" s="1">
        <f t="shared" si="62"/>
        <v>1.4953679330150285</v>
      </c>
      <c r="T299" s="1">
        <f t="shared" si="63"/>
        <v>3.3085116988989417E-6</v>
      </c>
      <c r="U299" s="1">
        <f t="shared" si="64"/>
        <v>7.205204216073782E-7</v>
      </c>
      <c r="V299" s="1">
        <f t="shared" si="65"/>
        <v>2.1428569999999998</v>
      </c>
      <c r="W299" s="1">
        <f t="shared" si="66"/>
        <v>647.74588947823952</v>
      </c>
      <c r="X299" s="1">
        <f t="shared" si="67"/>
        <v>4.658385093167702</v>
      </c>
      <c r="Y299" s="1">
        <f t="shared" si="68"/>
        <v>0.28651504323852661</v>
      </c>
      <c r="Z299" s="1">
        <v>44.429507780000002</v>
      </c>
    </row>
    <row r="300" spans="1:26" x14ac:dyDescent="0.25">
      <c r="A300" s="1">
        <f>35</f>
        <v>35</v>
      </c>
      <c r="B300" s="1">
        <v>0.3</v>
      </c>
      <c r="C300" s="1">
        <v>2.1428569999999998</v>
      </c>
      <c r="D300" s="1">
        <f t="shared" si="56"/>
        <v>7.4999995E-2</v>
      </c>
      <c r="E300" s="1">
        <v>15</v>
      </c>
      <c r="F300" s="1">
        <v>1</v>
      </c>
      <c r="G300" s="1">
        <v>125</v>
      </c>
      <c r="H300" s="1">
        <v>49.353960280000003</v>
      </c>
      <c r="I300" s="1">
        <f t="shared" si="57"/>
        <v>3.5000000000000003E-2</v>
      </c>
      <c r="J300" s="1">
        <f t="shared" si="58"/>
        <v>7.4999995E-2</v>
      </c>
      <c r="K300" s="1">
        <f t="shared" si="59"/>
        <v>2.9999999999999997E-4</v>
      </c>
      <c r="L300" s="1">
        <f t="shared" si="60"/>
        <v>0.36483313053917238</v>
      </c>
      <c r="M300" s="1">
        <f t="shared" si="61"/>
        <v>3.4722222222222224E-2</v>
      </c>
      <c r="N300" s="1">
        <v>264</v>
      </c>
      <c r="O300" s="1">
        <v>3.22</v>
      </c>
      <c r="P300" s="1">
        <v>4148</v>
      </c>
      <c r="Q300" s="1">
        <f>[1]!HeatTransferArea(I300,D300,0.36,K300)</f>
        <v>0.92362817858018342</v>
      </c>
      <c r="R300" s="1">
        <f>[1]!Convection(I300,M300,1000,9*10^-4,K300,0.6,0.36,7)</f>
        <v>33773.470677395402</v>
      </c>
      <c r="S300" s="1">
        <f t="shared" si="62"/>
        <v>0.74768396650751423</v>
      </c>
      <c r="T300" s="1">
        <f t="shared" si="63"/>
        <v>6.6170233977978834E-6</v>
      </c>
      <c r="U300" s="1">
        <f t="shared" si="64"/>
        <v>1.4410408432147564E-6</v>
      </c>
      <c r="V300" s="1">
        <f t="shared" si="65"/>
        <v>2.1428569999999998</v>
      </c>
      <c r="W300" s="1">
        <f t="shared" si="66"/>
        <v>323.87294473911976</v>
      </c>
      <c r="X300" s="1">
        <f t="shared" si="67"/>
        <v>4.658385093167702</v>
      </c>
      <c r="Y300" s="1">
        <f t="shared" si="68"/>
        <v>0.15913581727752291</v>
      </c>
      <c r="Z300" s="1">
        <v>49.353960280000003</v>
      </c>
    </row>
    <row r="301" spans="1:26" x14ac:dyDescent="0.25">
      <c r="A301" s="1">
        <f>35</f>
        <v>35</v>
      </c>
      <c r="B301" s="1">
        <v>0.3</v>
      </c>
      <c r="C301" s="1">
        <v>2.1428569999999998</v>
      </c>
      <c r="D301" s="1">
        <f t="shared" si="56"/>
        <v>7.4999995E-2</v>
      </c>
      <c r="E301" s="1">
        <v>15</v>
      </c>
      <c r="F301" s="1">
        <v>1.5</v>
      </c>
      <c r="G301" s="1">
        <v>125</v>
      </c>
      <c r="H301" s="1">
        <v>49.631487229999998</v>
      </c>
      <c r="I301" s="1">
        <f t="shared" si="57"/>
        <v>3.5000000000000003E-2</v>
      </c>
      <c r="J301" s="1">
        <f t="shared" si="58"/>
        <v>7.4999995E-2</v>
      </c>
      <c r="K301" s="1">
        <f t="shared" si="59"/>
        <v>2.9999999999999997E-4</v>
      </c>
      <c r="L301" s="1">
        <f t="shared" si="60"/>
        <v>0.36483313053917238</v>
      </c>
      <c r="M301" s="1">
        <f t="shared" si="61"/>
        <v>3.4722222222222224E-2</v>
      </c>
      <c r="N301" s="1">
        <v>264</v>
      </c>
      <c r="O301" s="1">
        <v>3.22</v>
      </c>
      <c r="P301" s="1">
        <v>4148</v>
      </c>
      <c r="Q301" s="1">
        <f>[1]!HeatTransferArea(I301,D301,0.36,K301)</f>
        <v>0.92362817858018342</v>
      </c>
      <c r="R301" s="1">
        <f>[1]!Convection(I301,M301,1000,9*10^-4,K301,0.6,0.36,7)</f>
        <v>33773.470677395402</v>
      </c>
      <c r="S301" s="1">
        <f t="shared" si="62"/>
        <v>0.49845597767167615</v>
      </c>
      <c r="T301" s="1">
        <f t="shared" si="63"/>
        <v>9.9255350966968247E-6</v>
      </c>
      <c r="U301" s="1">
        <f t="shared" si="64"/>
        <v>2.1615612648221343E-6</v>
      </c>
      <c r="V301" s="1">
        <f t="shared" si="65"/>
        <v>2.1428569999999998</v>
      </c>
      <c r="W301" s="1">
        <f t="shared" si="66"/>
        <v>215.91529649274648</v>
      </c>
      <c r="X301" s="1">
        <f t="shared" si="67"/>
        <v>4.658385093167702</v>
      </c>
      <c r="Y301" s="1">
        <f t="shared" si="68"/>
        <v>0.10668711268878124</v>
      </c>
      <c r="Z301" s="1">
        <v>49.631487229999998</v>
      </c>
    </row>
    <row r="302" spans="1:26" x14ac:dyDescent="0.25">
      <c r="A302" s="1">
        <f>35</f>
        <v>35</v>
      </c>
      <c r="B302" s="1">
        <v>0.3</v>
      </c>
      <c r="C302" s="1">
        <v>2.8571430000000002</v>
      </c>
      <c r="D302" s="1">
        <f t="shared" si="56"/>
        <v>0.100000005</v>
      </c>
      <c r="E302" s="1">
        <v>15</v>
      </c>
      <c r="F302" s="1">
        <v>0.5</v>
      </c>
      <c r="G302" s="1">
        <v>125</v>
      </c>
      <c r="H302" s="1">
        <v>47.443088920000001</v>
      </c>
      <c r="I302" s="1">
        <f t="shared" si="57"/>
        <v>3.5000000000000003E-2</v>
      </c>
      <c r="J302" s="1">
        <f t="shared" si="58"/>
        <v>0.100000005</v>
      </c>
      <c r="K302" s="1">
        <f t="shared" si="59"/>
        <v>2.9999999999999997E-4</v>
      </c>
      <c r="L302" s="1">
        <f t="shared" si="60"/>
        <v>0.48644423080405397</v>
      </c>
      <c r="M302" s="1">
        <f t="shared" si="61"/>
        <v>3.4722222222222224E-2</v>
      </c>
      <c r="N302" s="1">
        <v>264</v>
      </c>
      <c r="O302" s="1">
        <v>3.22</v>
      </c>
      <c r="P302" s="1">
        <v>4148</v>
      </c>
      <c r="Q302" s="1">
        <f>[1]!HeatTransferArea(I302,D302,0.36,K302)</f>
        <v>1.2315043817824152</v>
      </c>
      <c r="R302" s="1">
        <f>[1]!Convection(I302,M302,1000,9*10^-4,K302,0.6,0.36,7)</f>
        <v>33773.470677395402</v>
      </c>
      <c r="S302" s="1">
        <f t="shared" si="62"/>
        <v>1.1215258189165838</v>
      </c>
      <c r="T302" s="1">
        <f t="shared" si="63"/>
        <v>5.8817999482401808E-6</v>
      </c>
      <c r="U302" s="1">
        <f t="shared" si="64"/>
        <v>7.205204216073782E-7</v>
      </c>
      <c r="V302" s="1">
        <f t="shared" si="65"/>
        <v>2.8571430000000002</v>
      </c>
      <c r="W302" s="1">
        <f t="shared" si="66"/>
        <v>647.74588947823941</v>
      </c>
      <c r="X302" s="1">
        <f t="shared" si="67"/>
        <v>4.658385093167702</v>
      </c>
      <c r="Y302" s="1">
        <f t="shared" si="68"/>
        <v>0.22946164216003773</v>
      </c>
      <c r="Z302" s="1">
        <v>47.443088920000001</v>
      </c>
    </row>
    <row r="303" spans="1:26" x14ac:dyDescent="0.25">
      <c r="A303" s="1">
        <f>35</f>
        <v>35</v>
      </c>
      <c r="B303" s="1">
        <v>0.3</v>
      </c>
      <c r="C303" s="1">
        <v>2.8571430000000002</v>
      </c>
      <c r="D303" s="1">
        <f t="shared" si="56"/>
        <v>0.100000005</v>
      </c>
      <c r="E303" s="1">
        <v>15</v>
      </c>
      <c r="F303" s="1">
        <v>1</v>
      </c>
      <c r="G303" s="1">
        <v>125</v>
      </c>
      <c r="H303" s="1">
        <v>48.604849729999998</v>
      </c>
      <c r="I303" s="1">
        <f t="shared" si="57"/>
        <v>3.5000000000000003E-2</v>
      </c>
      <c r="J303" s="1">
        <f t="shared" si="58"/>
        <v>0.100000005</v>
      </c>
      <c r="K303" s="1">
        <f t="shared" si="59"/>
        <v>2.9999999999999997E-4</v>
      </c>
      <c r="L303" s="1">
        <f t="shared" si="60"/>
        <v>0.48644423080405397</v>
      </c>
      <c r="M303" s="1">
        <f t="shared" si="61"/>
        <v>3.4722222222222224E-2</v>
      </c>
      <c r="N303" s="1">
        <v>264</v>
      </c>
      <c r="O303" s="1">
        <v>3.22</v>
      </c>
      <c r="P303" s="1">
        <v>4148</v>
      </c>
      <c r="Q303" s="1">
        <f>[1]!HeatTransferArea(I303,D303,0.36,K303)</f>
        <v>1.2315043817824152</v>
      </c>
      <c r="R303" s="1">
        <f>[1]!Convection(I303,M303,1000,9*10^-4,K303,0.6,0.36,7)</f>
        <v>33773.470677395402</v>
      </c>
      <c r="S303" s="1">
        <f t="shared" si="62"/>
        <v>0.56076290945829188</v>
      </c>
      <c r="T303" s="1">
        <f t="shared" si="63"/>
        <v>1.1763599896480362E-5</v>
      </c>
      <c r="U303" s="1">
        <f t="shared" si="64"/>
        <v>1.4410408432147564E-6</v>
      </c>
      <c r="V303" s="1">
        <f t="shared" si="65"/>
        <v>2.8571430000000002</v>
      </c>
      <c r="W303" s="1">
        <f t="shared" si="66"/>
        <v>323.8729447391197</v>
      </c>
      <c r="X303" s="1">
        <f t="shared" si="67"/>
        <v>4.658385093167702</v>
      </c>
      <c r="Y303" s="1">
        <f t="shared" si="68"/>
        <v>0.11754028763593061</v>
      </c>
      <c r="Z303" s="1">
        <v>48.604849729999998</v>
      </c>
    </row>
    <row r="304" spans="1:26" x14ac:dyDescent="0.25">
      <c r="A304" s="1">
        <f>35</f>
        <v>35</v>
      </c>
      <c r="B304" s="1">
        <v>0.3</v>
      </c>
      <c r="C304" s="1">
        <v>2.8571430000000002</v>
      </c>
      <c r="D304" s="1">
        <f t="shared" si="56"/>
        <v>0.100000005</v>
      </c>
      <c r="E304" s="1">
        <v>15</v>
      </c>
      <c r="F304" s="1">
        <v>1.5</v>
      </c>
      <c r="G304" s="1">
        <v>125</v>
      </c>
      <c r="H304" s="1">
        <v>48.691311280000001</v>
      </c>
      <c r="I304" s="1">
        <f t="shared" si="57"/>
        <v>3.5000000000000003E-2</v>
      </c>
      <c r="J304" s="1">
        <f t="shared" si="58"/>
        <v>0.100000005</v>
      </c>
      <c r="K304" s="1">
        <f t="shared" si="59"/>
        <v>2.9999999999999997E-4</v>
      </c>
      <c r="L304" s="1">
        <f t="shared" si="60"/>
        <v>0.48644423080405397</v>
      </c>
      <c r="M304" s="1">
        <f t="shared" si="61"/>
        <v>3.4722222222222224E-2</v>
      </c>
      <c r="N304" s="1">
        <v>264</v>
      </c>
      <c r="O304" s="1">
        <v>3.22</v>
      </c>
      <c r="P304" s="1">
        <v>4148</v>
      </c>
      <c r="Q304" s="1">
        <f>[1]!HeatTransferArea(I304,D304,0.36,K304)</f>
        <v>1.2315043817824152</v>
      </c>
      <c r="R304" s="1">
        <f>[1]!Convection(I304,M304,1000,9*10^-4,K304,0.6,0.36,7)</f>
        <v>33773.470677395402</v>
      </c>
      <c r="S304" s="1">
        <f t="shared" si="62"/>
        <v>0.37384193963886125</v>
      </c>
      <c r="T304" s="1">
        <f t="shared" si="63"/>
        <v>1.764539984472054E-5</v>
      </c>
      <c r="U304" s="1">
        <f t="shared" si="64"/>
        <v>2.1615612648221343E-6</v>
      </c>
      <c r="V304" s="1">
        <f t="shared" si="65"/>
        <v>2.8571430000000002</v>
      </c>
      <c r="W304" s="1">
        <f t="shared" si="66"/>
        <v>215.91529649274648</v>
      </c>
      <c r="X304" s="1">
        <f t="shared" si="67"/>
        <v>4.658385093167702</v>
      </c>
      <c r="Y304" s="1">
        <f t="shared" si="68"/>
        <v>7.8499584095197139E-2</v>
      </c>
      <c r="Z304" s="1">
        <v>48.691311280000001</v>
      </c>
    </row>
    <row r="305" spans="1:26" x14ac:dyDescent="0.25">
      <c r="A305" s="1">
        <f>35</f>
        <v>35</v>
      </c>
      <c r="B305" s="1">
        <v>0.3</v>
      </c>
      <c r="C305" s="1">
        <v>3.5714290000000002</v>
      </c>
      <c r="D305" s="1">
        <f t="shared" si="56"/>
        <v>0.12500001499999999</v>
      </c>
      <c r="E305" s="1">
        <v>15</v>
      </c>
      <c r="F305" s="1">
        <v>0.5</v>
      </c>
      <c r="G305" s="1">
        <v>125</v>
      </c>
      <c r="H305" s="1">
        <v>47.413521209999999</v>
      </c>
      <c r="I305" s="1">
        <f t="shared" si="57"/>
        <v>3.5000000000000003E-2</v>
      </c>
      <c r="J305" s="1">
        <f t="shared" si="58"/>
        <v>0.12500001499999999</v>
      </c>
      <c r="K305" s="1">
        <f t="shared" si="59"/>
        <v>2.9999999999999997E-4</v>
      </c>
      <c r="L305" s="1">
        <f t="shared" si="60"/>
        <v>0.6080553310689355</v>
      </c>
      <c r="M305" s="1">
        <f t="shared" si="61"/>
        <v>3.4722222222222224E-2</v>
      </c>
      <c r="N305" s="1">
        <v>264</v>
      </c>
      <c r="O305" s="1">
        <v>3.22</v>
      </c>
      <c r="P305" s="1">
        <v>4148</v>
      </c>
      <c r="Q305" s="1">
        <f>[1]!HeatTransferArea(I305,D305,0.36,K305)</f>
        <v>1.5393805849846469</v>
      </c>
      <c r="R305" s="1">
        <f>[1]!Convection(I305,M305,1000,9*10^-4,K305,0.6,0.36,7)</f>
        <v>33773.470677395402</v>
      </c>
      <c r="S305" s="1">
        <f t="shared" si="62"/>
        <v>0.89722059232782869</v>
      </c>
      <c r="T305" s="1">
        <f t="shared" si="63"/>
        <v>9.190313705769E-6</v>
      </c>
      <c r="U305" s="1">
        <f t="shared" si="64"/>
        <v>7.205204216073782E-7</v>
      </c>
      <c r="V305" s="1">
        <f t="shared" si="65"/>
        <v>3.5714290000000002</v>
      </c>
      <c r="W305" s="1">
        <f t="shared" si="66"/>
        <v>647.74588947823941</v>
      </c>
      <c r="X305" s="1">
        <f t="shared" si="67"/>
        <v>4.658385093167702</v>
      </c>
      <c r="Y305" s="1">
        <f t="shared" si="68"/>
        <v>0.18345489593581982</v>
      </c>
      <c r="Z305" s="1">
        <v>47.413521209999999</v>
      </c>
    </row>
    <row r="306" spans="1:26" x14ac:dyDescent="0.25">
      <c r="A306" s="1">
        <f>35</f>
        <v>35</v>
      </c>
      <c r="B306" s="1">
        <v>0.3</v>
      </c>
      <c r="C306" s="1">
        <v>3.5714290000000002</v>
      </c>
      <c r="D306" s="1">
        <f t="shared" si="56"/>
        <v>0.12500001499999999</v>
      </c>
      <c r="E306" s="1">
        <v>15</v>
      </c>
      <c r="F306" s="1">
        <v>1</v>
      </c>
      <c r="G306" s="1">
        <v>125</v>
      </c>
      <c r="H306" s="1">
        <v>47.967456779999999</v>
      </c>
      <c r="I306" s="1">
        <f t="shared" si="57"/>
        <v>3.5000000000000003E-2</v>
      </c>
      <c r="J306" s="1">
        <f t="shared" si="58"/>
        <v>0.12500001499999999</v>
      </c>
      <c r="K306" s="1">
        <f t="shared" si="59"/>
        <v>2.9999999999999997E-4</v>
      </c>
      <c r="L306" s="1">
        <f t="shared" si="60"/>
        <v>0.6080553310689355</v>
      </c>
      <c r="M306" s="1">
        <f t="shared" si="61"/>
        <v>3.4722222222222224E-2</v>
      </c>
      <c r="N306" s="1">
        <v>264</v>
      </c>
      <c r="O306" s="1">
        <v>3.22</v>
      </c>
      <c r="P306" s="1">
        <v>4148</v>
      </c>
      <c r="Q306" s="1">
        <f>[1]!HeatTransferArea(I306,D306,0.36,K306)</f>
        <v>1.5393805849846469</v>
      </c>
      <c r="R306" s="1">
        <f>[1]!Convection(I306,M306,1000,9*10^-4,K306,0.6,0.36,7)</f>
        <v>33773.470677395402</v>
      </c>
      <c r="S306" s="1">
        <f t="shared" si="62"/>
        <v>0.44861029616391435</v>
      </c>
      <c r="T306" s="1">
        <f t="shared" si="63"/>
        <v>1.8380627411538E-5</v>
      </c>
      <c r="U306" s="1">
        <f t="shared" si="64"/>
        <v>1.4410408432147564E-6</v>
      </c>
      <c r="V306" s="1">
        <f t="shared" si="65"/>
        <v>3.5714290000000002</v>
      </c>
      <c r="W306" s="1">
        <f t="shared" si="66"/>
        <v>323.8729447391197</v>
      </c>
      <c r="X306" s="1">
        <f t="shared" si="67"/>
        <v>4.658385093167702</v>
      </c>
      <c r="Y306" s="1">
        <f t="shared" si="68"/>
        <v>9.2799106323544406E-2</v>
      </c>
      <c r="Z306" s="1">
        <v>47.967456779999999</v>
      </c>
    </row>
    <row r="307" spans="1:26" x14ac:dyDescent="0.25">
      <c r="A307" s="1">
        <f>35</f>
        <v>35</v>
      </c>
      <c r="B307" s="1">
        <v>0.3</v>
      </c>
      <c r="C307" s="1">
        <v>3.5714290000000002</v>
      </c>
      <c r="D307" s="1">
        <f t="shared" si="56"/>
        <v>0.12500001499999999</v>
      </c>
      <c r="E307" s="1">
        <v>15</v>
      </c>
      <c r="F307" s="1">
        <v>1.5</v>
      </c>
      <c r="G307" s="1">
        <v>125</v>
      </c>
      <c r="H307" s="1">
        <v>48.007024909999998</v>
      </c>
      <c r="I307" s="1">
        <f t="shared" si="57"/>
        <v>3.5000000000000003E-2</v>
      </c>
      <c r="J307" s="1">
        <f t="shared" si="58"/>
        <v>0.12500001499999999</v>
      </c>
      <c r="K307" s="1">
        <f t="shared" si="59"/>
        <v>2.9999999999999997E-4</v>
      </c>
      <c r="L307" s="1">
        <f t="shared" si="60"/>
        <v>0.6080553310689355</v>
      </c>
      <c r="M307" s="1">
        <f t="shared" si="61"/>
        <v>3.4722222222222224E-2</v>
      </c>
      <c r="N307" s="1">
        <v>264</v>
      </c>
      <c r="O307" s="1">
        <v>3.22</v>
      </c>
      <c r="P307" s="1">
        <v>4148</v>
      </c>
      <c r="Q307" s="1">
        <f>[1]!HeatTransferArea(I307,D307,0.36,K307)</f>
        <v>1.5393805849846469</v>
      </c>
      <c r="R307" s="1">
        <f>[1]!Convection(I307,M307,1000,9*10^-4,K307,0.6,0.36,7)</f>
        <v>33773.470677395402</v>
      </c>
      <c r="S307" s="1">
        <f t="shared" si="62"/>
        <v>0.2990735307759429</v>
      </c>
      <c r="T307" s="1">
        <f t="shared" si="63"/>
        <v>2.7570941117306998E-5</v>
      </c>
      <c r="U307" s="1">
        <f t="shared" si="64"/>
        <v>2.1615612648221343E-6</v>
      </c>
      <c r="V307" s="1">
        <f t="shared" si="65"/>
        <v>3.5714290000000002</v>
      </c>
      <c r="W307" s="1">
        <f t="shared" si="66"/>
        <v>215.91529649274648</v>
      </c>
      <c r="X307" s="1">
        <f t="shared" si="67"/>
        <v>4.658385093167702</v>
      </c>
      <c r="Y307" s="1">
        <f t="shared" si="68"/>
        <v>6.1917103913913682E-2</v>
      </c>
      <c r="Z307" s="1">
        <v>48.007024909999998</v>
      </c>
    </row>
    <row r="308" spans="1:26" x14ac:dyDescent="0.25">
      <c r="A308" s="1">
        <f>35</f>
        <v>35</v>
      </c>
      <c r="B308" s="1">
        <v>0.4</v>
      </c>
      <c r="C308" s="1">
        <v>2.1428569999999998</v>
      </c>
      <c r="D308" s="1">
        <f t="shared" si="56"/>
        <v>7.4999995E-2</v>
      </c>
      <c r="E308" s="1">
        <v>15</v>
      </c>
      <c r="F308" s="1">
        <v>0.5</v>
      </c>
      <c r="G308" s="1">
        <v>125</v>
      </c>
      <c r="H308" s="1">
        <v>42.793613030000003</v>
      </c>
      <c r="I308" s="1">
        <f t="shared" si="57"/>
        <v>3.5000000000000003E-2</v>
      </c>
      <c r="J308" s="1">
        <f t="shared" si="58"/>
        <v>7.4999995E-2</v>
      </c>
      <c r="K308" s="1">
        <f t="shared" si="59"/>
        <v>4.0000000000000002E-4</v>
      </c>
      <c r="L308" s="1">
        <f t="shared" si="60"/>
        <v>0.36483313053917238</v>
      </c>
      <c r="M308" s="1">
        <f t="shared" si="61"/>
        <v>3.4722222222222224E-2</v>
      </c>
      <c r="N308" s="1">
        <v>264</v>
      </c>
      <c r="O308" s="1">
        <v>3.22</v>
      </c>
      <c r="P308" s="1">
        <v>4148</v>
      </c>
      <c r="Q308" s="1">
        <f>[1]!HeatTransferArea(I308,D308,0.36,K308)</f>
        <v>0.69272113393513746</v>
      </c>
      <c r="R308" s="1">
        <f>[1]!Convection(I308,M308,1000,9*10^-4,K308,0.6,0.36,7)</f>
        <v>25517.896048113165</v>
      </c>
      <c r="S308" s="1">
        <f t="shared" si="62"/>
        <v>1.4953679330150285</v>
      </c>
      <c r="T308" s="1">
        <f t="shared" si="63"/>
        <v>3.3085116988989417E-6</v>
      </c>
      <c r="U308" s="1">
        <f t="shared" si="64"/>
        <v>7.205204216073782E-7</v>
      </c>
      <c r="V308" s="1">
        <f t="shared" si="65"/>
        <v>2.1428569999999998</v>
      </c>
      <c r="W308" s="1">
        <f t="shared" si="66"/>
        <v>367.05834361497642</v>
      </c>
      <c r="X308" s="1">
        <f t="shared" si="67"/>
        <v>4.658385093167702</v>
      </c>
      <c r="Y308" s="1">
        <f t="shared" si="68"/>
        <v>0.27596555758248886</v>
      </c>
      <c r="Z308" s="1">
        <v>42.793613030000003</v>
      </c>
    </row>
    <row r="309" spans="1:26" x14ac:dyDescent="0.25">
      <c r="A309" s="1">
        <f>35</f>
        <v>35</v>
      </c>
      <c r="B309" s="1">
        <v>0.4</v>
      </c>
      <c r="C309" s="1">
        <v>2.1428569999999998</v>
      </c>
      <c r="D309" s="1">
        <f t="shared" si="56"/>
        <v>7.4999995E-2</v>
      </c>
      <c r="E309" s="1">
        <v>15</v>
      </c>
      <c r="F309" s="1">
        <v>1</v>
      </c>
      <c r="G309" s="1">
        <v>125</v>
      </c>
      <c r="H309" s="1">
        <v>48.958813220000003</v>
      </c>
      <c r="I309" s="1">
        <f t="shared" si="57"/>
        <v>3.5000000000000003E-2</v>
      </c>
      <c r="J309" s="1">
        <f t="shared" si="58"/>
        <v>7.4999995E-2</v>
      </c>
      <c r="K309" s="1">
        <f t="shared" si="59"/>
        <v>4.0000000000000002E-4</v>
      </c>
      <c r="L309" s="1">
        <f t="shared" si="60"/>
        <v>0.36483313053917238</v>
      </c>
      <c r="M309" s="1">
        <f t="shared" si="61"/>
        <v>3.4722222222222224E-2</v>
      </c>
      <c r="N309" s="1">
        <v>264</v>
      </c>
      <c r="O309" s="1">
        <v>3.22</v>
      </c>
      <c r="P309" s="1">
        <v>4148</v>
      </c>
      <c r="Q309" s="1">
        <f>[1]!HeatTransferArea(I309,D309,0.36,K309)</f>
        <v>0.69272113393513746</v>
      </c>
      <c r="R309" s="1">
        <f>[1]!Convection(I309,M309,1000,9*10^-4,K309,0.6,0.36,7)</f>
        <v>25517.896048113165</v>
      </c>
      <c r="S309" s="1">
        <f t="shared" si="62"/>
        <v>0.74768396650751423</v>
      </c>
      <c r="T309" s="1">
        <f t="shared" si="63"/>
        <v>6.6170233977978834E-6</v>
      </c>
      <c r="U309" s="1">
        <f t="shared" si="64"/>
        <v>1.4410408432147564E-6</v>
      </c>
      <c r="V309" s="1">
        <f t="shared" si="65"/>
        <v>2.1428569999999998</v>
      </c>
      <c r="W309" s="1">
        <f t="shared" si="66"/>
        <v>183.52917180748821</v>
      </c>
      <c r="X309" s="1">
        <f t="shared" si="67"/>
        <v>4.658385093167702</v>
      </c>
      <c r="Y309" s="1">
        <f t="shared" si="68"/>
        <v>0.15786171384223299</v>
      </c>
      <c r="Z309" s="1">
        <v>48.958813220000003</v>
      </c>
    </row>
    <row r="310" spans="1:26" x14ac:dyDescent="0.25">
      <c r="A310" s="1">
        <f>35</f>
        <v>35</v>
      </c>
      <c r="B310" s="1">
        <v>0.4</v>
      </c>
      <c r="C310" s="1">
        <v>2.1428569999999998</v>
      </c>
      <c r="D310" s="1">
        <f t="shared" si="56"/>
        <v>7.4999995E-2</v>
      </c>
      <c r="E310" s="1">
        <v>15</v>
      </c>
      <c r="F310" s="1">
        <v>1.5</v>
      </c>
      <c r="G310" s="1">
        <v>125</v>
      </c>
      <c r="H310" s="1">
        <v>49.317081829999999</v>
      </c>
      <c r="I310" s="1">
        <f t="shared" si="57"/>
        <v>3.5000000000000003E-2</v>
      </c>
      <c r="J310" s="1">
        <f t="shared" si="58"/>
        <v>7.4999995E-2</v>
      </c>
      <c r="K310" s="1">
        <f t="shared" si="59"/>
        <v>4.0000000000000002E-4</v>
      </c>
      <c r="L310" s="1">
        <f t="shared" si="60"/>
        <v>0.36483313053917238</v>
      </c>
      <c r="M310" s="1">
        <f t="shared" si="61"/>
        <v>3.4722222222222224E-2</v>
      </c>
      <c r="N310" s="1">
        <v>264</v>
      </c>
      <c r="O310" s="1">
        <v>3.22</v>
      </c>
      <c r="P310" s="1">
        <v>4148</v>
      </c>
      <c r="Q310" s="1">
        <f>[1]!HeatTransferArea(I310,D310,0.36,K310)</f>
        <v>0.69272113393513746</v>
      </c>
      <c r="R310" s="1">
        <f>[1]!Convection(I310,M310,1000,9*10^-4,K310,0.6,0.36,7)</f>
        <v>25517.896048113165</v>
      </c>
      <c r="S310" s="1">
        <f t="shared" si="62"/>
        <v>0.49845597767167615</v>
      </c>
      <c r="T310" s="1">
        <f t="shared" si="63"/>
        <v>9.9255350966968247E-6</v>
      </c>
      <c r="U310" s="1">
        <f t="shared" si="64"/>
        <v>2.1615612648221343E-6</v>
      </c>
      <c r="V310" s="1">
        <f t="shared" si="65"/>
        <v>2.1428569999999998</v>
      </c>
      <c r="W310" s="1">
        <f t="shared" si="66"/>
        <v>122.35278120499214</v>
      </c>
      <c r="X310" s="1">
        <f t="shared" si="67"/>
        <v>4.658385093167702</v>
      </c>
      <c r="Y310" s="1">
        <f t="shared" si="68"/>
        <v>0.10601127147966498</v>
      </c>
      <c r="Z310" s="1">
        <v>49.317081829999999</v>
      </c>
    </row>
    <row r="311" spans="1:26" x14ac:dyDescent="0.25">
      <c r="A311" s="1">
        <f>35</f>
        <v>35</v>
      </c>
      <c r="B311" s="1">
        <v>0.4</v>
      </c>
      <c r="C311" s="1">
        <v>2.8571430000000002</v>
      </c>
      <c r="D311" s="1">
        <f t="shared" si="56"/>
        <v>0.100000005</v>
      </c>
      <c r="E311" s="1">
        <v>15</v>
      </c>
      <c r="F311" s="1">
        <v>0.5</v>
      </c>
      <c r="G311" s="1">
        <v>125</v>
      </c>
      <c r="H311" s="1">
        <v>47.073552290000002</v>
      </c>
      <c r="I311" s="1">
        <f t="shared" si="57"/>
        <v>3.5000000000000003E-2</v>
      </c>
      <c r="J311" s="1">
        <f t="shared" si="58"/>
        <v>0.100000005</v>
      </c>
      <c r="K311" s="1">
        <f t="shared" si="59"/>
        <v>4.0000000000000002E-4</v>
      </c>
      <c r="L311" s="1">
        <f t="shared" si="60"/>
        <v>0.48644423080405397</v>
      </c>
      <c r="M311" s="1">
        <f t="shared" si="61"/>
        <v>3.4722222222222224E-2</v>
      </c>
      <c r="N311" s="1">
        <v>264</v>
      </c>
      <c r="O311" s="1">
        <v>3.22</v>
      </c>
      <c r="P311" s="1">
        <v>4148</v>
      </c>
      <c r="Q311" s="1">
        <f>[1]!HeatTransferArea(I311,D311,0.36,K311)</f>
        <v>0.92362828633681127</v>
      </c>
      <c r="R311" s="1">
        <f>[1]!Convection(I311,M311,1000,9*10^-4,K311,0.6,0.36,7)</f>
        <v>25517.896048113165</v>
      </c>
      <c r="S311" s="1">
        <f t="shared" si="62"/>
        <v>1.1215258189165838</v>
      </c>
      <c r="T311" s="1">
        <f t="shared" si="63"/>
        <v>5.8817999482401808E-6</v>
      </c>
      <c r="U311" s="1">
        <f t="shared" si="64"/>
        <v>7.205204216073782E-7</v>
      </c>
      <c r="V311" s="1">
        <f t="shared" si="65"/>
        <v>2.8571430000000002</v>
      </c>
      <c r="W311" s="1">
        <f t="shared" si="66"/>
        <v>367.05834361497648</v>
      </c>
      <c r="X311" s="1">
        <f t="shared" si="67"/>
        <v>4.658385093167702</v>
      </c>
      <c r="Y311" s="1">
        <f t="shared" si="68"/>
        <v>0.22767435377118367</v>
      </c>
      <c r="Z311" s="1">
        <v>47.073552290000002</v>
      </c>
    </row>
    <row r="312" spans="1:26" x14ac:dyDescent="0.25">
      <c r="A312" s="1">
        <f>35</f>
        <v>35</v>
      </c>
      <c r="B312" s="1">
        <v>0.4</v>
      </c>
      <c r="C312" s="1">
        <v>2.8571430000000002</v>
      </c>
      <c r="D312" s="1">
        <f t="shared" si="56"/>
        <v>0.100000005</v>
      </c>
      <c r="E312" s="1">
        <v>15</v>
      </c>
      <c r="F312" s="1">
        <v>1</v>
      </c>
      <c r="G312" s="1">
        <v>125</v>
      </c>
      <c r="H312" s="1">
        <v>48.578367309999997</v>
      </c>
      <c r="I312" s="1">
        <f t="shared" si="57"/>
        <v>3.5000000000000003E-2</v>
      </c>
      <c r="J312" s="1">
        <f t="shared" si="58"/>
        <v>0.100000005</v>
      </c>
      <c r="K312" s="1">
        <f t="shared" si="59"/>
        <v>4.0000000000000002E-4</v>
      </c>
      <c r="L312" s="1">
        <f t="shared" si="60"/>
        <v>0.48644423080405397</v>
      </c>
      <c r="M312" s="1">
        <f t="shared" si="61"/>
        <v>3.4722222222222224E-2</v>
      </c>
      <c r="N312" s="1">
        <v>264</v>
      </c>
      <c r="O312" s="1">
        <v>3.22</v>
      </c>
      <c r="P312" s="1">
        <v>4148</v>
      </c>
      <c r="Q312" s="1">
        <f>[1]!HeatTransferArea(I312,D312,0.36,K312)</f>
        <v>0.92362828633681127</v>
      </c>
      <c r="R312" s="1">
        <f>[1]!Convection(I312,M312,1000,9*10^-4,K312,0.6,0.36,7)</f>
        <v>25517.896048113165</v>
      </c>
      <c r="S312" s="1">
        <f t="shared" si="62"/>
        <v>0.56076290945829188</v>
      </c>
      <c r="T312" s="1">
        <f t="shared" si="63"/>
        <v>1.1763599896480362E-5</v>
      </c>
      <c r="U312" s="1">
        <f t="shared" si="64"/>
        <v>1.4410408432147564E-6</v>
      </c>
      <c r="V312" s="1">
        <f t="shared" si="65"/>
        <v>2.8571430000000002</v>
      </c>
      <c r="W312" s="1">
        <f t="shared" si="66"/>
        <v>183.52917180748824</v>
      </c>
      <c r="X312" s="1">
        <f t="shared" si="67"/>
        <v>4.658385093167702</v>
      </c>
      <c r="Y312" s="1">
        <f t="shared" si="68"/>
        <v>0.11747624564667672</v>
      </c>
      <c r="Z312" s="1">
        <v>48.578367309999997</v>
      </c>
    </row>
    <row r="313" spans="1:26" x14ac:dyDescent="0.25">
      <c r="A313" s="1">
        <f>35</f>
        <v>35</v>
      </c>
      <c r="B313" s="1">
        <v>0.4</v>
      </c>
      <c r="C313" s="1">
        <v>2.8571430000000002</v>
      </c>
      <c r="D313" s="1">
        <f t="shared" si="56"/>
        <v>0.100000005</v>
      </c>
      <c r="E313" s="1">
        <v>15</v>
      </c>
      <c r="F313" s="1">
        <v>1.5</v>
      </c>
      <c r="G313" s="1">
        <v>125</v>
      </c>
      <c r="H313" s="1">
        <v>48.586488269999997</v>
      </c>
      <c r="I313" s="1">
        <f t="shared" si="57"/>
        <v>3.5000000000000003E-2</v>
      </c>
      <c r="J313" s="1">
        <f t="shared" si="58"/>
        <v>0.100000005</v>
      </c>
      <c r="K313" s="1">
        <f t="shared" si="59"/>
        <v>4.0000000000000002E-4</v>
      </c>
      <c r="L313" s="1">
        <f t="shared" si="60"/>
        <v>0.48644423080405397</v>
      </c>
      <c r="M313" s="1">
        <f t="shared" si="61"/>
        <v>3.4722222222222224E-2</v>
      </c>
      <c r="N313" s="1">
        <v>264</v>
      </c>
      <c r="O313" s="1">
        <v>3.22</v>
      </c>
      <c r="P313" s="1">
        <v>4148</v>
      </c>
      <c r="Q313" s="1">
        <f>[1]!HeatTransferArea(I313,D313,0.36,K313)</f>
        <v>0.92362828633681127</v>
      </c>
      <c r="R313" s="1">
        <f>[1]!Convection(I313,M313,1000,9*10^-4,K313,0.6,0.36,7)</f>
        <v>25517.896048113165</v>
      </c>
      <c r="S313" s="1">
        <f t="shared" si="62"/>
        <v>0.37384193963886125</v>
      </c>
      <c r="T313" s="1">
        <f t="shared" si="63"/>
        <v>1.764539984472054E-5</v>
      </c>
      <c r="U313" s="1">
        <f t="shared" si="64"/>
        <v>2.1615612648221343E-6</v>
      </c>
      <c r="V313" s="1">
        <f t="shared" si="65"/>
        <v>2.8571430000000002</v>
      </c>
      <c r="W313" s="1">
        <f t="shared" si="66"/>
        <v>122.35278120499216</v>
      </c>
      <c r="X313" s="1">
        <f t="shared" si="67"/>
        <v>4.658385093167702</v>
      </c>
      <c r="Y313" s="1">
        <f t="shared" si="68"/>
        <v>7.8330589618106794E-2</v>
      </c>
      <c r="Z313" s="1">
        <v>48.586488269999997</v>
      </c>
    </row>
    <row r="314" spans="1:26" x14ac:dyDescent="0.25">
      <c r="A314" s="1">
        <f>35</f>
        <v>35</v>
      </c>
      <c r="B314" s="1">
        <v>0.4</v>
      </c>
      <c r="C314" s="1">
        <v>3.5714290000000002</v>
      </c>
      <c r="D314" s="1">
        <f t="shared" si="56"/>
        <v>0.12500001499999999</v>
      </c>
      <c r="E314" s="1">
        <v>15</v>
      </c>
      <c r="F314" s="1">
        <v>0.5</v>
      </c>
      <c r="G314" s="1">
        <v>125</v>
      </c>
      <c r="H314" s="1">
        <v>47.523776239999997</v>
      </c>
      <c r="I314" s="1">
        <f t="shared" si="57"/>
        <v>3.5000000000000003E-2</v>
      </c>
      <c r="J314" s="1">
        <f t="shared" si="58"/>
        <v>0.12500001499999999</v>
      </c>
      <c r="K314" s="1">
        <f t="shared" si="59"/>
        <v>4.0000000000000002E-4</v>
      </c>
      <c r="L314" s="1">
        <f t="shared" si="60"/>
        <v>0.6080553310689355</v>
      </c>
      <c r="M314" s="1">
        <f t="shared" si="61"/>
        <v>3.4722222222222224E-2</v>
      </c>
      <c r="N314" s="1">
        <v>264</v>
      </c>
      <c r="O314" s="1">
        <v>3.22</v>
      </c>
      <c r="P314" s="1">
        <v>4148</v>
      </c>
      <c r="Q314" s="1">
        <f>[1]!HeatTransferArea(I314,D314,0.36,K314)</f>
        <v>1.154535438738485</v>
      </c>
      <c r="R314" s="1">
        <f>[1]!Convection(I314,M314,1000,9*10^-4,K314,0.6,0.36,7)</f>
        <v>25517.896048113165</v>
      </c>
      <c r="S314" s="1">
        <f t="shared" si="62"/>
        <v>0.89722059232782869</v>
      </c>
      <c r="T314" s="1">
        <f t="shared" si="63"/>
        <v>9.190313705769E-6</v>
      </c>
      <c r="U314" s="1">
        <f t="shared" si="64"/>
        <v>7.205204216073782E-7</v>
      </c>
      <c r="V314" s="1">
        <f t="shared" si="65"/>
        <v>3.5714290000000002</v>
      </c>
      <c r="W314" s="1">
        <f t="shared" si="66"/>
        <v>367.05834361497642</v>
      </c>
      <c r="X314" s="1">
        <f t="shared" si="67"/>
        <v>4.658385093167702</v>
      </c>
      <c r="Y314" s="1">
        <f t="shared" si="68"/>
        <v>0.18388150051060903</v>
      </c>
      <c r="Z314" s="1">
        <v>47.523776239999997</v>
      </c>
    </row>
    <row r="315" spans="1:26" x14ac:dyDescent="0.25">
      <c r="A315" s="1">
        <f>35</f>
        <v>35</v>
      </c>
      <c r="B315" s="1">
        <v>0.4</v>
      </c>
      <c r="C315" s="1">
        <v>3.5714290000000002</v>
      </c>
      <c r="D315" s="1">
        <f t="shared" si="56"/>
        <v>0.12500001499999999</v>
      </c>
      <c r="E315" s="1">
        <v>15</v>
      </c>
      <c r="F315" s="1">
        <v>1</v>
      </c>
      <c r="G315" s="1">
        <v>125</v>
      </c>
      <c r="H315" s="1">
        <v>48.06690794</v>
      </c>
      <c r="I315" s="1">
        <f t="shared" si="57"/>
        <v>3.5000000000000003E-2</v>
      </c>
      <c r="J315" s="1">
        <f t="shared" si="58"/>
        <v>0.12500001499999999</v>
      </c>
      <c r="K315" s="1">
        <f t="shared" si="59"/>
        <v>4.0000000000000002E-4</v>
      </c>
      <c r="L315" s="1">
        <f t="shared" si="60"/>
        <v>0.6080553310689355</v>
      </c>
      <c r="M315" s="1">
        <f t="shared" si="61"/>
        <v>3.4722222222222224E-2</v>
      </c>
      <c r="N315" s="1">
        <v>264</v>
      </c>
      <c r="O315" s="1">
        <v>3.22</v>
      </c>
      <c r="P315" s="1">
        <v>4148</v>
      </c>
      <c r="Q315" s="1">
        <f>[1]!HeatTransferArea(I315,D315,0.36,K315)</f>
        <v>1.154535438738485</v>
      </c>
      <c r="R315" s="1">
        <f>[1]!Convection(I315,M315,1000,9*10^-4,K315,0.6,0.36,7)</f>
        <v>25517.896048113165</v>
      </c>
      <c r="S315" s="1">
        <f t="shared" si="62"/>
        <v>0.44861029616391435</v>
      </c>
      <c r="T315" s="1">
        <f t="shared" si="63"/>
        <v>1.8380627411538E-5</v>
      </c>
      <c r="U315" s="1">
        <f t="shared" si="64"/>
        <v>1.4410408432147564E-6</v>
      </c>
      <c r="V315" s="1">
        <f t="shared" si="65"/>
        <v>3.5714290000000002</v>
      </c>
      <c r="W315" s="1">
        <f t="shared" si="66"/>
        <v>183.52917180748821</v>
      </c>
      <c r="X315" s="1">
        <f t="shared" si="67"/>
        <v>4.658385093167702</v>
      </c>
      <c r="Y315" s="1">
        <f t="shared" si="68"/>
        <v>9.2991507159243661E-2</v>
      </c>
      <c r="Z315" s="1">
        <v>48.06690794</v>
      </c>
    </row>
    <row r="316" spans="1:26" x14ac:dyDescent="0.25">
      <c r="A316" s="1">
        <f>35</f>
        <v>35</v>
      </c>
      <c r="B316" s="1">
        <v>0.4</v>
      </c>
      <c r="C316" s="1">
        <v>3.5714290000000002</v>
      </c>
      <c r="D316" s="1">
        <f t="shared" si="56"/>
        <v>0.12500001499999999</v>
      </c>
      <c r="E316" s="1">
        <v>15</v>
      </c>
      <c r="F316" s="1">
        <v>1.5</v>
      </c>
      <c r="G316" s="1">
        <v>125</v>
      </c>
      <c r="H316" s="1">
        <v>47.98353882</v>
      </c>
      <c r="I316" s="1">
        <f t="shared" si="57"/>
        <v>3.5000000000000003E-2</v>
      </c>
      <c r="J316" s="1">
        <f t="shared" si="58"/>
        <v>0.12500001499999999</v>
      </c>
      <c r="K316" s="1">
        <f t="shared" si="59"/>
        <v>4.0000000000000002E-4</v>
      </c>
      <c r="L316" s="1">
        <f t="shared" si="60"/>
        <v>0.6080553310689355</v>
      </c>
      <c r="M316" s="1">
        <f t="shared" si="61"/>
        <v>3.4722222222222224E-2</v>
      </c>
      <c r="N316" s="1">
        <v>264</v>
      </c>
      <c r="O316" s="1">
        <v>3.22</v>
      </c>
      <c r="P316" s="1">
        <v>4148</v>
      </c>
      <c r="Q316" s="1">
        <f>[1]!HeatTransferArea(I316,D316,0.36,K316)</f>
        <v>1.154535438738485</v>
      </c>
      <c r="R316" s="1">
        <f>[1]!Convection(I316,M316,1000,9*10^-4,K316,0.6,0.36,7)</f>
        <v>25517.896048113165</v>
      </c>
      <c r="S316" s="1">
        <f t="shared" si="62"/>
        <v>0.2990735307759429</v>
      </c>
      <c r="T316" s="1">
        <f t="shared" si="63"/>
        <v>2.7570941117306998E-5</v>
      </c>
      <c r="U316" s="1">
        <f t="shared" si="64"/>
        <v>2.1615612648221343E-6</v>
      </c>
      <c r="V316" s="1">
        <f t="shared" si="65"/>
        <v>3.5714290000000002</v>
      </c>
      <c r="W316" s="1">
        <f t="shared" si="66"/>
        <v>122.35278120499216</v>
      </c>
      <c r="X316" s="1">
        <f t="shared" si="67"/>
        <v>4.658385093167702</v>
      </c>
      <c r="Y316" s="1">
        <f t="shared" si="68"/>
        <v>6.1886812708037302E-2</v>
      </c>
      <c r="Z316" s="1">
        <v>47.98353882</v>
      </c>
    </row>
    <row r="317" spans="1:26" x14ac:dyDescent="0.25">
      <c r="A317" s="1">
        <f>35</f>
        <v>35</v>
      </c>
      <c r="B317" s="1">
        <v>0.5</v>
      </c>
      <c r="C317" s="1">
        <v>2.1428569999999998</v>
      </c>
      <c r="D317" s="1">
        <f t="shared" si="56"/>
        <v>7.4999995E-2</v>
      </c>
      <c r="E317" s="1">
        <v>15</v>
      </c>
      <c r="F317" s="1">
        <v>0.5</v>
      </c>
      <c r="G317" s="1">
        <v>125</v>
      </c>
      <c r="H317" s="1">
        <v>40.37975273</v>
      </c>
      <c r="I317" s="1">
        <f t="shared" si="57"/>
        <v>3.5000000000000003E-2</v>
      </c>
      <c r="J317" s="1">
        <f t="shared" si="58"/>
        <v>7.4999995E-2</v>
      </c>
      <c r="K317" s="1">
        <f t="shared" si="59"/>
        <v>5.0000000000000001E-4</v>
      </c>
      <c r="L317" s="1">
        <f t="shared" si="60"/>
        <v>0.36483313053917238</v>
      </c>
      <c r="M317" s="1">
        <f t="shared" si="61"/>
        <v>3.4722222222222224E-2</v>
      </c>
      <c r="N317" s="1">
        <v>264</v>
      </c>
      <c r="O317" s="1">
        <v>3.22</v>
      </c>
      <c r="P317" s="1">
        <v>4148</v>
      </c>
      <c r="Q317" s="1">
        <f>[1]!HeatTransferArea(I317,D317,0.36,K317)</f>
        <v>0.55417690714810997</v>
      </c>
      <c r="R317" s="1">
        <f>[1]!Convection(I317,M317,1000,9*10^-4,K317,0.6,0.36,7)</f>
        <v>20550.079694253804</v>
      </c>
      <c r="S317" s="1">
        <f t="shared" si="62"/>
        <v>1.4953679330150285</v>
      </c>
      <c r="T317" s="1">
        <f t="shared" si="63"/>
        <v>3.3085116988989417E-6</v>
      </c>
      <c r="U317" s="1">
        <f t="shared" si="64"/>
        <v>7.205204216073782E-7</v>
      </c>
      <c r="V317" s="1">
        <f t="shared" si="65"/>
        <v>2.1428569999999998</v>
      </c>
      <c r="W317" s="1">
        <f t="shared" si="66"/>
        <v>236.47962824227622</v>
      </c>
      <c r="X317" s="1">
        <f t="shared" si="67"/>
        <v>4.658385093167702</v>
      </c>
      <c r="Y317" s="1">
        <f t="shared" si="68"/>
        <v>0.26039916212182179</v>
      </c>
      <c r="Z317" s="1">
        <v>40.37975273</v>
      </c>
    </row>
    <row r="318" spans="1:26" x14ac:dyDescent="0.25">
      <c r="A318" s="1">
        <f>35</f>
        <v>35</v>
      </c>
      <c r="B318" s="1">
        <v>0.5</v>
      </c>
      <c r="C318" s="1">
        <v>2.1428569999999998</v>
      </c>
      <c r="D318" s="1">
        <f t="shared" si="56"/>
        <v>7.4999995E-2</v>
      </c>
      <c r="E318" s="1">
        <v>15</v>
      </c>
      <c r="F318" s="1">
        <v>1</v>
      </c>
      <c r="G318" s="1">
        <v>125</v>
      </c>
      <c r="H318" s="1">
        <v>47.999910180000001</v>
      </c>
      <c r="I318" s="1">
        <f t="shared" si="57"/>
        <v>3.5000000000000003E-2</v>
      </c>
      <c r="J318" s="1">
        <f t="shared" si="58"/>
        <v>7.4999995E-2</v>
      </c>
      <c r="K318" s="1">
        <f t="shared" si="59"/>
        <v>5.0000000000000001E-4</v>
      </c>
      <c r="L318" s="1">
        <f t="shared" si="60"/>
        <v>0.36483313053917238</v>
      </c>
      <c r="M318" s="1">
        <f t="shared" si="61"/>
        <v>3.4722222222222224E-2</v>
      </c>
      <c r="N318" s="1">
        <v>264</v>
      </c>
      <c r="O318" s="1">
        <v>3.22</v>
      </c>
      <c r="P318" s="1">
        <v>4148</v>
      </c>
      <c r="Q318" s="1">
        <f>[1]!HeatTransferArea(I318,D318,0.36,K318)</f>
        <v>0.55417690714810997</v>
      </c>
      <c r="R318" s="1">
        <f>[1]!Convection(I318,M318,1000,9*10^-4,K318,0.6,0.36,7)</f>
        <v>20550.079694253804</v>
      </c>
      <c r="S318" s="1">
        <f t="shared" si="62"/>
        <v>0.74768396650751423</v>
      </c>
      <c r="T318" s="1">
        <f t="shared" si="63"/>
        <v>6.6170233977978834E-6</v>
      </c>
      <c r="U318" s="1">
        <f t="shared" si="64"/>
        <v>1.4410408432147564E-6</v>
      </c>
      <c r="V318" s="1">
        <f t="shared" si="65"/>
        <v>2.1428569999999998</v>
      </c>
      <c r="W318" s="1">
        <f t="shared" si="66"/>
        <v>118.23981412113811</v>
      </c>
      <c r="X318" s="1">
        <f t="shared" si="67"/>
        <v>4.658385093167702</v>
      </c>
      <c r="Y318" s="1">
        <f t="shared" si="68"/>
        <v>0.15476984810147826</v>
      </c>
      <c r="Z318" s="1">
        <v>47.999910180000001</v>
      </c>
    </row>
    <row r="319" spans="1:26" x14ac:dyDescent="0.25">
      <c r="A319" s="1">
        <f>35</f>
        <v>35</v>
      </c>
      <c r="B319" s="1">
        <v>0.5</v>
      </c>
      <c r="C319" s="1">
        <v>2.1428569999999998</v>
      </c>
      <c r="D319" s="1">
        <f t="shared" si="56"/>
        <v>7.4999995E-2</v>
      </c>
      <c r="E319" s="1">
        <v>15</v>
      </c>
      <c r="F319" s="1">
        <v>1.5</v>
      </c>
      <c r="G319" s="1">
        <v>125</v>
      </c>
      <c r="H319" s="1">
        <v>48.53325735</v>
      </c>
      <c r="I319" s="1">
        <f t="shared" si="57"/>
        <v>3.5000000000000003E-2</v>
      </c>
      <c r="J319" s="1">
        <f t="shared" si="58"/>
        <v>7.4999995E-2</v>
      </c>
      <c r="K319" s="1">
        <f t="shared" si="59"/>
        <v>5.0000000000000001E-4</v>
      </c>
      <c r="L319" s="1">
        <f t="shared" si="60"/>
        <v>0.36483313053917238</v>
      </c>
      <c r="M319" s="1">
        <f t="shared" si="61"/>
        <v>3.4722222222222224E-2</v>
      </c>
      <c r="N319" s="1">
        <v>264</v>
      </c>
      <c r="O319" s="1">
        <v>3.22</v>
      </c>
      <c r="P319" s="1">
        <v>4148</v>
      </c>
      <c r="Q319" s="1">
        <f>[1]!HeatTransferArea(I319,D319,0.36,K319)</f>
        <v>0.55417690714810997</v>
      </c>
      <c r="R319" s="1">
        <f>[1]!Convection(I319,M319,1000,9*10^-4,K319,0.6,0.36,7)</f>
        <v>20550.079694253804</v>
      </c>
      <c r="S319" s="1">
        <f t="shared" si="62"/>
        <v>0.49845597767167615</v>
      </c>
      <c r="T319" s="1">
        <f t="shared" si="63"/>
        <v>9.9255350966968247E-6</v>
      </c>
      <c r="U319" s="1">
        <f t="shared" si="64"/>
        <v>2.1615612648221343E-6</v>
      </c>
      <c r="V319" s="1">
        <f t="shared" si="65"/>
        <v>2.1428569999999998</v>
      </c>
      <c r="W319" s="1">
        <f t="shared" si="66"/>
        <v>78.826542747425407</v>
      </c>
      <c r="X319" s="1">
        <f t="shared" si="67"/>
        <v>4.658385093167702</v>
      </c>
      <c r="Y319" s="1">
        <f t="shared" si="68"/>
        <v>0.10432637394196963</v>
      </c>
      <c r="Z319" s="1">
        <v>48.53325735</v>
      </c>
    </row>
    <row r="320" spans="1:26" x14ac:dyDescent="0.25">
      <c r="A320" s="1">
        <f>35</f>
        <v>35</v>
      </c>
      <c r="B320" s="1">
        <v>0.5</v>
      </c>
      <c r="C320" s="1">
        <v>2.8571430000000002</v>
      </c>
      <c r="D320" s="1">
        <f t="shared" si="56"/>
        <v>0.100000005</v>
      </c>
      <c r="E320" s="1">
        <v>15</v>
      </c>
      <c r="F320" s="1">
        <v>0.5</v>
      </c>
      <c r="G320" s="1">
        <v>125</v>
      </c>
      <c r="H320" s="1">
        <v>46.130781480000003</v>
      </c>
      <c r="I320" s="1">
        <f t="shared" si="57"/>
        <v>3.5000000000000003E-2</v>
      </c>
      <c r="J320" s="1">
        <f t="shared" si="58"/>
        <v>0.100000005</v>
      </c>
      <c r="K320" s="1">
        <f t="shared" si="59"/>
        <v>5.0000000000000001E-4</v>
      </c>
      <c r="L320" s="1">
        <f t="shared" si="60"/>
        <v>0.48644423080405397</v>
      </c>
      <c r="M320" s="1">
        <f t="shared" si="61"/>
        <v>3.4722222222222224E-2</v>
      </c>
      <c r="N320" s="1">
        <v>264</v>
      </c>
      <c r="O320" s="1">
        <v>3.22</v>
      </c>
      <c r="P320" s="1">
        <v>4148</v>
      </c>
      <c r="Q320" s="1">
        <f>[1]!HeatTransferArea(I320,D320,0.36,K320)</f>
        <v>0.73890262906944904</v>
      </c>
      <c r="R320" s="1">
        <f>[1]!Convection(I320,M320,1000,9*10^-4,K320,0.6,0.36,7)</f>
        <v>20550.079694253804</v>
      </c>
      <c r="S320" s="1">
        <f t="shared" si="62"/>
        <v>1.1215258189165838</v>
      </c>
      <c r="T320" s="1">
        <f t="shared" si="63"/>
        <v>5.8817999482401808E-6</v>
      </c>
      <c r="U320" s="1">
        <f t="shared" si="64"/>
        <v>7.205204216073782E-7</v>
      </c>
      <c r="V320" s="1">
        <f t="shared" si="65"/>
        <v>2.8571430000000002</v>
      </c>
      <c r="W320" s="1">
        <f t="shared" si="66"/>
        <v>236.47962824227622</v>
      </c>
      <c r="X320" s="1">
        <f t="shared" si="67"/>
        <v>4.658385093167702</v>
      </c>
      <c r="Y320" s="1">
        <f t="shared" si="68"/>
        <v>0.22311458030011119</v>
      </c>
      <c r="Z320" s="1">
        <v>46.130781480000003</v>
      </c>
    </row>
    <row r="321" spans="1:26" x14ac:dyDescent="0.25">
      <c r="A321" s="1">
        <f>35</f>
        <v>35</v>
      </c>
      <c r="B321" s="1">
        <v>0.5</v>
      </c>
      <c r="C321" s="1">
        <v>2.8571430000000002</v>
      </c>
      <c r="D321" s="1">
        <f t="shared" si="56"/>
        <v>0.100000005</v>
      </c>
      <c r="E321" s="1">
        <v>15</v>
      </c>
      <c r="F321" s="1">
        <v>1</v>
      </c>
      <c r="G321" s="1">
        <v>125</v>
      </c>
      <c r="H321" s="1">
        <v>48.188271389999997</v>
      </c>
      <c r="I321" s="1">
        <f t="shared" si="57"/>
        <v>3.5000000000000003E-2</v>
      </c>
      <c r="J321" s="1">
        <f t="shared" si="58"/>
        <v>0.100000005</v>
      </c>
      <c r="K321" s="1">
        <f t="shared" si="59"/>
        <v>5.0000000000000001E-4</v>
      </c>
      <c r="L321" s="1">
        <f t="shared" si="60"/>
        <v>0.48644423080405397</v>
      </c>
      <c r="M321" s="1">
        <f t="shared" si="61"/>
        <v>3.4722222222222224E-2</v>
      </c>
      <c r="N321" s="1">
        <v>264</v>
      </c>
      <c r="O321" s="1">
        <v>3.22</v>
      </c>
      <c r="P321" s="1">
        <v>4148</v>
      </c>
      <c r="Q321" s="1">
        <f>[1]!HeatTransferArea(I321,D321,0.36,K321)</f>
        <v>0.73890262906944904</v>
      </c>
      <c r="R321" s="1">
        <f>[1]!Convection(I321,M321,1000,9*10^-4,K321,0.6,0.36,7)</f>
        <v>20550.079694253804</v>
      </c>
      <c r="S321" s="1">
        <f t="shared" si="62"/>
        <v>0.56076290945829188</v>
      </c>
      <c r="T321" s="1">
        <f t="shared" si="63"/>
        <v>1.1763599896480362E-5</v>
      </c>
      <c r="U321" s="1">
        <f t="shared" si="64"/>
        <v>1.4410408432147564E-6</v>
      </c>
      <c r="V321" s="1">
        <f t="shared" si="65"/>
        <v>2.8571430000000002</v>
      </c>
      <c r="W321" s="1">
        <f t="shared" si="66"/>
        <v>118.23981412113811</v>
      </c>
      <c r="X321" s="1">
        <f t="shared" si="67"/>
        <v>4.658385093167702</v>
      </c>
      <c r="Y321" s="1">
        <f t="shared" si="68"/>
        <v>0.11653288326829039</v>
      </c>
      <c r="Z321" s="1">
        <v>48.188271389999997</v>
      </c>
    </row>
    <row r="322" spans="1:26" x14ac:dyDescent="0.25">
      <c r="A322" s="1">
        <f>35</f>
        <v>35</v>
      </c>
      <c r="B322" s="1">
        <v>0.5</v>
      </c>
      <c r="C322" s="1">
        <v>2.8571430000000002</v>
      </c>
      <c r="D322" s="1">
        <f t="shared" ref="D322:D385" si="69">C322*A322/1000</f>
        <v>0.100000005</v>
      </c>
      <c r="E322" s="1">
        <v>15</v>
      </c>
      <c r="F322" s="1">
        <v>1.5</v>
      </c>
      <c r="G322" s="1">
        <v>125</v>
      </c>
      <c r="H322" s="1">
        <v>48.159225159999998</v>
      </c>
      <c r="I322" s="1">
        <f t="shared" ref="I322:I385" si="70">A322/1000</f>
        <v>3.5000000000000003E-2</v>
      </c>
      <c r="J322" s="1">
        <f t="shared" ref="J322:J385" si="71">D322</f>
        <v>0.100000005</v>
      </c>
      <c r="K322" s="1">
        <f t="shared" ref="K322:K385" si="72">B322/1000</f>
        <v>5.0000000000000001E-4</v>
      </c>
      <c r="L322" s="1">
        <f t="shared" ref="L322:L385" si="73">PI()*I322^2*J322/4*(1-0.36)*7900</f>
        <v>0.48644423080405397</v>
      </c>
      <c r="M322" s="1">
        <f t="shared" ref="M322:M385" si="74">G322/3600</f>
        <v>3.4722222222222224E-2</v>
      </c>
      <c r="N322" s="1">
        <v>264</v>
      </c>
      <c r="O322" s="1">
        <v>3.22</v>
      </c>
      <c r="P322" s="1">
        <v>4148</v>
      </c>
      <c r="Q322" s="1">
        <f>[1]!HeatTransferArea(I322,D322,0.36,K322)</f>
        <v>0.73890262906944904</v>
      </c>
      <c r="R322" s="1">
        <f>[1]!Convection(I322,M322,1000,9*10^-4,K322,0.6,0.36,7)</f>
        <v>20550.079694253804</v>
      </c>
      <c r="S322" s="1">
        <f t="shared" ref="S322:S385" si="75">M322*P322/(2*F322*L322*N322)</f>
        <v>0.37384193963886125</v>
      </c>
      <c r="T322" s="1">
        <f t="shared" ref="T322:T385" si="76">J322^2*F322/(N322*O322)</f>
        <v>1.764539984472054E-5</v>
      </c>
      <c r="U322" s="1">
        <f t="shared" ref="U322:U385" si="77">I322^2*F322/(N322*O322)</f>
        <v>2.1615612648221343E-6</v>
      </c>
      <c r="V322" s="1">
        <f t="shared" ref="V322:V385" si="78">C322</f>
        <v>2.8571430000000002</v>
      </c>
      <c r="W322" s="1">
        <f t="shared" ref="W322:W385" si="79">R322*Q322/(F322*L322*N322)</f>
        <v>78.826542747425407</v>
      </c>
      <c r="X322" s="1">
        <f t="shared" ref="X322:X385" si="80">E322/O322</f>
        <v>4.658385093167702</v>
      </c>
      <c r="Y322" s="1">
        <f t="shared" ref="Y322:Y385" si="81">H322/(L322*F322*N322*O322)</f>
        <v>7.7641760840394314E-2</v>
      </c>
      <c r="Z322" s="1">
        <v>48.159225159999998</v>
      </c>
    </row>
    <row r="323" spans="1:26" x14ac:dyDescent="0.25">
      <c r="A323" s="1">
        <f>35</f>
        <v>35</v>
      </c>
      <c r="B323" s="1">
        <v>0.5</v>
      </c>
      <c r="C323" s="1">
        <v>3.5714290000000002</v>
      </c>
      <c r="D323" s="1">
        <f t="shared" si="69"/>
        <v>0.12500001499999999</v>
      </c>
      <c r="E323" s="1">
        <v>15</v>
      </c>
      <c r="F323" s="1">
        <v>0.5</v>
      </c>
      <c r="G323" s="1">
        <v>125</v>
      </c>
      <c r="H323" s="1">
        <v>47.197862559999997</v>
      </c>
      <c r="I323" s="1">
        <f t="shared" si="70"/>
        <v>3.5000000000000003E-2</v>
      </c>
      <c r="J323" s="1">
        <f t="shared" si="71"/>
        <v>0.12500001499999999</v>
      </c>
      <c r="K323" s="1">
        <f t="shared" si="72"/>
        <v>5.0000000000000001E-4</v>
      </c>
      <c r="L323" s="1">
        <f t="shared" si="73"/>
        <v>0.6080553310689355</v>
      </c>
      <c r="M323" s="1">
        <f t="shared" si="74"/>
        <v>3.4722222222222224E-2</v>
      </c>
      <c r="N323" s="1">
        <v>264</v>
      </c>
      <c r="O323" s="1">
        <v>3.22</v>
      </c>
      <c r="P323" s="1">
        <v>4148</v>
      </c>
      <c r="Q323" s="1">
        <f>[1]!HeatTransferArea(I323,D323,0.36,K323)</f>
        <v>0.92362835099078811</v>
      </c>
      <c r="R323" s="1">
        <f>[1]!Convection(I323,M323,1000,9*10^-4,K323,0.6,0.36,7)</f>
        <v>20550.079694253804</v>
      </c>
      <c r="S323" s="1">
        <f t="shared" si="75"/>
        <v>0.89722059232782869</v>
      </c>
      <c r="T323" s="1">
        <f t="shared" si="76"/>
        <v>9.190313705769E-6</v>
      </c>
      <c r="U323" s="1">
        <f t="shared" si="77"/>
        <v>7.205204216073782E-7</v>
      </c>
      <c r="V323" s="1">
        <f t="shared" si="78"/>
        <v>3.5714290000000002</v>
      </c>
      <c r="W323" s="1">
        <f t="shared" si="79"/>
        <v>236.47962824227619</v>
      </c>
      <c r="X323" s="1">
        <f t="shared" si="80"/>
        <v>4.658385093167702</v>
      </c>
      <c r="Y323" s="1">
        <f t="shared" si="81"/>
        <v>0.18262045811758276</v>
      </c>
      <c r="Z323" s="1">
        <v>47.197862559999997</v>
      </c>
    </row>
    <row r="324" spans="1:26" x14ac:dyDescent="0.25">
      <c r="A324" s="1">
        <f>35</f>
        <v>35</v>
      </c>
      <c r="B324" s="1">
        <v>0.5</v>
      </c>
      <c r="C324" s="1">
        <v>3.5714290000000002</v>
      </c>
      <c r="D324" s="1">
        <f t="shared" si="69"/>
        <v>0.12500001499999999</v>
      </c>
      <c r="E324" s="1">
        <v>15</v>
      </c>
      <c r="F324" s="1">
        <v>1</v>
      </c>
      <c r="G324" s="1">
        <v>125</v>
      </c>
      <c r="H324" s="1">
        <v>47.874445540000004</v>
      </c>
      <c r="I324" s="1">
        <f t="shared" si="70"/>
        <v>3.5000000000000003E-2</v>
      </c>
      <c r="J324" s="1">
        <f t="shared" si="71"/>
        <v>0.12500001499999999</v>
      </c>
      <c r="K324" s="1">
        <f t="shared" si="72"/>
        <v>5.0000000000000001E-4</v>
      </c>
      <c r="L324" s="1">
        <f t="shared" si="73"/>
        <v>0.6080553310689355</v>
      </c>
      <c r="M324" s="1">
        <f t="shared" si="74"/>
        <v>3.4722222222222224E-2</v>
      </c>
      <c r="N324" s="1">
        <v>264</v>
      </c>
      <c r="O324" s="1">
        <v>3.22</v>
      </c>
      <c r="P324" s="1">
        <v>4148</v>
      </c>
      <c r="Q324" s="1">
        <f>[1]!HeatTransferArea(I324,D324,0.36,K324)</f>
        <v>0.92362835099078811</v>
      </c>
      <c r="R324" s="1">
        <f>[1]!Convection(I324,M324,1000,9*10^-4,K324,0.6,0.36,7)</f>
        <v>20550.079694253804</v>
      </c>
      <c r="S324" s="1">
        <f t="shared" si="75"/>
        <v>0.44861029616391435</v>
      </c>
      <c r="T324" s="1">
        <f t="shared" si="76"/>
        <v>1.8380627411538E-5</v>
      </c>
      <c r="U324" s="1">
        <f t="shared" si="77"/>
        <v>1.4410408432147564E-6</v>
      </c>
      <c r="V324" s="1">
        <f t="shared" si="78"/>
        <v>3.5714290000000002</v>
      </c>
      <c r="W324" s="1">
        <f t="shared" si="79"/>
        <v>118.2398141211381</v>
      </c>
      <c r="X324" s="1">
        <f t="shared" si="80"/>
        <v>4.658385093167702</v>
      </c>
      <c r="Y324" s="1">
        <f t="shared" si="81"/>
        <v>9.2619164326835438E-2</v>
      </c>
      <c r="Z324" s="1">
        <v>47.874445540000004</v>
      </c>
    </row>
    <row r="325" spans="1:26" x14ac:dyDescent="0.25">
      <c r="A325" s="1">
        <f>35</f>
        <v>35</v>
      </c>
      <c r="B325" s="1">
        <v>0.5</v>
      </c>
      <c r="C325" s="1">
        <v>3.5714290000000002</v>
      </c>
      <c r="D325" s="1">
        <f t="shared" si="69"/>
        <v>0.12500001499999999</v>
      </c>
      <c r="E325" s="1">
        <v>15</v>
      </c>
      <c r="F325" s="1">
        <v>1.5</v>
      </c>
      <c r="G325" s="1">
        <v>125</v>
      </c>
      <c r="H325" s="1">
        <v>47.684476549999999</v>
      </c>
      <c r="I325" s="1">
        <f t="shared" si="70"/>
        <v>3.5000000000000003E-2</v>
      </c>
      <c r="J325" s="1">
        <f t="shared" si="71"/>
        <v>0.12500001499999999</v>
      </c>
      <c r="K325" s="1">
        <f t="shared" si="72"/>
        <v>5.0000000000000001E-4</v>
      </c>
      <c r="L325" s="1">
        <f t="shared" si="73"/>
        <v>0.6080553310689355</v>
      </c>
      <c r="M325" s="1">
        <f t="shared" si="74"/>
        <v>3.4722222222222224E-2</v>
      </c>
      <c r="N325" s="1">
        <v>264</v>
      </c>
      <c r="O325" s="1">
        <v>3.22</v>
      </c>
      <c r="P325" s="1">
        <v>4148</v>
      </c>
      <c r="Q325" s="1">
        <f>[1]!HeatTransferArea(I325,D325,0.36,K325)</f>
        <v>0.92362835099078811</v>
      </c>
      <c r="R325" s="1">
        <f>[1]!Convection(I325,M325,1000,9*10^-4,K325,0.6,0.36,7)</f>
        <v>20550.079694253804</v>
      </c>
      <c r="S325" s="1">
        <f t="shared" si="75"/>
        <v>0.2990735307759429</v>
      </c>
      <c r="T325" s="1">
        <f t="shared" si="76"/>
        <v>2.7570941117306998E-5</v>
      </c>
      <c r="U325" s="1">
        <f t="shared" si="77"/>
        <v>2.1615612648221343E-6</v>
      </c>
      <c r="V325" s="1">
        <f t="shared" si="78"/>
        <v>3.5714290000000002</v>
      </c>
      <c r="W325" s="1">
        <f t="shared" si="79"/>
        <v>78.826542747425407</v>
      </c>
      <c r="X325" s="1">
        <f t="shared" si="80"/>
        <v>4.658385093167702</v>
      </c>
      <c r="Y325" s="1">
        <f t="shared" si="81"/>
        <v>6.1501096874093511E-2</v>
      </c>
      <c r="Z325" s="1">
        <v>47.684476549999999</v>
      </c>
    </row>
    <row r="326" spans="1:26" x14ac:dyDescent="0.25">
      <c r="A326" s="1">
        <v>25</v>
      </c>
      <c r="B326" s="1">
        <v>0.3</v>
      </c>
      <c r="C326" s="1">
        <v>3</v>
      </c>
      <c r="D326" s="1">
        <f t="shared" si="69"/>
        <v>7.4999999999999997E-2</v>
      </c>
      <c r="E326" s="1">
        <v>20</v>
      </c>
      <c r="F326" s="1">
        <v>0.5</v>
      </c>
      <c r="G326" s="1">
        <v>75</v>
      </c>
      <c r="H326" s="1">
        <v>9.7692464300000008</v>
      </c>
      <c r="I326" s="1">
        <f t="shared" si="70"/>
        <v>2.5000000000000001E-2</v>
      </c>
      <c r="J326" s="1">
        <f t="shared" si="71"/>
        <v>7.4999999999999997E-2</v>
      </c>
      <c r="K326" s="1">
        <f t="shared" si="72"/>
        <v>2.9999999999999997E-4</v>
      </c>
      <c r="L326" s="1">
        <f t="shared" si="73"/>
        <v>0.18613936472519524</v>
      </c>
      <c r="M326" s="1">
        <f t="shared" si="74"/>
        <v>2.0833333333333332E-2</v>
      </c>
      <c r="N326" s="1">
        <v>278</v>
      </c>
      <c r="O326" s="1">
        <v>3.0550000000000002</v>
      </c>
      <c r="P326" s="1">
        <v>4148</v>
      </c>
      <c r="Q326" s="1">
        <f>[1]!HeatTransferArea(I326,D326,0.36,K326)</f>
        <v>0.47123889803846908</v>
      </c>
      <c r="R326" s="1">
        <f>[1]!Convection(I326,M326,1000,9*10^-4,K326,0.6,0.36,7)</f>
        <v>33909.243146205263</v>
      </c>
      <c r="S326" s="1">
        <f t="shared" si="75"/>
        <v>1.6699923705217643</v>
      </c>
      <c r="T326" s="1">
        <f t="shared" si="76"/>
        <v>3.3115896807921906E-6</v>
      </c>
      <c r="U326" s="1">
        <f t="shared" si="77"/>
        <v>3.6795440897691016E-7</v>
      </c>
      <c r="V326" s="1">
        <f t="shared" si="78"/>
        <v>3</v>
      </c>
      <c r="W326" s="1">
        <f t="shared" si="79"/>
        <v>617.59845453429148</v>
      </c>
      <c r="X326" s="1">
        <f t="shared" si="80"/>
        <v>6.5466448445171848</v>
      </c>
      <c r="Y326" s="1">
        <f t="shared" si="81"/>
        <v>0.12359383911236071</v>
      </c>
      <c r="Z326" s="1">
        <v>9.7692464300000008</v>
      </c>
    </row>
    <row r="327" spans="1:26" x14ac:dyDescent="0.25">
      <c r="A327" s="1">
        <v>25</v>
      </c>
      <c r="B327" s="1">
        <v>0.3</v>
      </c>
      <c r="C327" s="1">
        <v>3</v>
      </c>
      <c r="D327" s="1">
        <f t="shared" si="69"/>
        <v>7.4999999999999997E-2</v>
      </c>
      <c r="E327" s="1">
        <v>20</v>
      </c>
      <c r="F327" s="1">
        <v>1</v>
      </c>
      <c r="G327" s="1">
        <v>75</v>
      </c>
      <c r="H327" s="1">
        <v>18.095194320000001</v>
      </c>
      <c r="I327" s="1">
        <f t="shared" si="70"/>
        <v>2.5000000000000001E-2</v>
      </c>
      <c r="J327" s="1">
        <f t="shared" si="71"/>
        <v>7.4999999999999997E-2</v>
      </c>
      <c r="K327" s="1">
        <f t="shared" si="72"/>
        <v>2.9999999999999997E-4</v>
      </c>
      <c r="L327" s="1">
        <f t="shared" si="73"/>
        <v>0.18613936472519524</v>
      </c>
      <c r="M327" s="1">
        <f t="shared" si="74"/>
        <v>2.0833333333333332E-2</v>
      </c>
      <c r="N327" s="1">
        <v>278</v>
      </c>
      <c r="O327" s="1">
        <v>3.0550000000000002</v>
      </c>
      <c r="P327" s="1">
        <v>4148</v>
      </c>
      <c r="Q327" s="1">
        <f>[1]!HeatTransferArea(I327,D327,0.36,K327)</f>
        <v>0.47123889803846908</v>
      </c>
      <c r="R327" s="1">
        <f>[1]!Convection(I327,M327,1000,9*10^-4,K327,0.6,0.36,7)</f>
        <v>33909.243146205263</v>
      </c>
      <c r="S327" s="1">
        <f t="shared" si="75"/>
        <v>0.83499618526088215</v>
      </c>
      <c r="T327" s="1">
        <f t="shared" si="76"/>
        <v>6.6231793615843811E-6</v>
      </c>
      <c r="U327" s="1">
        <f t="shared" si="77"/>
        <v>7.3590881795382032E-7</v>
      </c>
      <c r="V327" s="1">
        <f t="shared" si="78"/>
        <v>3</v>
      </c>
      <c r="W327" s="1">
        <f t="shared" si="79"/>
        <v>308.79922726714574</v>
      </c>
      <c r="X327" s="1">
        <f t="shared" si="80"/>
        <v>6.5466448445171848</v>
      </c>
      <c r="Y327" s="1">
        <f t="shared" si="81"/>
        <v>0.11446402501553968</v>
      </c>
      <c r="Z327" s="1">
        <v>18.095194320000001</v>
      </c>
    </row>
    <row r="328" spans="1:26" x14ac:dyDescent="0.25">
      <c r="A328" s="1">
        <v>25</v>
      </c>
      <c r="B328" s="1">
        <v>0.3</v>
      </c>
      <c r="C328" s="1">
        <v>3</v>
      </c>
      <c r="D328" s="1">
        <f t="shared" si="69"/>
        <v>7.4999999999999997E-2</v>
      </c>
      <c r="E328" s="1">
        <v>20</v>
      </c>
      <c r="F328" s="1">
        <v>1.5</v>
      </c>
      <c r="G328" s="1">
        <v>75</v>
      </c>
      <c r="H328" s="1">
        <v>18.778308859999999</v>
      </c>
      <c r="I328" s="1">
        <f t="shared" si="70"/>
        <v>2.5000000000000001E-2</v>
      </c>
      <c r="J328" s="1">
        <f t="shared" si="71"/>
        <v>7.4999999999999997E-2</v>
      </c>
      <c r="K328" s="1">
        <f t="shared" si="72"/>
        <v>2.9999999999999997E-4</v>
      </c>
      <c r="L328" s="1">
        <f t="shared" si="73"/>
        <v>0.18613936472519524</v>
      </c>
      <c r="M328" s="1">
        <f t="shared" si="74"/>
        <v>2.0833333333333332E-2</v>
      </c>
      <c r="N328" s="1">
        <v>278</v>
      </c>
      <c r="O328" s="1">
        <v>3.0550000000000002</v>
      </c>
      <c r="P328" s="1">
        <v>4148</v>
      </c>
      <c r="Q328" s="1">
        <f>[1]!HeatTransferArea(I328,D328,0.36,K328)</f>
        <v>0.47123889803846908</v>
      </c>
      <c r="R328" s="1">
        <f>[1]!Convection(I328,M328,1000,9*10^-4,K328,0.6,0.36,7)</f>
        <v>33909.243146205263</v>
      </c>
      <c r="S328" s="1">
        <f t="shared" si="75"/>
        <v>0.5566641235072548</v>
      </c>
      <c r="T328" s="1">
        <f t="shared" si="76"/>
        <v>9.9347690423765725E-6</v>
      </c>
      <c r="U328" s="1">
        <f t="shared" si="77"/>
        <v>1.1038632269307305E-6</v>
      </c>
      <c r="V328" s="1">
        <f t="shared" si="78"/>
        <v>3</v>
      </c>
      <c r="W328" s="1">
        <f t="shared" si="79"/>
        <v>205.86615151143047</v>
      </c>
      <c r="X328" s="1">
        <f t="shared" si="80"/>
        <v>6.5466448445171848</v>
      </c>
      <c r="Y328" s="1">
        <f t="shared" si="81"/>
        <v>7.9190116340258243E-2</v>
      </c>
      <c r="Z328" s="1">
        <v>18.778308859999999</v>
      </c>
    </row>
    <row r="329" spans="1:26" x14ac:dyDescent="0.25">
      <c r="A329" s="1">
        <v>25</v>
      </c>
      <c r="B329" s="1">
        <v>0.3</v>
      </c>
      <c r="C329" s="1">
        <v>4</v>
      </c>
      <c r="D329" s="1">
        <f t="shared" si="69"/>
        <v>0.1</v>
      </c>
      <c r="E329" s="1">
        <v>20</v>
      </c>
      <c r="F329" s="1">
        <v>0.5</v>
      </c>
      <c r="G329" s="1">
        <v>75</v>
      </c>
      <c r="H329" s="1">
        <v>15.833522049999999</v>
      </c>
      <c r="I329" s="1">
        <f t="shared" si="70"/>
        <v>2.5000000000000001E-2</v>
      </c>
      <c r="J329" s="1">
        <f t="shared" si="71"/>
        <v>0.1</v>
      </c>
      <c r="K329" s="1">
        <f t="shared" si="72"/>
        <v>2.9999999999999997E-4</v>
      </c>
      <c r="L329" s="1">
        <f t="shared" si="73"/>
        <v>0.24818581963359368</v>
      </c>
      <c r="M329" s="1">
        <f t="shared" si="74"/>
        <v>2.0833333333333332E-2</v>
      </c>
      <c r="N329" s="1">
        <v>278</v>
      </c>
      <c r="O329" s="1">
        <v>3.0550000000000002</v>
      </c>
      <c r="P329" s="1">
        <v>4148</v>
      </c>
      <c r="Q329" s="1">
        <f>[1]!HeatTransferArea(I329,D329,0.36,K329)</f>
        <v>0.62831853071795885</v>
      </c>
      <c r="R329" s="1">
        <f>[1]!Convection(I329,M329,1000,9*10^-4,K329,0.6,0.36,7)</f>
        <v>33909.243146205263</v>
      </c>
      <c r="S329" s="1">
        <f t="shared" si="75"/>
        <v>1.2524942778913233</v>
      </c>
      <c r="T329" s="1">
        <f t="shared" si="76"/>
        <v>5.8872705436305626E-6</v>
      </c>
      <c r="U329" s="1">
        <f t="shared" si="77"/>
        <v>3.6795440897691016E-7</v>
      </c>
      <c r="V329" s="1">
        <f t="shared" si="78"/>
        <v>4</v>
      </c>
      <c r="W329" s="1">
        <f t="shared" si="79"/>
        <v>617.59845453429148</v>
      </c>
      <c r="X329" s="1">
        <f t="shared" si="80"/>
        <v>6.5466448445171848</v>
      </c>
      <c r="Y329" s="1">
        <f t="shared" si="81"/>
        <v>0.1502361869094837</v>
      </c>
      <c r="Z329" s="1">
        <v>15.833522049999999</v>
      </c>
    </row>
    <row r="330" spans="1:26" x14ac:dyDescent="0.25">
      <c r="A330" s="1">
        <v>25</v>
      </c>
      <c r="B330" s="1">
        <v>0.3</v>
      </c>
      <c r="C330" s="1">
        <v>4</v>
      </c>
      <c r="D330" s="1">
        <f t="shared" si="69"/>
        <v>0.1</v>
      </c>
      <c r="E330" s="1">
        <v>20</v>
      </c>
      <c r="F330" s="1">
        <v>1</v>
      </c>
      <c r="G330" s="1">
        <v>75</v>
      </c>
      <c r="H330" s="1">
        <v>18.262672760000001</v>
      </c>
      <c r="I330" s="1">
        <f t="shared" si="70"/>
        <v>2.5000000000000001E-2</v>
      </c>
      <c r="J330" s="1">
        <f t="shared" si="71"/>
        <v>0.1</v>
      </c>
      <c r="K330" s="1">
        <f t="shared" si="72"/>
        <v>2.9999999999999997E-4</v>
      </c>
      <c r="L330" s="1">
        <f t="shared" si="73"/>
        <v>0.24818581963359368</v>
      </c>
      <c r="M330" s="1">
        <f t="shared" si="74"/>
        <v>2.0833333333333332E-2</v>
      </c>
      <c r="N330" s="1">
        <v>278</v>
      </c>
      <c r="O330" s="1">
        <v>3.0550000000000002</v>
      </c>
      <c r="P330" s="1">
        <v>4148</v>
      </c>
      <c r="Q330" s="1">
        <f>[1]!HeatTransferArea(I330,D330,0.36,K330)</f>
        <v>0.62831853071795885</v>
      </c>
      <c r="R330" s="1">
        <f>[1]!Convection(I330,M330,1000,9*10^-4,K330,0.6,0.36,7)</f>
        <v>33909.243146205263</v>
      </c>
      <c r="S330" s="1">
        <f t="shared" si="75"/>
        <v>0.62624713894566164</v>
      </c>
      <c r="T330" s="1">
        <f t="shared" si="76"/>
        <v>1.1774541087261125E-5</v>
      </c>
      <c r="U330" s="1">
        <f t="shared" si="77"/>
        <v>7.3590881795382032E-7</v>
      </c>
      <c r="V330" s="1">
        <f t="shared" si="78"/>
        <v>4</v>
      </c>
      <c r="W330" s="1">
        <f t="shared" si="79"/>
        <v>308.79922726714574</v>
      </c>
      <c r="X330" s="1">
        <f t="shared" si="80"/>
        <v>6.5466448445171848</v>
      </c>
      <c r="Y330" s="1">
        <f t="shared" si="81"/>
        <v>8.6642577361304679E-2</v>
      </c>
      <c r="Z330" s="1">
        <v>18.262672760000001</v>
      </c>
    </row>
    <row r="331" spans="1:26" x14ac:dyDescent="0.25">
      <c r="A331" s="1">
        <v>25</v>
      </c>
      <c r="B331" s="1">
        <v>0.3</v>
      </c>
      <c r="C331" s="1">
        <v>4</v>
      </c>
      <c r="D331" s="1">
        <f t="shared" si="69"/>
        <v>0.1</v>
      </c>
      <c r="E331" s="1">
        <v>20</v>
      </c>
      <c r="F331" s="1">
        <v>1.5</v>
      </c>
      <c r="G331" s="1">
        <v>75</v>
      </c>
      <c r="H331" s="1">
        <v>18.57920571</v>
      </c>
      <c r="I331" s="1">
        <f t="shared" si="70"/>
        <v>2.5000000000000001E-2</v>
      </c>
      <c r="J331" s="1">
        <f t="shared" si="71"/>
        <v>0.1</v>
      </c>
      <c r="K331" s="1">
        <f t="shared" si="72"/>
        <v>2.9999999999999997E-4</v>
      </c>
      <c r="L331" s="1">
        <f t="shared" si="73"/>
        <v>0.24818581963359368</v>
      </c>
      <c r="M331" s="1">
        <f t="shared" si="74"/>
        <v>2.0833333333333332E-2</v>
      </c>
      <c r="N331" s="1">
        <v>278</v>
      </c>
      <c r="O331" s="1">
        <v>3.0550000000000002</v>
      </c>
      <c r="P331" s="1">
        <v>4148</v>
      </c>
      <c r="Q331" s="1">
        <f>[1]!HeatTransferArea(I331,D331,0.36,K331)</f>
        <v>0.62831853071795885</v>
      </c>
      <c r="R331" s="1">
        <f>[1]!Convection(I331,M331,1000,9*10^-4,K331,0.6,0.36,7)</f>
        <v>33909.243146205263</v>
      </c>
      <c r="S331" s="1">
        <f t="shared" si="75"/>
        <v>0.41749809263044102</v>
      </c>
      <c r="T331" s="1">
        <f t="shared" si="76"/>
        <v>1.7661811630891689E-5</v>
      </c>
      <c r="U331" s="1">
        <f t="shared" si="77"/>
        <v>1.1038632269307305E-6</v>
      </c>
      <c r="V331" s="1">
        <f t="shared" si="78"/>
        <v>4</v>
      </c>
      <c r="W331" s="1">
        <f t="shared" si="79"/>
        <v>205.86615151143047</v>
      </c>
      <c r="X331" s="1">
        <f t="shared" si="80"/>
        <v>6.5466448445171848</v>
      </c>
      <c r="Y331" s="1">
        <f t="shared" si="81"/>
        <v>5.8762857959689961E-2</v>
      </c>
      <c r="Z331" s="1">
        <v>18.57920571</v>
      </c>
    </row>
    <row r="332" spans="1:26" x14ac:dyDescent="0.25">
      <c r="A332" s="1">
        <v>25</v>
      </c>
      <c r="B332" s="1">
        <v>0.3</v>
      </c>
      <c r="C332" s="1">
        <v>5</v>
      </c>
      <c r="D332" s="1">
        <f t="shared" si="69"/>
        <v>0.125</v>
      </c>
      <c r="E332" s="1">
        <v>20</v>
      </c>
      <c r="F332" s="1">
        <v>0.5</v>
      </c>
      <c r="G332" s="1">
        <v>75</v>
      </c>
      <c r="H332" s="1">
        <v>16.951657539999999</v>
      </c>
      <c r="I332" s="1">
        <f t="shared" si="70"/>
        <v>2.5000000000000001E-2</v>
      </c>
      <c r="J332" s="1">
        <f t="shared" si="71"/>
        <v>0.125</v>
      </c>
      <c r="K332" s="1">
        <f t="shared" si="72"/>
        <v>2.9999999999999997E-4</v>
      </c>
      <c r="L332" s="1">
        <f t="shared" si="73"/>
        <v>0.31023227454199215</v>
      </c>
      <c r="M332" s="1">
        <f t="shared" si="74"/>
        <v>2.0833333333333332E-2</v>
      </c>
      <c r="N332" s="1">
        <v>278</v>
      </c>
      <c r="O332" s="1">
        <v>3.0550000000000002</v>
      </c>
      <c r="P332" s="1">
        <v>4148</v>
      </c>
      <c r="Q332" s="1">
        <f>[1]!HeatTransferArea(I332,D332,0.36,K332)</f>
        <v>0.7853981633974485</v>
      </c>
      <c r="R332" s="1">
        <f>[1]!Convection(I332,M332,1000,9*10^-4,K332,0.6,0.36,7)</f>
        <v>33909.243146205263</v>
      </c>
      <c r="S332" s="1">
        <f t="shared" si="75"/>
        <v>1.0019954223130583</v>
      </c>
      <c r="T332" s="1">
        <f t="shared" si="76"/>
        <v>9.1988602244227514E-6</v>
      </c>
      <c r="U332" s="1">
        <f t="shared" si="77"/>
        <v>3.6795440897691016E-7</v>
      </c>
      <c r="V332" s="1">
        <f t="shared" si="78"/>
        <v>5</v>
      </c>
      <c r="W332" s="1">
        <f t="shared" si="79"/>
        <v>617.59845453429125</v>
      </c>
      <c r="X332" s="1">
        <f t="shared" si="80"/>
        <v>6.5466448445171848</v>
      </c>
      <c r="Y332" s="1">
        <f t="shared" si="81"/>
        <v>0.1286764818370906</v>
      </c>
      <c r="Z332" s="1">
        <v>16.951657539999999</v>
      </c>
    </row>
    <row r="333" spans="1:26" x14ac:dyDescent="0.25">
      <c r="A333" s="1">
        <v>25</v>
      </c>
      <c r="B333" s="1">
        <v>0.3</v>
      </c>
      <c r="C333" s="1">
        <v>5</v>
      </c>
      <c r="D333" s="1">
        <f t="shared" si="69"/>
        <v>0.125</v>
      </c>
      <c r="E333" s="1">
        <v>20</v>
      </c>
      <c r="F333" s="1">
        <v>1</v>
      </c>
      <c r="G333" s="1">
        <v>75</v>
      </c>
      <c r="H333" s="1">
        <v>18.140113119999999</v>
      </c>
      <c r="I333" s="1">
        <f t="shared" si="70"/>
        <v>2.5000000000000001E-2</v>
      </c>
      <c r="J333" s="1">
        <f t="shared" si="71"/>
        <v>0.125</v>
      </c>
      <c r="K333" s="1">
        <f t="shared" si="72"/>
        <v>2.9999999999999997E-4</v>
      </c>
      <c r="L333" s="1">
        <f t="shared" si="73"/>
        <v>0.31023227454199215</v>
      </c>
      <c r="M333" s="1">
        <f t="shared" si="74"/>
        <v>2.0833333333333332E-2</v>
      </c>
      <c r="N333" s="1">
        <v>278</v>
      </c>
      <c r="O333" s="1">
        <v>3.0550000000000002</v>
      </c>
      <c r="P333" s="1">
        <v>4148</v>
      </c>
      <c r="Q333" s="1">
        <f>[1]!HeatTransferArea(I333,D333,0.36,K333)</f>
        <v>0.7853981633974485</v>
      </c>
      <c r="R333" s="1">
        <f>[1]!Convection(I333,M333,1000,9*10^-4,K333,0.6,0.36,7)</f>
        <v>33909.243146205263</v>
      </c>
      <c r="S333" s="1">
        <f t="shared" si="75"/>
        <v>0.50099771115652914</v>
      </c>
      <c r="T333" s="1">
        <f t="shared" si="76"/>
        <v>1.8397720448845503E-5</v>
      </c>
      <c r="U333" s="1">
        <f t="shared" si="77"/>
        <v>7.3590881795382032E-7</v>
      </c>
      <c r="V333" s="1">
        <f t="shared" si="78"/>
        <v>5</v>
      </c>
      <c r="W333" s="1">
        <f t="shared" si="79"/>
        <v>308.79922726714562</v>
      </c>
      <c r="X333" s="1">
        <f t="shared" si="80"/>
        <v>6.5466448445171848</v>
      </c>
      <c r="Y333" s="1">
        <f t="shared" si="81"/>
        <v>6.8848899610570141E-2</v>
      </c>
      <c r="Z333" s="1">
        <v>18.140113119999999</v>
      </c>
    </row>
    <row r="334" spans="1:26" x14ac:dyDescent="0.25">
      <c r="A334" s="1">
        <v>25</v>
      </c>
      <c r="B334" s="1">
        <v>0.3</v>
      </c>
      <c r="C334" s="1">
        <v>5</v>
      </c>
      <c r="D334" s="1">
        <f t="shared" si="69"/>
        <v>0.125</v>
      </c>
      <c r="E334" s="1">
        <v>20</v>
      </c>
      <c r="F334" s="1">
        <v>1.5</v>
      </c>
      <c r="G334" s="1">
        <v>75</v>
      </c>
      <c r="H334" s="1">
        <v>18.339000639999998</v>
      </c>
      <c r="I334" s="1">
        <f t="shared" si="70"/>
        <v>2.5000000000000001E-2</v>
      </c>
      <c r="J334" s="1">
        <f t="shared" si="71"/>
        <v>0.125</v>
      </c>
      <c r="K334" s="1">
        <f t="shared" si="72"/>
        <v>2.9999999999999997E-4</v>
      </c>
      <c r="L334" s="1">
        <f t="shared" si="73"/>
        <v>0.31023227454199215</v>
      </c>
      <c r="M334" s="1">
        <f t="shared" si="74"/>
        <v>2.0833333333333332E-2</v>
      </c>
      <c r="N334" s="1">
        <v>278</v>
      </c>
      <c r="O334" s="1">
        <v>3.0550000000000002</v>
      </c>
      <c r="P334" s="1">
        <v>4148</v>
      </c>
      <c r="Q334" s="1">
        <f>[1]!HeatTransferArea(I334,D334,0.36,K334)</f>
        <v>0.7853981633974485</v>
      </c>
      <c r="R334" s="1">
        <f>[1]!Convection(I334,M334,1000,9*10^-4,K334,0.6,0.36,7)</f>
        <v>33909.243146205263</v>
      </c>
      <c r="S334" s="1">
        <f t="shared" si="75"/>
        <v>0.33399847410435279</v>
      </c>
      <c r="T334" s="1">
        <f t="shared" si="76"/>
        <v>2.7596580673268256E-5</v>
      </c>
      <c r="U334" s="1">
        <f t="shared" si="77"/>
        <v>1.1038632269307305E-6</v>
      </c>
      <c r="V334" s="1">
        <f t="shared" si="78"/>
        <v>5</v>
      </c>
      <c r="W334" s="1">
        <f t="shared" si="79"/>
        <v>205.86615151143044</v>
      </c>
      <c r="X334" s="1">
        <f t="shared" si="80"/>
        <v>6.5466448445171848</v>
      </c>
      <c r="Y334" s="1">
        <f t="shared" si="81"/>
        <v>4.6402504242727738E-2</v>
      </c>
      <c r="Z334" s="1">
        <v>18.339000639999998</v>
      </c>
    </row>
    <row r="335" spans="1:26" x14ac:dyDescent="0.25">
      <c r="A335" s="1">
        <v>25</v>
      </c>
      <c r="B335" s="1">
        <v>0.4</v>
      </c>
      <c r="C335" s="1">
        <v>3</v>
      </c>
      <c r="D335" s="1">
        <f t="shared" si="69"/>
        <v>7.4999999999999997E-2</v>
      </c>
      <c r="E335" s="1">
        <v>20</v>
      </c>
      <c r="F335" s="1">
        <v>0.5</v>
      </c>
      <c r="G335" s="1">
        <v>75</v>
      </c>
      <c r="H335" s="1">
        <v>7.7293338800000004</v>
      </c>
      <c r="I335" s="1">
        <f t="shared" si="70"/>
        <v>2.5000000000000001E-2</v>
      </c>
      <c r="J335" s="1">
        <f t="shared" si="71"/>
        <v>7.4999999999999997E-2</v>
      </c>
      <c r="K335" s="1">
        <f t="shared" si="72"/>
        <v>4.0000000000000002E-4</v>
      </c>
      <c r="L335" s="1">
        <f t="shared" si="73"/>
        <v>0.18613936472519524</v>
      </c>
      <c r="M335" s="1">
        <f t="shared" si="74"/>
        <v>2.0833333333333332E-2</v>
      </c>
      <c r="N335" s="1">
        <v>278</v>
      </c>
      <c r="O335" s="1">
        <v>3.0550000000000002</v>
      </c>
      <c r="P335" s="1">
        <v>4148</v>
      </c>
      <c r="Q335" s="1">
        <f>[1]!HeatTransferArea(I335,D335,0.36,K335)</f>
        <v>0.35342917352885178</v>
      </c>
      <c r="R335" s="1">
        <f>[1]!Convection(I335,M335,1000,9*10^-4,K335,0.6,0.36,7)</f>
        <v>25638.910216425455</v>
      </c>
      <c r="S335" s="1">
        <f t="shared" si="75"/>
        <v>1.6699923705217643</v>
      </c>
      <c r="T335" s="1">
        <f t="shared" si="76"/>
        <v>3.3115896807921906E-6</v>
      </c>
      <c r="U335" s="1">
        <f t="shared" si="77"/>
        <v>3.6795440897691016E-7</v>
      </c>
      <c r="V335" s="1">
        <f t="shared" si="78"/>
        <v>3</v>
      </c>
      <c r="W335" s="1">
        <f t="shared" si="79"/>
        <v>350.22643952862387</v>
      </c>
      <c r="X335" s="1">
        <f t="shared" si="80"/>
        <v>6.5466448445171848</v>
      </c>
      <c r="Y335" s="1">
        <f t="shared" si="81"/>
        <v>9.7786257604972573E-2</v>
      </c>
      <c r="Z335" s="1">
        <v>7.7293338800000004</v>
      </c>
    </row>
    <row r="336" spans="1:26" x14ac:dyDescent="0.25">
      <c r="A336" s="1">
        <v>25</v>
      </c>
      <c r="B336" s="1">
        <v>0.4</v>
      </c>
      <c r="C336" s="1">
        <v>3</v>
      </c>
      <c r="D336" s="1">
        <f t="shared" si="69"/>
        <v>7.4999999999999997E-2</v>
      </c>
      <c r="E336" s="1">
        <v>20</v>
      </c>
      <c r="F336" s="1">
        <v>1</v>
      </c>
      <c r="G336" s="1">
        <v>75</v>
      </c>
      <c r="H336" s="1">
        <v>17.437175700000001</v>
      </c>
      <c r="I336" s="1">
        <f t="shared" si="70"/>
        <v>2.5000000000000001E-2</v>
      </c>
      <c r="J336" s="1">
        <f t="shared" si="71"/>
        <v>7.4999999999999997E-2</v>
      </c>
      <c r="K336" s="1">
        <f t="shared" si="72"/>
        <v>4.0000000000000002E-4</v>
      </c>
      <c r="L336" s="1">
        <f t="shared" si="73"/>
        <v>0.18613936472519524</v>
      </c>
      <c r="M336" s="1">
        <f t="shared" si="74"/>
        <v>2.0833333333333332E-2</v>
      </c>
      <c r="N336" s="1">
        <v>278</v>
      </c>
      <c r="O336" s="1">
        <v>3.0550000000000002</v>
      </c>
      <c r="P336" s="1">
        <v>4148</v>
      </c>
      <c r="Q336" s="1">
        <f>[1]!HeatTransferArea(I336,D336,0.36,K336)</f>
        <v>0.35342917352885178</v>
      </c>
      <c r="R336" s="1">
        <f>[1]!Convection(I336,M336,1000,9*10^-4,K336,0.6,0.36,7)</f>
        <v>25638.910216425455</v>
      </c>
      <c r="S336" s="1">
        <f t="shared" si="75"/>
        <v>0.83499618526088215</v>
      </c>
      <c r="T336" s="1">
        <f t="shared" si="76"/>
        <v>6.6231793615843811E-6</v>
      </c>
      <c r="U336" s="1">
        <f t="shared" si="77"/>
        <v>7.3590881795382032E-7</v>
      </c>
      <c r="V336" s="1">
        <f t="shared" si="78"/>
        <v>3</v>
      </c>
      <c r="W336" s="1">
        <f t="shared" si="79"/>
        <v>175.11321976431194</v>
      </c>
      <c r="X336" s="1">
        <f t="shared" si="80"/>
        <v>6.5466448445171848</v>
      </c>
      <c r="Y336" s="1">
        <f t="shared" si="81"/>
        <v>0.11030162374764486</v>
      </c>
      <c r="Z336" s="1">
        <v>17.437175700000001</v>
      </c>
    </row>
    <row r="337" spans="1:26" x14ac:dyDescent="0.25">
      <c r="A337" s="1">
        <v>25</v>
      </c>
      <c r="B337" s="1">
        <v>0.4</v>
      </c>
      <c r="C337" s="1">
        <v>3</v>
      </c>
      <c r="D337" s="1">
        <f t="shared" si="69"/>
        <v>7.4999999999999997E-2</v>
      </c>
      <c r="E337" s="1">
        <v>20</v>
      </c>
      <c r="F337" s="1">
        <v>1.5</v>
      </c>
      <c r="G337" s="1">
        <v>75</v>
      </c>
      <c r="H337" s="1">
        <v>18.328105300000001</v>
      </c>
      <c r="I337" s="1">
        <f t="shared" si="70"/>
        <v>2.5000000000000001E-2</v>
      </c>
      <c r="J337" s="1">
        <f t="shared" si="71"/>
        <v>7.4999999999999997E-2</v>
      </c>
      <c r="K337" s="1">
        <f t="shared" si="72"/>
        <v>4.0000000000000002E-4</v>
      </c>
      <c r="L337" s="1">
        <f t="shared" si="73"/>
        <v>0.18613936472519524</v>
      </c>
      <c r="M337" s="1">
        <f t="shared" si="74"/>
        <v>2.0833333333333332E-2</v>
      </c>
      <c r="N337" s="1">
        <v>278</v>
      </c>
      <c r="O337" s="1">
        <v>3.0550000000000002</v>
      </c>
      <c r="P337" s="1">
        <v>4148</v>
      </c>
      <c r="Q337" s="1">
        <f>[1]!HeatTransferArea(I337,D337,0.36,K337)</f>
        <v>0.35342917352885178</v>
      </c>
      <c r="R337" s="1">
        <f>[1]!Convection(I337,M337,1000,9*10^-4,K337,0.6,0.36,7)</f>
        <v>25638.910216425455</v>
      </c>
      <c r="S337" s="1">
        <f t="shared" si="75"/>
        <v>0.5566641235072548</v>
      </c>
      <c r="T337" s="1">
        <f t="shared" si="76"/>
        <v>9.9347690423765725E-6</v>
      </c>
      <c r="U337" s="1">
        <f t="shared" si="77"/>
        <v>1.1038632269307305E-6</v>
      </c>
      <c r="V337" s="1">
        <f t="shared" si="78"/>
        <v>3</v>
      </c>
      <c r="W337" s="1">
        <f t="shared" si="79"/>
        <v>116.74214650954129</v>
      </c>
      <c r="X337" s="1">
        <f t="shared" si="80"/>
        <v>6.5466448445171848</v>
      </c>
      <c r="Y337" s="1">
        <f t="shared" si="81"/>
        <v>7.7291560269048834E-2</v>
      </c>
      <c r="Z337" s="1">
        <v>18.328105300000001</v>
      </c>
    </row>
    <row r="338" spans="1:26" x14ac:dyDescent="0.25">
      <c r="A338" s="1">
        <v>25</v>
      </c>
      <c r="B338" s="1">
        <v>0.4</v>
      </c>
      <c r="C338" s="1">
        <v>4</v>
      </c>
      <c r="D338" s="1">
        <f t="shared" si="69"/>
        <v>0.1</v>
      </c>
      <c r="E338" s="1">
        <v>20</v>
      </c>
      <c r="F338" s="1">
        <v>0.5</v>
      </c>
      <c r="G338" s="1">
        <v>75</v>
      </c>
      <c r="H338" s="1">
        <v>15.13168129</v>
      </c>
      <c r="I338" s="1">
        <f t="shared" si="70"/>
        <v>2.5000000000000001E-2</v>
      </c>
      <c r="J338" s="1">
        <f t="shared" si="71"/>
        <v>0.1</v>
      </c>
      <c r="K338" s="1">
        <f t="shared" si="72"/>
        <v>4.0000000000000002E-4</v>
      </c>
      <c r="L338" s="1">
        <f t="shared" si="73"/>
        <v>0.24818581963359368</v>
      </c>
      <c r="M338" s="1">
        <f t="shared" si="74"/>
        <v>2.0833333333333332E-2</v>
      </c>
      <c r="N338" s="1">
        <v>278</v>
      </c>
      <c r="O338" s="1">
        <v>3.0550000000000002</v>
      </c>
      <c r="P338" s="1">
        <v>4148</v>
      </c>
      <c r="Q338" s="1">
        <f>[1]!HeatTransferArea(I338,D338,0.36,K338)</f>
        <v>0.47123889803846908</v>
      </c>
      <c r="R338" s="1">
        <f>[1]!Convection(I338,M338,1000,9*10^-4,K338,0.6,0.36,7)</f>
        <v>25638.910216425455</v>
      </c>
      <c r="S338" s="1">
        <f t="shared" si="75"/>
        <v>1.2524942778913233</v>
      </c>
      <c r="T338" s="1">
        <f t="shared" si="76"/>
        <v>5.8872705436305626E-6</v>
      </c>
      <c r="U338" s="1">
        <f t="shared" si="77"/>
        <v>3.6795440897691016E-7</v>
      </c>
      <c r="V338" s="1">
        <f t="shared" si="78"/>
        <v>4</v>
      </c>
      <c r="W338" s="1">
        <f t="shared" si="79"/>
        <v>350.22643952862393</v>
      </c>
      <c r="X338" s="1">
        <f t="shared" si="80"/>
        <v>6.5466448445171848</v>
      </c>
      <c r="Y338" s="1">
        <f t="shared" si="81"/>
        <v>0.14357677914997932</v>
      </c>
      <c r="Z338" s="1">
        <v>15.13168129</v>
      </c>
    </row>
    <row r="339" spans="1:26" x14ac:dyDescent="0.25">
      <c r="A339" s="1">
        <v>25</v>
      </c>
      <c r="B339" s="1">
        <v>0.4</v>
      </c>
      <c r="C339" s="1">
        <v>4</v>
      </c>
      <c r="D339" s="1">
        <f t="shared" si="69"/>
        <v>0.1</v>
      </c>
      <c r="E339" s="1">
        <v>20</v>
      </c>
      <c r="F339" s="1">
        <v>1</v>
      </c>
      <c r="G339" s="1">
        <v>75</v>
      </c>
      <c r="H339" s="1">
        <v>18.088403230000001</v>
      </c>
      <c r="I339" s="1">
        <f t="shared" si="70"/>
        <v>2.5000000000000001E-2</v>
      </c>
      <c r="J339" s="1">
        <f t="shared" si="71"/>
        <v>0.1</v>
      </c>
      <c r="K339" s="1">
        <f t="shared" si="72"/>
        <v>4.0000000000000002E-4</v>
      </c>
      <c r="L339" s="1">
        <f t="shared" si="73"/>
        <v>0.24818581963359368</v>
      </c>
      <c r="M339" s="1">
        <f t="shared" si="74"/>
        <v>2.0833333333333332E-2</v>
      </c>
      <c r="N339" s="1">
        <v>278</v>
      </c>
      <c r="O339" s="1">
        <v>3.0550000000000002</v>
      </c>
      <c r="P339" s="1">
        <v>4148</v>
      </c>
      <c r="Q339" s="1">
        <f>[1]!HeatTransferArea(I339,D339,0.36,K339)</f>
        <v>0.47123889803846908</v>
      </c>
      <c r="R339" s="1">
        <f>[1]!Convection(I339,M339,1000,9*10^-4,K339,0.6,0.36,7)</f>
        <v>25638.910216425455</v>
      </c>
      <c r="S339" s="1">
        <f t="shared" si="75"/>
        <v>0.62624713894566164</v>
      </c>
      <c r="T339" s="1">
        <f t="shared" si="76"/>
        <v>1.1774541087261125E-5</v>
      </c>
      <c r="U339" s="1">
        <f t="shared" si="77"/>
        <v>7.3590881795382032E-7</v>
      </c>
      <c r="V339" s="1">
        <f t="shared" si="78"/>
        <v>4</v>
      </c>
      <c r="W339" s="1">
        <f t="shared" si="79"/>
        <v>175.11321976431196</v>
      </c>
      <c r="X339" s="1">
        <f t="shared" si="80"/>
        <v>6.5466448445171848</v>
      </c>
      <c r="Y339" s="1">
        <f t="shared" si="81"/>
        <v>8.5815800173038234E-2</v>
      </c>
      <c r="Z339" s="1">
        <v>18.088403230000001</v>
      </c>
    </row>
    <row r="340" spans="1:26" x14ac:dyDescent="0.25">
      <c r="A340" s="1">
        <v>25</v>
      </c>
      <c r="B340" s="1">
        <v>0.4</v>
      </c>
      <c r="C340" s="1">
        <v>4</v>
      </c>
      <c r="D340" s="1">
        <f t="shared" si="69"/>
        <v>0.1</v>
      </c>
      <c r="E340" s="1">
        <v>20</v>
      </c>
      <c r="F340" s="1">
        <v>1.5</v>
      </c>
      <c r="G340" s="1">
        <v>75</v>
      </c>
      <c r="H340" s="1">
        <v>18.445052189999998</v>
      </c>
      <c r="I340" s="1">
        <f t="shared" si="70"/>
        <v>2.5000000000000001E-2</v>
      </c>
      <c r="J340" s="1">
        <f t="shared" si="71"/>
        <v>0.1</v>
      </c>
      <c r="K340" s="1">
        <f t="shared" si="72"/>
        <v>4.0000000000000002E-4</v>
      </c>
      <c r="L340" s="1">
        <f t="shared" si="73"/>
        <v>0.24818581963359368</v>
      </c>
      <c r="M340" s="1">
        <f t="shared" si="74"/>
        <v>2.0833333333333332E-2</v>
      </c>
      <c r="N340" s="1">
        <v>278</v>
      </c>
      <c r="O340" s="1">
        <v>3.0550000000000002</v>
      </c>
      <c r="P340" s="1">
        <v>4148</v>
      </c>
      <c r="Q340" s="1">
        <f>[1]!HeatTransferArea(I340,D340,0.36,K340)</f>
        <v>0.47123889803846908</v>
      </c>
      <c r="R340" s="1">
        <f>[1]!Convection(I340,M340,1000,9*10^-4,K340,0.6,0.36,7)</f>
        <v>25638.910216425455</v>
      </c>
      <c r="S340" s="1">
        <f t="shared" si="75"/>
        <v>0.41749809263044102</v>
      </c>
      <c r="T340" s="1">
        <f t="shared" si="76"/>
        <v>1.7661811630891689E-5</v>
      </c>
      <c r="U340" s="1">
        <f t="shared" si="77"/>
        <v>1.1038632269307305E-6</v>
      </c>
      <c r="V340" s="1">
        <f t="shared" si="78"/>
        <v>4</v>
      </c>
      <c r="W340" s="1">
        <f t="shared" si="79"/>
        <v>116.7421465095413</v>
      </c>
      <c r="X340" s="1">
        <f t="shared" si="80"/>
        <v>6.5466448445171848</v>
      </c>
      <c r="Y340" s="1">
        <f t="shared" si="81"/>
        <v>5.8338553263159822E-2</v>
      </c>
      <c r="Z340" s="1">
        <v>18.445052189999998</v>
      </c>
    </row>
    <row r="341" spans="1:26" x14ac:dyDescent="0.25">
      <c r="A341" s="1">
        <v>25</v>
      </c>
      <c r="B341" s="1">
        <v>0.4</v>
      </c>
      <c r="C341" s="1">
        <v>5</v>
      </c>
      <c r="D341" s="1">
        <f t="shared" si="69"/>
        <v>0.125</v>
      </c>
      <c r="E341" s="1">
        <v>20</v>
      </c>
      <c r="F341" s="1">
        <v>0.5</v>
      </c>
      <c r="G341" s="1">
        <v>75</v>
      </c>
      <c r="H341" s="1">
        <v>16.812699169999998</v>
      </c>
      <c r="I341" s="1">
        <f t="shared" si="70"/>
        <v>2.5000000000000001E-2</v>
      </c>
      <c r="J341" s="1">
        <f t="shared" si="71"/>
        <v>0.125</v>
      </c>
      <c r="K341" s="1">
        <f t="shared" si="72"/>
        <v>4.0000000000000002E-4</v>
      </c>
      <c r="L341" s="1">
        <f t="shared" si="73"/>
        <v>0.31023227454199215</v>
      </c>
      <c r="M341" s="1">
        <f t="shared" si="74"/>
        <v>2.0833333333333332E-2</v>
      </c>
      <c r="N341" s="1">
        <v>278</v>
      </c>
      <c r="O341" s="1">
        <v>3.0550000000000002</v>
      </c>
      <c r="P341" s="1">
        <v>4148</v>
      </c>
      <c r="Q341" s="1">
        <f>[1]!HeatTransferArea(I341,D341,0.36,K341)</f>
        <v>0.58904862254808632</v>
      </c>
      <c r="R341" s="1">
        <f>[1]!Convection(I341,M341,1000,9*10^-4,K341,0.6,0.36,7)</f>
        <v>25638.910216425455</v>
      </c>
      <c r="S341" s="1">
        <f t="shared" si="75"/>
        <v>1.0019954223130583</v>
      </c>
      <c r="T341" s="1">
        <f t="shared" si="76"/>
        <v>9.1988602244227514E-6</v>
      </c>
      <c r="U341" s="1">
        <f t="shared" si="77"/>
        <v>3.6795440897691016E-7</v>
      </c>
      <c r="V341" s="1">
        <f t="shared" si="78"/>
        <v>5</v>
      </c>
      <c r="W341" s="1">
        <f t="shared" si="79"/>
        <v>350.22643952862381</v>
      </c>
      <c r="X341" s="1">
        <f t="shared" si="80"/>
        <v>6.5466448445171848</v>
      </c>
      <c r="Y341" s="1">
        <f t="shared" si="81"/>
        <v>0.12762167795545104</v>
      </c>
      <c r="Z341" s="1">
        <v>16.812699169999998</v>
      </c>
    </row>
    <row r="342" spans="1:26" x14ac:dyDescent="0.25">
      <c r="A342" s="1">
        <v>25</v>
      </c>
      <c r="B342" s="1">
        <v>0.4</v>
      </c>
      <c r="C342" s="1">
        <v>5</v>
      </c>
      <c r="D342" s="1">
        <f t="shared" si="69"/>
        <v>0.125</v>
      </c>
      <c r="E342" s="1">
        <v>20</v>
      </c>
      <c r="F342" s="1">
        <v>1</v>
      </c>
      <c r="G342" s="1">
        <v>75</v>
      </c>
      <c r="H342" s="1">
        <v>18.173480900000001</v>
      </c>
      <c r="I342" s="1">
        <f t="shared" si="70"/>
        <v>2.5000000000000001E-2</v>
      </c>
      <c r="J342" s="1">
        <f t="shared" si="71"/>
        <v>0.125</v>
      </c>
      <c r="K342" s="1">
        <f t="shared" si="72"/>
        <v>4.0000000000000002E-4</v>
      </c>
      <c r="L342" s="1">
        <f t="shared" si="73"/>
        <v>0.31023227454199215</v>
      </c>
      <c r="M342" s="1">
        <f t="shared" si="74"/>
        <v>2.0833333333333332E-2</v>
      </c>
      <c r="N342" s="1">
        <v>278</v>
      </c>
      <c r="O342" s="1">
        <v>3.0550000000000002</v>
      </c>
      <c r="P342" s="1">
        <v>4148</v>
      </c>
      <c r="Q342" s="1">
        <f>[1]!HeatTransferArea(I342,D342,0.36,K342)</f>
        <v>0.58904862254808632</v>
      </c>
      <c r="R342" s="1">
        <f>[1]!Convection(I342,M342,1000,9*10^-4,K342,0.6,0.36,7)</f>
        <v>25638.910216425455</v>
      </c>
      <c r="S342" s="1">
        <f t="shared" si="75"/>
        <v>0.50099771115652914</v>
      </c>
      <c r="T342" s="1">
        <f t="shared" si="76"/>
        <v>1.8397720448845503E-5</v>
      </c>
      <c r="U342" s="1">
        <f t="shared" si="77"/>
        <v>7.3590881795382032E-7</v>
      </c>
      <c r="V342" s="1">
        <f t="shared" si="78"/>
        <v>5</v>
      </c>
      <c r="W342" s="1">
        <f t="shared" si="79"/>
        <v>175.11321976431191</v>
      </c>
      <c r="X342" s="1">
        <f t="shared" si="80"/>
        <v>6.5466448445171848</v>
      </c>
      <c r="Y342" s="1">
        <f t="shared" si="81"/>
        <v>6.8975543525095398E-2</v>
      </c>
      <c r="Z342" s="1">
        <v>18.173480900000001</v>
      </c>
    </row>
    <row r="343" spans="1:26" x14ac:dyDescent="0.25">
      <c r="A343" s="1">
        <v>25</v>
      </c>
      <c r="B343" s="1">
        <v>0.4</v>
      </c>
      <c r="C343" s="1">
        <v>5</v>
      </c>
      <c r="D343" s="1">
        <f t="shared" si="69"/>
        <v>0.125</v>
      </c>
      <c r="E343" s="1">
        <v>20</v>
      </c>
      <c r="F343" s="1">
        <v>1.5</v>
      </c>
      <c r="G343" s="1">
        <v>75</v>
      </c>
      <c r="H343" s="1">
        <v>18.351385780000001</v>
      </c>
      <c r="I343" s="1">
        <f t="shared" si="70"/>
        <v>2.5000000000000001E-2</v>
      </c>
      <c r="J343" s="1">
        <f t="shared" si="71"/>
        <v>0.125</v>
      </c>
      <c r="K343" s="1">
        <f t="shared" si="72"/>
        <v>4.0000000000000002E-4</v>
      </c>
      <c r="L343" s="1">
        <f t="shared" si="73"/>
        <v>0.31023227454199215</v>
      </c>
      <c r="M343" s="1">
        <f t="shared" si="74"/>
        <v>2.0833333333333332E-2</v>
      </c>
      <c r="N343" s="1">
        <v>278</v>
      </c>
      <c r="O343" s="1">
        <v>3.0550000000000002</v>
      </c>
      <c r="P343" s="1">
        <v>4148</v>
      </c>
      <c r="Q343" s="1">
        <f>[1]!HeatTransferArea(I343,D343,0.36,K343)</f>
        <v>0.58904862254808632</v>
      </c>
      <c r="R343" s="1">
        <f>[1]!Convection(I343,M343,1000,9*10^-4,K343,0.6,0.36,7)</f>
        <v>25638.910216425455</v>
      </c>
      <c r="S343" s="1">
        <f t="shared" si="75"/>
        <v>0.33399847410435279</v>
      </c>
      <c r="T343" s="1">
        <f t="shared" si="76"/>
        <v>2.7596580673268256E-5</v>
      </c>
      <c r="U343" s="1">
        <f t="shared" si="77"/>
        <v>1.1038632269307305E-6</v>
      </c>
      <c r="V343" s="1">
        <f t="shared" si="78"/>
        <v>5</v>
      </c>
      <c r="W343" s="1">
        <f t="shared" si="79"/>
        <v>116.74214650954127</v>
      </c>
      <c r="X343" s="1">
        <f t="shared" si="80"/>
        <v>6.5466448445171848</v>
      </c>
      <c r="Y343" s="1">
        <f t="shared" si="81"/>
        <v>4.6433841910612624E-2</v>
      </c>
      <c r="Z343" s="1">
        <v>18.351385780000001</v>
      </c>
    </row>
    <row r="344" spans="1:26" x14ac:dyDescent="0.25">
      <c r="A344" s="1">
        <v>25</v>
      </c>
      <c r="B344" s="1">
        <v>0.5</v>
      </c>
      <c r="C344" s="1">
        <v>3</v>
      </c>
      <c r="D344" s="1">
        <f t="shared" si="69"/>
        <v>7.4999999999999997E-2</v>
      </c>
      <c r="E344" s="1">
        <v>20</v>
      </c>
      <c r="F344" s="1">
        <v>0.5</v>
      </c>
      <c r="G344" s="1">
        <v>75</v>
      </c>
      <c r="H344" s="1">
        <v>5.0016555599999997</v>
      </c>
      <c r="I344" s="1">
        <f t="shared" si="70"/>
        <v>2.5000000000000001E-2</v>
      </c>
      <c r="J344" s="1">
        <f t="shared" si="71"/>
        <v>7.4999999999999997E-2</v>
      </c>
      <c r="K344" s="1">
        <f t="shared" si="72"/>
        <v>5.0000000000000001E-4</v>
      </c>
      <c r="L344" s="1">
        <f t="shared" si="73"/>
        <v>0.18613936472519524</v>
      </c>
      <c r="M344" s="1">
        <f t="shared" si="74"/>
        <v>2.0833333333333332E-2</v>
      </c>
      <c r="N344" s="1">
        <v>278</v>
      </c>
      <c r="O344" s="1">
        <v>3.0550000000000002</v>
      </c>
      <c r="P344" s="1">
        <v>4148</v>
      </c>
      <c r="Q344" s="1">
        <f>[1]!HeatTransferArea(I344,D344,0.36,K344)</f>
        <v>0.28274333882308145</v>
      </c>
      <c r="R344" s="1">
        <f>[1]!Convection(I344,M344,1000,9*10^-4,K344,0.6,0.36,7)</f>
        <v>20660.760475301788</v>
      </c>
      <c r="S344" s="1">
        <f t="shared" si="75"/>
        <v>1.6699923705217643</v>
      </c>
      <c r="T344" s="1">
        <f t="shared" si="76"/>
        <v>3.3115896807921906E-6</v>
      </c>
      <c r="U344" s="1">
        <f t="shared" si="77"/>
        <v>3.6795440897691016E-7</v>
      </c>
      <c r="V344" s="1">
        <f t="shared" si="78"/>
        <v>3</v>
      </c>
      <c r="W344" s="1">
        <f t="shared" si="79"/>
        <v>225.78009808179721</v>
      </c>
      <c r="X344" s="1">
        <f t="shared" si="80"/>
        <v>6.5466448445171848</v>
      </c>
      <c r="Y344" s="1">
        <f t="shared" si="81"/>
        <v>6.3277532920017074E-2</v>
      </c>
      <c r="Z344" s="1">
        <v>5.0016555599999997</v>
      </c>
    </row>
    <row r="345" spans="1:26" x14ac:dyDescent="0.25">
      <c r="A345" s="1">
        <v>25</v>
      </c>
      <c r="B345" s="1">
        <v>0.5</v>
      </c>
      <c r="C345" s="1">
        <v>3</v>
      </c>
      <c r="D345" s="1">
        <f t="shared" si="69"/>
        <v>7.4999999999999997E-2</v>
      </c>
      <c r="E345" s="1">
        <v>20</v>
      </c>
      <c r="F345" s="1">
        <v>1</v>
      </c>
      <c r="G345" s="1">
        <v>75</v>
      </c>
      <c r="H345" s="1">
        <v>16.261449469999999</v>
      </c>
      <c r="I345" s="1">
        <f t="shared" si="70"/>
        <v>2.5000000000000001E-2</v>
      </c>
      <c r="J345" s="1">
        <f t="shared" si="71"/>
        <v>7.4999999999999997E-2</v>
      </c>
      <c r="K345" s="1">
        <f t="shared" si="72"/>
        <v>5.0000000000000001E-4</v>
      </c>
      <c r="L345" s="1">
        <f t="shared" si="73"/>
        <v>0.18613936472519524</v>
      </c>
      <c r="M345" s="1">
        <f t="shared" si="74"/>
        <v>2.0833333333333332E-2</v>
      </c>
      <c r="N345" s="1">
        <v>278</v>
      </c>
      <c r="O345" s="1">
        <v>3.0550000000000002</v>
      </c>
      <c r="P345" s="1">
        <v>4148</v>
      </c>
      <c r="Q345" s="1">
        <f>[1]!HeatTransferArea(I345,D345,0.36,K345)</f>
        <v>0.28274333882308145</v>
      </c>
      <c r="R345" s="1">
        <f>[1]!Convection(I345,M345,1000,9*10^-4,K345,0.6,0.36,7)</f>
        <v>20660.760475301788</v>
      </c>
      <c r="S345" s="1">
        <f t="shared" si="75"/>
        <v>0.83499618526088215</v>
      </c>
      <c r="T345" s="1">
        <f t="shared" si="76"/>
        <v>6.6231793615843811E-6</v>
      </c>
      <c r="U345" s="1">
        <f t="shared" si="77"/>
        <v>7.3590881795382032E-7</v>
      </c>
      <c r="V345" s="1">
        <f t="shared" si="78"/>
        <v>3</v>
      </c>
      <c r="W345" s="1">
        <f t="shared" si="79"/>
        <v>112.8900490408986</v>
      </c>
      <c r="X345" s="1">
        <f t="shared" si="80"/>
        <v>6.5466448445171848</v>
      </c>
      <c r="Y345" s="1">
        <f t="shared" si="81"/>
        <v>0.10286438078566122</v>
      </c>
      <c r="Z345" s="1">
        <v>16.261449469999999</v>
      </c>
    </row>
    <row r="346" spans="1:26" x14ac:dyDescent="0.25">
      <c r="A346" s="1">
        <v>25</v>
      </c>
      <c r="B346" s="1">
        <v>0.5</v>
      </c>
      <c r="C346" s="1">
        <v>3</v>
      </c>
      <c r="D346" s="1">
        <f t="shared" si="69"/>
        <v>7.4999999999999997E-2</v>
      </c>
      <c r="E346" s="1">
        <v>20</v>
      </c>
      <c r="F346" s="1">
        <v>1.5</v>
      </c>
      <c r="G346" s="1">
        <v>75</v>
      </c>
      <c r="H346" s="1">
        <v>17.433283100000001</v>
      </c>
      <c r="I346" s="1">
        <f t="shared" si="70"/>
        <v>2.5000000000000001E-2</v>
      </c>
      <c r="J346" s="1">
        <f t="shared" si="71"/>
        <v>7.4999999999999997E-2</v>
      </c>
      <c r="K346" s="1">
        <f t="shared" si="72"/>
        <v>5.0000000000000001E-4</v>
      </c>
      <c r="L346" s="1">
        <f t="shared" si="73"/>
        <v>0.18613936472519524</v>
      </c>
      <c r="M346" s="1">
        <f t="shared" si="74"/>
        <v>2.0833333333333332E-2</v>
      </c>
      <c r="N346" s="1">
        <v>278</v>
      </c>
      <c r="O346" s="1">
        <v>3.0550000000000002</v>
      </c>
      <c r="P346" s="1">
        <v>4148</v>
      </c>
      <c r="Q346" s="1">
        <f>[1]!HeatTransferArea(I346,D346,0.36,K346)</f>
        <v>0.28274333882308145</v>
      </c>
      <c r="R346" s="1">
        <f>[1]!Convection(I346,M346,1000,9*10^-4,K346,0.6,0.36,7)</f>
        <v>20660.760475301788</v>
      </c>
      <c r="S346" s="1">
        <f t="shared" si="75"/>
        <v>0.5566641235072548</v>
      </c>
      <c r="T346" s="1">
        <f t="shared" si="76"/>
        <v>9.9347690423765725E-6</v>
      </c>
      <c r="U346" s="1">
        <f t="shared" si="77"/>
        <v>1.1038632269307305E-6</v>
      </c>
      <c r="V346" s="1">
        <f t="shared" si="78"/>
        <v>3</v>
      </c>
      <c r="W346" s="1">
        <f t="shared" si="79"/>
        <v>75.260032693932402</v>
      </c>
      <c r="X346" s="1">
        <f t="shared" si="80"/>
        <v>6.5466448445171848</v>
      </c>
      <c r="Y346" s="1">
        <f t="shared" si="81"/>
        <v>7.3518000325491398E-2</v>
      </c>
      <c r="Z346" s="1">
        <v>17.433283100000001</v>
      </c>
    </row>
    <row r="347" spans="1:26" x14ac:dyDescent="0.25">
      <c r="A347" s="1">
        <v>25</v>
      </c>
      <c r="B347" s="1">
        <v>0.5</v>
      </c>
      <c r="C347" s="1">
        <v>4</v>
      </c>
      <c r="D347" s="1">
        <f t="shared" si="69"/>
        <v>0.1</v>
      </c>
      <c r="E347" s="1">
        <v>20</v>
      </c>
      <c r="F347" s="1">
        <v>0.5</v>
      </c>
      <c r="G347" s="1">
        <v>75</v>
      </c>
      <c r="H347" s="1">
        <v>13.899042059999999</v>
      </c>
      <c r="I347" s="1">
        <f t="shared" si="70"/>
        <v>2.5000000000000001E-2</v>
      </c>
      <c r="J347" s="1">
        <f t="shared" si="71"/>
        <v>0.1</v>
      </c>
      <c r="K347" s="1">
        <f t="shared" si="72"/>
        <v>5.0000000000000001E-4</v>
      </c>
      <c r="L347" s="1">
        <f t="shared" si="73"/>
        <v>0.24818581963359368</v>
      </c>
      <c r="M347" s="1">
        <f t="shared" si="74"/>
        <v>2.0833333333333332E-2</v>
      </c>
      <c r="N347" s="1">
        <v>278</v>
      </c>
      <c r="O347" s="1">
        <v>3.0550000000000002</v>
      </c>
      <c r="P347" s="1">
        <v>4148</v>
      </c>
      <c r="Q347" s="1">
        <f>[1]!HeatTransferArea(I347,D347,0.36,K347)</f>
        <v>0.37699111843077526</v>
      </c>
      <c r="R347" s="1">
        <f>[1]!Convection(I347,M347,1000,9*10^-4,K347,0.6,0.36,7)</f>
        <v>20660.760475301788</v>
      </c>
      <c r="S347" s="1">
        <f t="shared" si="75"/>
        <v>1.2524942778913233</v>
      </c>
      <c r="T347" s="1">
        <f t="shared" si="76"/>
        <v>5.8872705436305626E-6</v>
      </c>
      <c r="U347" s="1">
        <f t="shared" si="77"/>
        <v>3.6795440897691016E-7</v>
      </c>
      <c r="V347" s="1">
        <f t="shared" si="78"/>
        <v>4</v>
      </c>
      <c r="W347" s="1">
        <f t="shared" si="79"/>
        <v>225.78009808179718</v>
      </c>
      <c r="X347" s="1">
        <f t="shared" si="80"/>
        <v>6.5466448445171848</v>
      </c>
      <c r="Y347" s="1">
        <f t="shared" si="81"/>
        <v>0.131880896378891</v>
      </c>
      <c r="Z347" s="1">
        <v>13.899042059999999</v>
      </c>
    </row>
    <row r="348" spans="1:26" x14ac:dyDescent="0.25">
      <c r="A348" s="1">
        <v>25</v>
      </c>
      <c r="B348" s="1">
        <v>0.5</v>
      </c>
      <c r="C348" s="1">
        <v>4</v>
      </c>
      <c r="D348" s="1">
        <f t="shared" si="69"/>
        <v>0.1</v>
      </c>
      <c r="E348" s="1">
        <v>20</v>
      </c>
      <c r="F348" s="1">
        <v>1</v>
      </c>
      <c r="G348" s="1">
        <v>75</v>
      </c>
      <c r="H348" s="1">
        <v>17.541011820000001</v>
      </c>
      <c r="I348" s="1">
        <f t="shared" si="70"/>
        <v>2.5000000000000001E-2</v>
      </c>
      <c r="J348" s="1">
        <f t="shared" si="71"/>
        <v>0.1</v>
      </c>
      <c r="K348" s="1">
        <f t="shared" si="72"/>
        <v>5.0000000000000001E-4</v>
      </c>
      <c r="L348" s="1">
        <f t="shared" si="73"/>
        <v>0.24818581963359368</v>
      </c>
      <c r="M348" s="1">
        <f t="shared" si="74"/>
        <v>2.0833333333333332E-2</v>
      </c>
      <c r="N348" s="1">
        <v>278</v>
      </c>
      <c r="O348" s="1">
        <v>3.0550000000000002</v>
      </c>
      <c r="P348" s="1">
        <v>4148</v>
      </c>
      <c r="Q348" s="1">
        <f>[1]!HeatTransferArea(I348,D348,0.36,K348)</f>
        <v>0.37699111843077526</v>
      </c>
      <c r="R348" s="1">
        <f>[1]!Convection(I348,M348,1000,9*10^-4,K348,0.6,0.36,7)</f>
        <v>20660.760475301788</v>
      </c>
      <c r="S348" s="1">
        <f t="shared" si="75"/>
        <v>0.62624713894566164</v>
      </c>
      <c r="T348" s="1">
        <f t="shared" si="76"/>
        <v>1.1774541087261125E-5</v>
      </c>
      <c r="U348" s="1">
        <f t="shared" si="77"/>
        <v>7.3590881795382032E-7</v>
      </c>
      <c r="V348" s="1">
        <f t="shared" si="78"/>
        <v>4</v>
      </c>
      <c r="W348" s="1">
        <f t="shared" si="79"/>
        <v>112.89004904089859</v>
      </c>
      <c r="X348" s="1">
        <f t="shared" si="80"/>
        <v>6.5466448445171848</v>
      </c>
      <c r="Y348" s="1">
        <f t="shared" si="81"/>
        <v>8.3218841709668243E-2</v>
      </c>
      <c r="Z348" s="1">
        <v>17.541011820000001</v>
      </c>
    </row>
    <row r="349" spans="1:26" x14ac:dyDescent="0.25">
      <c r="A349" s="1">
        <v>25</v>
      </c>
      <c r="B349" s="1">
        <v>0.5</v>
      </c>
      <c r="C349" s="1">
        <v>4</v>
      </c>
      <c r="D349" s="1">
        <f t="shared" si="69"/>
        <v>0.1</v>
      </c>
      <c r="E349" s="1">
        <v>20</v>
      </c>
      <c r="F349" s="1">
        <v>1.5</v>
      </c>
      <c r="G349" s="1">
        <v>75</v>
      </c>
      <c r="H349" s="1">
        <v>17.986056829999999</v>
      </c>
      <c r="I349" s="1">
        <f t="shared" si="70"/>
        <v>2.5000000000000001E-2</v>
      </c>
      <c r="J349" s="1">
        <f t="shared" si="71"/>
        <v>0.1</v>
      </c>
      <c r="K349" s="1">
        <f t="shared" si="72"/>
        <v>5.0000000000000001E-4</v>
      </c>
      <c r="L349" s="1">
        <f t="shared" si="73"/>
        <v>0.24818581963359368</v>
      </c>
      <c r="M349" s="1">
        <f t="shared" si="74"/>
        <v>2.0833333333333332E-2</v>
      </c>
      <c r="N349" s="1">
        <v>278</v>
      </c>
      <c r="O349" s="1">
        <v>3.0550000000000002</v>
      </c>
      <c r="P349" s="1">
        <v>4148</v>
      </c>
      <c r="Q349" s="1">
        <f>[1]!HeatTransferArea(I349,D349,0.36,K349)</f>
        <v>0.37699111843077526</v>
      </c>
      <c r="R349" s="1">
        <f>[1]!Convection(I349,M349,1000,9*10^-4,K349,0.6,0.36,7)</f>
        <v>20660.760475301788</v>
      </c>
      <c r="S349" s="1">
        <f t="shared" si="75"/>
        <v>0.41749809263044102</v>
      </c>
      <c r="T349" s="1">
        <f t="shared" si="76"/>
        <v>1.7661811630891689E-5</v>
      </c>
      <c r="U349" s="1">
        <f t="shared" si="77"/>
        <v>1.1038632269307305E-6</v>
      </c>
      <c r="V349" s="1">
        <f t="shared" si="78"/>
        <v>4</v>
      </c>
      <c r="W349" s="1">
        <f t="shared" si="79"/>
        <v>75.260032693932388</v>
      </c>
      <c r="X349" s="1">
        <f t="shared" si="80"/>
        <v>6.5466448445171848</v>
      </c>
      <c r="Y349" s="1">
        <f t="shared" si="81"/>
        <v>5.688682924627575E-2</v>
      </c>
      <c r="Z349" s="1">
        <v>17.986056829999999</v>
      </c>
    </row>
    <row r="350" spans="1:26" x14ac:dyDescent="0.25">
      <c r="A350" s="1">
        <v>25</v>
      </c>
      <c r="B350" s="1">
        <v>0.5</v>
      </c>
      <c r="C350" s="1">
        <v>5</v>
      </c>
      <c r="D350" s="1">
        <f t="shared" si="69"/>
        <v>0.125</v>
      </c>
      <c r="E350" s="1">
        <v>20</v>
      </c>
      <c r="F350" s="1">
        <v>0.5</v>
      </c>
      <c r="G350" s="1">
        <v>75</v>
      </c>
      <c r="H350" s="1">
        <v>16.234669029999999</v>
      </c>
      <c r="I350" s="1">
        <f t="shared" si="70"/>
        <v>2.5000000000000001E-2</v>
      </c>
      <c r="J350" s="1">
        <f t="shared" si="71"/>
        <v>0.125</v>
      </c>
      <c r="K350" s="1">
        <f t="shared" si="72"/>
        <v>5.0000000000000001E-4</v>
      </c>
      <c r="L350" s="1">
        <f t="shared" si="73"/>
        <v>0.31023227454199215</v>
      </c>
      <c r="M350" s="1">
        <f t="shared" si="74"/>
        <v>2.0833333333333332E-2</v>
      </c>
      <c r="N350" s="1">
        <v>278</v>
      </c>
      <c r="O350" s="1">
        <v>3.0550000000000002</v>
      </c>
      <c r="P350" s="1">
        <v>4148</v>
      </c>
      <c r="Q350" s="1">
        <f>[1]!HeatTransferArea(I350,D350,0.36,K350)</f>
        <v>0.47123889803846908</v>
      </c>
      <c r="R350" s="1">
        <f>[1]!Convection(I350,M350,1000,9*10^-4,K350,0.6,0.36,7)</f>
        <v>20660.760475301788</v>
      </c>
      <c r="S350" s="1">
        <f t="shared" si="75"/>
        <v>1.0019954223130583</v>
      </c>
      <c r="T350" s="1">
        <f t="shared" si="76"/>
        <v>9.1988602244227514E-6</v>
      </c>
      <c r="U350" s="1">
        <f t="shared" si="77"/>
        <v>3.6795440897691016E-7</v>
      </c>
      <c r="V350" s="1">
        <f t="shared" si="78"/>
        <v>5</v>
      </c>
      <c r="W350" s="1">
        <f t="shared" si="79"/>
        <v>225.78009808179715</v>
      </c>
      <c r="X350" s="1">
        <f t="shared" si="80"/>
        <v>6.5466448445171848</v>
      </c>
      <c r="Y350" s="1">
        <f t="shared" si="81"/>
        <v>0.12323397223195511</v>
      </c>
      <c r="Z350" s="1">
        <v>16.234669029999999</v>
      </c>
    </row>
    <row r="351" spans="1:26" x14ac:dyDescent="0.25">
      <c r="A351" s="1">
        <v>25</v>
      </c>
      <c r="B351" s="1">
        <v>0.5</v>
      </c>
      <c r="C351" s="1">
        <v>5</v>
      </c>
      <c r="D351" s="1">
        <f t="shared" si="69"/>
        <v>0.125</v>
      </c>
      <c r="E351" s="1">
        <v>20</v>
      </c>
      <c r="F351" s="1">
        <v>1</v>
      </c>
      <c r="G351" s="1">
        <v>75</v>
      </c>
      <c r="H351" s="1">
        <v>17.89559199</v>
      </c>
      <c r="I351" s="1">
        <f t="shared" si="70"/>
        <v>2.5000000000000001E-2</v>
      </c>
      <c r="J351" s="1">
        <f t="shared" si="71"/>
        <v>0.125</v>
      </c>
      <c r="K351" s="1">
        <f t="shared" si="72"/>
        <v>5.0000000000000001E-4</v>
      </c>
      <c r="L351" s="1">
        <f t="shared" si="73"/>
        <v>0.31023227454199215</v>
      </c>
      <c r="M351" s="1">
        <f t="shared" si="74"/>
        <v>2.0833333333333332E-2</v>
      </c>
      <c r="N351" s="1">
        <v>278</v>
      </c>
      <c r="O351" s="1">
        <v>3.0550000000000002</v>
      </c>
      <c r="P351" s="1">
        <v>4148</v>
      </c>
      <c r="Q351" s="1">
        <f>[1]!HeatTransferArea(I351,D351,0.36,K351)</f>
        <v>0.47123889803846908</v>
      </c>
      <c r="R351" s="1">
        <f>[1]!Convection(I351,M351,1000,9*10^-4,K351,0.6,0.36,7)</f>
        <v>20660.760475301788</v>
      </c>
      <c r="S351" s="1">
        <f t="shared" si="75"/>
        <v>0.50099771115652914</v>
      </c>
      <c r="T351" s="1">
        <f t="shared" si="76"/>
        <v>1.8397720448845503E-5</v>
      </c>
      <c r="U351" s="1">
        <f t="shared" si="77"/>
        <v>7.3590881795382032E-7</v>
      </c>
      <c r="V351" s="1">
        <f t="shared" si="78"/>
        <v>5</v>
      </c>
      <c r="W351" s="1">
        <f t="shared" si="79"/>
        <v>112.89004904089857</v>
      </c>
      <c r="X351" s="1">
        <f t="shared" si="80"/>
        <v>6.5466448445171848</v>
      </c>
      <c r="Y351" s="1">
        <f t="shared" si="81"/>
        <v>6.7920845269306307E-2</v>
      </c>
      <c r="Z351" s="1">
        <v>17.89559199</v>
      </c>
    </row>
    <row r="352" spans="1:26" x14ac:dyDescent="0.25">
      <c r="A352" s="1">
        <v>25</v>
      </c>
      <c r="B352" s="1">
        <v>0.5</v>
      </c>
      <c r="C352" s="1">
        <v>5</v>
      </c>
      <c r="D352" s="1">
        <f t="shared" si="69"/>
        <v>0.125</v>
      </c>
      <c r="E352" s="1">
        <v>20</v>
      </c>
      <c r="F352" s="1">
        <v>1.5</v>
      </c>
      <c r="G352" s="1">
        <v>75</v>
      </c>
      <c r="H352" s="1">
        <v>18.08735613</v>
      </c>
      <c r="I352" s="1">
        <f t="shared" si="70"/>
        <v>2.5000000000000001E-2</v>
      </c>
      <c r="J352" s="1">
        <f t="shared" si="71"/>
        <v>0.125</v>
      </c>
      <c r="K352" s="1">
        <f t="shared" si="72"/>
        <v>5.0000000000000001E-4</v>
      </c>
      <c r="L352" s="1">
        <f t="shared" si="73"/>
        <v>0.31023227454199215</v>
      </c>
      <c r="M352" s="1">
        <f t="shared" si="74"/>
        <v>2.0833333333333332E-2</v>
      </c>
      <c r="N352" s="1">
        <v>278</v>
      </c>
      <c r="O352" s="1">
        <v>3.0550000000000002</v>
      </c>
      <c r="P352" s="1">
        <v>4148</v>
      </c>
      <c r="Q352" s="1">
        <f>[1]!HeatTransferArea(I352,D352,0.36,K352)</f>
        <v>0.47123889803846908</v>
      </c>
      <c r="R352" s="1">
        <f>[1]!Convection(I352,M352,1000,9*10^-4,K352,0.6,0.36,7)</f>
        <v>20660.760475301788</v>
      </c>
      <c r="S352" s="1">
        <f t="shared" si="75"/>
        <v>0.33399847410435279</v>
      </c>
      <c r="T352" s="1">
        <f t="shared" si="76"/>
        <v>2.7596580673268256E-5</v>
      </c>
      <c r="U352" s="1">
        <f t="shared" si="77"/>
        <v>1.1038632269307305E-6</v>
      </c>
      <c r="V352" s="1">
        <f t="shared" si="78"/>
        <v>5</v>
      </c>
      <c r="W352" s="1">
        <f t="shared" si="79"/>
        <v>75.260032693932388</v>
      </c>
      <c r="X352" s="1">
        <f t="shared" si="80"/>
        <v>6.5466448445171848</v>
      </c>
      <c r="Y352" s="1">
        <f t="shared" si="81"/>
        <v>4.5765777320025909E-2</v>
      </c>
      <c r="Z352" s="1">
        <v>18.08735613</v>
      </c>
    </row>
    <row r="353" spans="1:26" x14ac:dyDescent="0.25">
      <c r="A353" s="1">
        <v>25</v>
      </c>
      <c r="B353" s="1">
        <v>0.3</v>
      </c>
      <c r="C353" s="1">
        <v>3</v>
      </c>
      <c r="D353" s="1">
        <f t="shared" si="69"/>
        <v>7.4999999999999997E-2</v>
      </c>
      <c r="E353" s="1">
        <v>20</v>
      </c>
      <c r="F353" s="1">
        <v>0.5</v>
      </c>
      <c r="G353" s="1">
        <v>100</v>
      </c>
      <c r="H353" s="1">
        <v>-28.5406637</v>
      </c>
      <c r="I353" s="1">
        <f t="shared" si="70"/>
        <v>2.5000000000000001E-2</v>
      </c>
      <c r="J353" s="1">
        <f t="shared" si="71"/>
        <v>7.4999999999999997E-2</v>
      </c>
      <c r="K353" s="1">
        <f t="shared" si="72"/>
        <v>2.9999999999999997E-4</v>
      </c>
      <c r="L353" s="1">
        <f t="shared" si="73"/>
        <v>0.18613936472519524</v>
      </c>
      <c r="M353" s="1">
        <f t="shared" si="74"/>
        <v>2.7777777777777776E-2</v>
      </c>
      <c r="N353" s="1">
        <v>278</v>
      </c>
      <c r="O353" s="1">
        <v>3.0550000000000002</v>
      </c>
      <c r="P353" s="1">
        <v>4148</v>
      </c>
      <c r="Q353" s="1">
        <f>[1]!HeatTransferArea(I353,D353,0.36,K353)</f>
        <v>0.47123889803846908</v>
      </c>
      <c r="R353" s="1">
        <f>[1]!Convection(I353,M353,1000,9*10^-4,K353,0.6,0.36,7)</f>
        <v>34185.213621900613</v>
      </c>
      <c r="S353" s="1">
        <f t="shared" si="75"/>
        <v>2.2266564940290192</v>
      </c>
      <c r="T353" s="1">
        <f t="shared" si="76"/>
        <v>3.3115896807921906E-6</v>
      </c>
      <c r="U353" s="1">
        <f t="shared" si="77"/>
        <v>3.6795440897691016E-7</v>
      </c>
      <c r="V353" s="1">
        <f t="shared" si="78"/>
        <v>3</v>
      </c>
      <c r="W353" s="1">
        <f t="shared" si="79"/>
        <v>622.62478138422046</v>
      </c>
      <c r="X353" s="1">
        <f t="shared" si="80"/>
        <v>6.5466448445171848</v>
      </c>
      <c r="Y353" s="1">
        <f t="shared" si="81"/>
        <v>-0.36107700043940782</v>
      </c>
      <c r="Z353" s="1">
        <v>-28.5406637</v>
      </c>
    </row>
    <row r="354" spans="1:26" x14ac:dyDescent="0.25">
      <c r="A354" s="1">
        <v>25</v>
      </c>
      <c r="B354" s="1">
        <v>0.3</v>
      </c>
      <c r="C354" s="1">
        <v>3</v>
      </c>
      <c r="D354" s="1">
        <f t="shared" si="69"/>
        <v>7.4999999999999997E-2</v>
      </c>
      <c r="E354" s="1">
        <v>20</v>
      </c>
      <c r="F354" s="1">
        <v>1</v>
      </c>
      <c r="G354" s="1">
        <v>100</v>
      </c>
      <c r="H354" s="1">
        <v>21.57988521</v>
      </c>
      <c r="I354" s="1">
        <f t="shared" si="70"/>
        <v>2.5000000000000001E-2</v>
      </c>
      <c r="J354" s="1">
        <f t="shared" si="71"/>
        <v>7.4999999999999997E-2</v>
      </c>
      <c r="K354" s="1">
        <f t="shared" si="72"/>
        <v>2.9999999999999997E-4</v>
      </c>
      <c r="L354" s="1">
        <f t="shared" si="73"/>
        <v>0.18613936472519524</v>
      </c>
      <c r="M354" s="1">
        <f t="shared" si="74"/>
        <v>2.7777777777777776E-2</v>
      </c>
      <c r="N354" s="1">
        <v>278</v>
      </c>
      <c r="O354" s="1">
        <v>3.0550000000000002</v>
      </c>
      <c r="P354" s="1">
        <v>4148</v>
      </c>
      <c r="Q354" s="1">
        <f>[1]!HeatTransferArea(I354,D354,0.36,K354)</f>
        <v>0.47123889803846908</v>
      </c>
      <c r="R354" s="1">
        <f>[1]!Convection(I354,M354,1000,9*10^-4,K354,0.6,0.36,7)</f>
        <v>34185.213621900613</v>
      </c>
      <c r="S354" s="1">
        <f t="shared" si="75"/>
        <v>1.1133282470145096</v>
      </c>
      <c r="T354" s="1">
        <f t="shared" si="76"/>
        <v>6.6231793615843811E-6</v>
      </c>
      <c r="U354" s="1">
        <f t="shared" si="77"/>
        <v>7.3590881795382032E-7</v>
      </c>
      <c r="V354" s="1">
        <f t="shared" si="78"/>
        <v>3</v>
      </c>
      <c r="W354" s="1">
        <f t="shared" si="79"/>
        <v>311.31239069211023</v>
      </c>
      <c r="X354" s="1">
        <f t="shared" si="80"/>
        <v>6.5466448445171848</v>
      </c>
      <c r="Y354" s="1">
        <f t="shared" si="81"/>
        <v>0.13650699057593291</v>
      </c>
      <c r="Z354" s="1">
        <v>21.57988521</v>
      </c>
    </row>
    <row r="355" spans="1:26" x14ac:dyDescent="0.25">
      <c r="A355" s="1">
        <v>25</v>
      </c>
      <c r="B355" s="1">
        <v>0.3</v>
      </c>
      <c r="C355" s="1">
        <v>3</v>
      </c>
      <c r="D355" s="1">
        <f t="shared" si="69"/>
        <v>7.4999999999999997E-2</v>
      </c>
      <c r="E355" s="1">
        <v>20</v>
      </c>
      <c r="F355" s="1">
        <v>1.5</v>
      </c>
      <c r="G355" s="1">
        <v>100</v>
      </c>
      <c r="H355" s="1">
        <v>23.83832559</v>
      </c>
      <c r="I355" s="1">
        <f t="shared" si="70"/>
        <v>2.5000000000000001E-2</v>
      </c>
      <c r="J355" s="1">
        <f t="shared" si="71"/>
        <v>7.4999999999999997E-2</v>
      </c>
      <c r="K355" s="1">
        <f t="shared" si="72"/>
        <v>2.9999999999999997E-4</v>
      </c>
      <c r="L355" s="1">
        <f t="shared" si="73"/>
        <v>0.18613936472519524</v>
      </c>
      <c r="M355" s="1">
        <f t="shared" si="74"/>
        <v>2.7777777777777776E-2</v>
      </c>
      <c r="N355" s="1">
        <v>278</v>
      </c>
      <c r="O355" s="1">
        <v>3.0550000000000002</v>
      </c>
      <c r="P355" s="1">
        <v>4148</v>
      </c>
      <c r="Q355" s="1">
        <f>[1]!HeatTransferArea(I355,D355,0.36,K355)</f>
        <v>0.47123889803846908</v>
      </c>
      <c r="R355" s="1">
        <f>[1]!Convection(I355,M355,1000,9*10^-4,K355,0.6,0.36,7)</f>
        <v>34185.213621900613</v>
      </c>
      <c r="S355" s="1">
        <f t="shared" si="75"/>
        <v>0.74221883134300648</v>
      </c>
      <c r="T355" s="1">
        <f t="shared" si="76"/>
        <v>9.9347690423765725E-6</v>
      </c>
      <c r="U355" s="1">
        <f t="shared" si="77"/>
        <v>1.1038632269307305E-6</v>
      </c>
      <c r="V355" s="1">
        <f t="shared" si="78"/>
        <v>3</v>
      </c>
      <c r="W355" s="1">
        <f t="shared" si="79"/>
        <v>207.54159379474012</v>
      </c>
      <c r="X355" s="1">
        <f t="shared" si="80"/>
        <v>6.5466448445171848</v>
      </c>
      <c r="Y355" s="1">
        <f t="shared" si="81"/>
        <v>0.10052874254561894</v>
      </c>
      <c r="Z355" s="1">
        <v>23.83832559</v>
      </c>
    </row>
    <row r="356" spans="1:26" x14ac:dyDescent="0.25">
      <c r="A356" s="1">
        <v>25</v>
      </c>
      <c r="B356" s="1">
        <v>0.3</v>
      </c>
      <c r="C356" s="1">
        <v>4</v>
      </c>
      <c r="D356" s="1">
        <f t="shared" si="69"/>
        <v>0.1</v>
      </c>
      <c r="E356" s="1">
        <v>20</v>
      </c>
      <c r="F356" s="1">
        <v>0.5</v>
      </c>
      <c r="G356" s="1">
        <v>100</v>
      </c>
      <c r="H356" s="1">
        <v>12.082306839999999</v>
      </c>
      <c r="I356" s="1">
        <f t="shared" si="70"/>
        <v>2.5000000000000001E-2</v>
      </c>
      <c r="J356" s="1">
        <f t="shared" si="71"/>
        <v>0.1</v>
      </c>
      <c r="K356" s="1">
        <f t="shared" si="72"/>
        <v>2.9999999999999997E-4</v>
      </c>
      <c r="L356" s="1">
        <f t="shared" si="73"/>
        <v>0.24818581963359368</v>
      </c>
      <c r="M356" s="1">
        <f t="shared" si="74"/>
        <v>2.7777777777777776E-2</v>
      </c>
      <c r="N356" s="1">
        <v>278</v>
      </c>
      <c r="O356" s="1">
        <v>3.0550000000000002</v>
      </c>
      <c r="P356" s="1">
        <v>4148</v>
      </c>
      <c r="Q356" s="1">
        <f>[1]!HeatTransferArea(I356,D356,0.36,K356)</f>
        <v>0.62831853071795885</v>
      </c>
      <c r="R356" s="1">
        <f>[1]!Convection(I356,M356,1000,9*10^-4,K356,0.6,0.36,7)</f>
        <v>34185.213621900613</v>
      </c>
      <c r="S356" s="1">
        <f t="shared" si="75"/>
        <v>1.6699923705217643</v>
      </c>
      <c r="T356" s="1">
        <f t="shared" si="76"/>
        <v>5.8872705436305626E-6</v>
      </c>
      <c r="U356" s="1">
        <f t="shared" si="77"/>
        <v>3.6795440897691016E-7</v>
      </c>
      <c r="V356" s="1">
        <f t="shared" si="78"/>
        <v>4</v>
      </c>
      <c r="W356" s="1">
        <f t="shared" si="79"/>
        <v>622.62478138422046</v>
      </c>
      <c r="X356" s="1">
        <f t="shared" si="80"/>
        <v>6.5466448445171848</v>
      </c>
      <c r="Y356" s="1">
        <f t="shared" si="81"/>
        <v>0.1146428257073715</v>
      </c>
      <c r="Z356" s="1">
        <v>12.082306839999999</v>
      </c>
    </row>
    <row r="357" spans="1:26" x14ac:dyDescent="0.25">
      <c r="A357" s="1">
        <v>25</v>
      </c>
      <c r="B357" s="1">
        <v>0.3</v>
      </c>
      <c r="C357" s="1">
        <v>4</v>
      </c>
      <c r="D357" s="1">
        <f t="shared" si="69"/>
        <v>0.1</v>
      </c>
      <c r="E357" s="1">
        <v>20</v>
      </c>
      <c r="F357" s="1">
        <v>1</v>
      </c>
      <c r="G357" s="1">
        <v>100</v>
      </c>
      <c r="H357" s="1">
        <v>23.022157870000001</v>
      </c>
      <c r="I357" s="1">
        <f t="shared" si="70"/>
        <v>2.5000000000000001E-2</v>
      </c>
      <c r="J357" s="1">
        <f t="shared" si="71"/>
        <v>0.1</v>
      </c>
      <c r="K357" s="1">
        <f t="shared" si="72"/>
        <v>2.9999999999999997E-4</v>
      </c>
      <c r="L357" s="1">
        <f t="shared" si="73"/>
        <v>0.24818581963359368</v>
      </c>
      <c r="M357" s="1">
        <f t="shared" si="74"/>
        <v>2.7777777777777776E-2</v>
      </c>
      <c r="N357" s="1">
        <v>278</v>
      </c>
      <c r="O357" s="1">
        <v>3.0550000000000002</v>
      </c>
      <c r="P357" s="1">
        <v>4148</v>
      </c>
      <c r="Q357" s="1">
        <f>[1]!HeatTransferArea(I357,D357,0.36,K357)</f>
        <v>0.62831853071795885</v>
      </c>
      <c r="R357" s="1">
        <f>[1]!Convection(I357,M357,1000,9*10^-4,K357,0.6,0.36,7)</f>
        <v>34185.213621900613</v>
      </c>
      <c r="S357" s="1">
        <f t="shared" si="75"/>
        <v>0.83499618526088215</v>
      </c>
      <c r="T357" s="1">
        <f t="shared" si="76"/>
        <v>1.1774541087261125E-5</v>
      </c>
      <c r="U357" s="1">
        <f t="shared" si="77"/>
        <v>7.3590881795382032E-7</v>
      </c>
      <c r="V357" s="1">
        <f t="shared" si="78"/>
        <v>4</v>
      </c>
      <c r="W357" s="1">
        <f t="shared" si="79"/>
        <v>311.31239069211023</v>
      </c>
      <c r="X357" s="1">
        <f t="shared" si="80"/>
        <v>6.5466448445171848</v>
      </c>
      <c r="Y357" s="1">
        <f t="shared" si="81"/>
        <v>0.10922273647943548</v>
      </c>
      <c r="Z357" s="1">
        <v>23.022157870000001</v>
      </c>
    </row>
    <row r="358" spans="1:26" x14ac:dyDescent="0.25">
      <c r="A358" s="1">
        <v>25</v>
      </c>
      <c r="B358" s="1">
        <v>0.3</v>
      </c>
      <c r="C358" s="1">
        <v>4</v>
      </c>
      <c r="D358" s="1">
        <f t="shared" si="69"/>
        <v>0.1</v>
      </c>
      <c r="E358" s="1">
        <v>20</v>
      </c>
      <c r="F358" s="1">
        <v>1.5</v>
      </c>
      <c r="G358" s="1">
        <v>100</v>
      </c>
      <c r="H358" s="1">
        <v>23.97104169</v>
      </c>
      <c r="I358" s="1">
        <f t="shared" si="70"/>
        <v>2.5000000000000001E-2</v>
      </c>
      <c r="J358" s="1">
        <f t="shared" si="71"/>
        <v>0.1</v>
      </c>
      <c r="K358" s="1">
        <f t="shared" si="72"/>
        <v>2.9999999999999997E-4</v>
      </c>
      <c r="L358" s="1">
        <f t="shared" si="73"/>
        <v>0.24818581963359368</v>
      </c>
      <c r="M358" s="1">
        <f t="shared" si="74"/>
        <v>2.7777777777777776E-2</v>
      </c>
      <c r="N358" s="1">
        <v>278</v>
      </c>
      <c r="O358" s="1">
        <v>3.0550000000000002</v>
      </c>
      <c r="P358" s="1">
        <v>4148</v>
      </c>
      <c r="Q358" s="1">
        <f>[1]!HeatTransferArea(I358,D358,0.36,K358)</f>
        <v>0.62831853071795885</v>
      </c>
      <c r="R358" s="1">
        <f>[1]!Convection(I358,M358,1000,9*10^-4,K358,0.6,0.36,7)</f>
        <v>34185.213621900613</v>
      </c>
      <c r="S358" s="1">
        <f t="shared" si="75"/>
        <v>0.55666412350725469</v>
      </c>
      <c r="T358" s="1">
        <f t="shared" si="76"/>
        <v>1.7661811630891689E-5</v>
      </c>
      <c r="U358" s="1">
        <f t="shared" si="77"/>
        <v>1.1038632269307305E-6</v>
      </c>
      <c r="V358" s="1">
        <f t="shared" si="78"/>
        <v>4</v>
      </c>
      <c r="W358" s="1">
        <f t="shared" si="79"/>
        <v>207.54159379474012</v>
      </c>
      <c r="X358" s="1">
        <f t="shared" si="80"/>
        <v>6.5466448445171848</v>
      </c>
      <c r="Y358" s="1">
        <f t="shared" si="81"/>
        <v>7.581631529151503E-2</v>
      </c>
      <c r="Z358" s="1">
        <v>23.97104169</v>
      </c>
    </row>
    <row r="359" spans="1:26" x14ac:dyDescent="0.25">
      <c r="A359" s="1">
        <v>25</v>
      </c>
      <c r="B359" s="1">
        <v>0.3</v>
      </c>
      <c r="C359" s="1">
        <v>5</v>
      </c>
      <c r="D359" s="1">
        <f t="shared" si="69"/>
        <v>0.125</v>
      </c>
      <c r="E359" s="1">
        <v>20</v>
      </c>
      <c r="F359" s="1">
        <v>0.5</v>
      </c>
      <c r="G359" s="1">
        <v>100</v>
      </c>
      <c r="H359" s="1">
        <v>18.944279009999999</v>
      </c>
      <c r="I359" s="1">
        <f t="shared" si="70"/>
        <v>2.5000000000000001E-2</v>
      </c>
      <c r="J359" s="1">
        <f t="shared" si="71"/>
        <v>0.125</v>
      </c>
      <c r="K359" s="1">
        <f t="shared" si="72"/>
        <v>2.9999999999999997E-4</v>
      </c>
      <c r="L359" s="1">
        <f t="shared" si="73"/>
        <v>0.31023227454199215</v>
      </c>
      <c r="M359" s="1">
        <f t="shared" si="74"/>
        <v>2.7777777777777776E-2</v>
      </c>
      <c r="N359" s="1">
        <v>278</v>
      </c>
      <c r="O359" s="1">
        <v>3.0550000000000002</v>
      </c>
      <c r="P359" s="1">
        <v>4148</v>
      </c>
      <c r="Q359" s="1">
        <f>[1]!HeatTransferArea(I359,D359,0.36,K359)</f>
        <v>0.7853981633974485</v>
      </c>
      <c r="R359" s="1">
        <f>[1]!Convection(I359,M359,1000,9*10^-4,K359,0.6,0.36,7)</f>
        <v>34185.213621900613</v>
      </c>
      <c r="S359" s="1">
        <f t="shared" si="75"/>
        <v>1.3359938964174112</v>
      </c>
      <c r="T359" s="1">
        <f t="shared" si="76"/>
        <v>9.1988602244227514E-6</v>
      </c>
      <c r="U359" s="1">
        <f t="shared" si="77"/>
        <v>3.6795440897691016E-7</v>
      </c>
      <c r="V359" s="1">
        <f t="shared" si="78"/>
        <v>5</v>
      </c>
      <c r="W359" s="1">
        <f t="shared" si="79"/>
        <v>622.62478138422023</v>
      </c>
      <c r="X359" s="1">
        <f t="shared" si="80"/>
        <v>6.5466448445171848</v>
      </c>
      <c r="Y359" s="1">
        <f t="shared" si="81"/>
        <v>0.14380205405842819</v>
      </c>
      <c r="Z359" s="1">
        <v>18.944279009999999</v>
      </c>
    </row>
    <row r="360" spans="1:26" x14ac:dyDescent="0.25">
      <c r="A360" s="1">
        <v>25</v>
      </c>
      <c r="B360" s="1">
        <v>0.3</v>
      </c>
      <c r="C360" s="1">
        <v>5</v>
      </c>
      <c r="D360" s="1">
        <f t="shared" si="69"/>
        <v>0.125</v>
      </c>
      <c r="E360" s="1">
        <v>20</v>
      </c>
      <c r="F360" s="1">
        <v>1</v>
      </c>
      <c r="G360" s="1">
        <v>100</v>
      </c>
      <c r="H360" s="1">
        <v>23.188704479999998</v>
      </c>
      <c r="I360" s="1">
        <f t="shared" si="70"/>
        <v>2.5000000000000001E-2</v>
      </c>
      <c r="J360" s="1">
        <f t="shared" si="71"/>
        <v>0.125</v>
      </c>
      <c r="K360" s="1">
        <f t="shared" si="72"/>
        <v>2.9999999999999997E-4</v>
      </c>
      <c r="L360" s="1">
        <f t="shared" si="73"/>
        <v>0.31023227454199215</v>
      </c>
      <c r="M360" s="1">
        <f t="shared" si="74"/>
        <v>2.7777777777777776E-2</v>
      </c>
      <c r="N360" s="1">
        <v>278</v>
      </c>
      <c r="O360" s="1">
        <v>3.0550000000000002</v>
      </c>
      <c r="P360" s="1">
        <v>4148</v>
      </c>
      <c r="Q360" s="1">
        <f>[1]!HeatTransferArea(I360,D360,0.36,K360)</f>
        <v>0.7853981633974485</v>
      </c>
      <c r="R360" s="1">
        <f>[1]!Convection(I360,M360,1000,9*10^-4,K360,0.6,0.36,7)</f>
        <v>34185.213621900613</v>
      </c>
      <c r="S360" s="1">
        <f t="shared" si="75"/>
        <v>0.66799694820870559</v>
      </c>
      <c r="T360" s="1">
        <f t="shared" si="76"/>
        <v>1.8397720448845503E-5</v>
      </c>
      <c r="U360" s="1">
        <f t="shared" si="77"/>
        <v>7.3590881795382032E-7</v>
      </c>
      <c r="V360" s="1">
        <f t="shared" si="78"/>
        <v>5</v>
      </c>
      <c r="W360" s="1">
        <f t="shared" si="79"/>
        <v>311.31239069211011</v>
      </c>
      <c r="X360" s="1">
        <f t="shared" si="80"/>
        <v>6.5466448445171848</v>
      </c>
      <c r="Y360" s="1">
        <f t="shared" si="81"/>
        <v>8.8010299400089864E-2</v>
      </c>
      <c r="Z360" s="1">
        <v>23.188704479999998</v>
      </c>
    </row>
    <row r="361" spans="1:26" x14ac:dyDescent="0.25">
      <c r="A361" s="1">
        <v>25</v>
      </c>
      <c r="B361" s="1">
        <v>0.3</v>
      </c>
      <c r="C361" s="1">
        <v>5</v>
      </c>
      <c r="D361" s="1">
        <f t="shared" si="69"/>
        <v>0.125</v>
      </c>
      <c r="E361" s="1">
        <v>20</v>
      </c>
      <c r="F361" s="1">
        <v>1.5</v>
      </c>
      <c r="G361" s="1">
        <v>100</v>
      </c>
      <c r="H361" s="1">
        <v>23.763803410000001</v>
      </c>
      <c r="I361" s="1">
        <f t="shared" si="70"/>
        <v>2.5000000000000001E-2</v>
      </c>
      <c r="J361" s="1">
        <f t="shared" si="71"/>
        <v>0.125</v>
      </c>
      <c r="K361" s="1">
        <f t="shared" si="72"/>
        <v>2.9999999999999997E-4</v>
      </c>
      <c r="L361" s="1">
        <f t="shared" si="73"/>
        <v>0.31023227454199215</v>
      </c>
      <c r="M361" s="1">
        <f t="shared" si="74"/>
        <v>2.7777777777777776E-2</v>
      </c>
      <c r="N361" s="1">
        <v>278</v>
      </c>
      <c r="O361" s="1">
        <v>3.0550000000000002</v>
      </c>
      <c r="P361" s="1">
        <v>4148</v>
      </c>
      <c r="Q361" s="1">
        <f>[1]!HeatTransferArea(I361,D361,0.36,K361)</f>
        <v>0.7853981633974485</v>
      </c>
      <c r="R361" s="1">
        <f>[1]!Convection(I361,M361,1000,9*10^-4,K361,0.6,0.36,7)</f>
        <v>34185.213621900613</v>
      </c>
      <c r="S361" s="1">
        <f t="shared" si="75"/>
        <v>0.44533129880580374</v>
      </c>
      <c r="T361" s="1">
        <f t="shared" si="76"/>
        <v>2.7596580673268256E-5</v>
      </c>
      <c r="U361" s="1">
        <f t="shared" si="77"/>
        <v>1.1038632269307305E-6</v>
      </c>
      <c r="V361" s="1">
        <f t="shared" si="78"/>
        <v>5</v>
      </c>
      <c r="W361" s="1">
        <f t="shared" si="79"/>
        <v>207.54159379474009</v>
      </c>
      <c r="X361" s="1">
        <f t="shared" si="80"/>
        <v>6.5466448445171848</v>
      </c>
      <c r="Y361" s="1">
        <f t="shared" si="81"/>
        <v>6.0128684774170611E-2</v>
      </c>
      <c r="Z361" s="1">
        <v>23.763803410000001</v>
      </c>
    </row>
    <row r="362" spans="1:26" x14ac:dyDescent="0.25">
      <c r="A362" s="1">
        <v>25</v>
      </c>
      <c r="B362" s="1">
        <v>0.4</v>
      </c>
      <c r="C362" s="1">
        <v>3</v>
      </c>
      <c r="D362" s="1">
        <f t="shared" si="69"/>
        <v>7.4999999999999997E-2</v>
      </c>
      <c r="E362" s="1">
        <v>20</v>
      </c>
      <c r="F362" s="1">
        <v>0.5</v>
      </c>
      <c r="G362" s="1">
        <v>100</v>
      </c>
      <c r="H362" s="1">
        <v>-33.311079890000002</v>
      </c>
      <c r="I362" s="1">
        <f t="shared" si="70"/>
        <v>2.5000000000000001E-2</v>
      </c>
      <c r="J362" s="1">
        <f t="shared" si="71"/>
        <v>7.4999999999999997E-2</v>
      </c>
      <c r="K362" s="1">
        <f t="shared" si="72"/>
        <v>4.0000000000000002E-4</v>
      </c>
      <c r="L362" s="1">
        <f t="shared" si="73"/>
        <v>0.18613936472519524</v>
      </c>
      <c r="M362" s="1">
        <f t="shared" si="74"/>
        <v>2.7777777777777776E-2</v>
      </c>
      <c r="N362" s="1">
        <v>278</v>
      </c>
      <c r="O362" s="1">
        <v>3.0550000000000002</v>
      </c>
      <c r="P362" s="1">
        <v>4148</v>
      </c>
      <c r="Q362" s="1">
        <f>[1]!HeatTransferArea(I362,D362,0.36,K362)</f>
        <v>0.35342917352885178</v>
      </c>
      <c r="R362" s="1">
        <f>[1]!Convection(I362,M362,1000,9*10^-4,K362,0.6,0.36,7)</f>
        <v>25884.883040575744</v>
      </c>
      <c r="S362" s="1">
        <f t="shared" si="75"/>
        <v>2.2266564940290192</v>
      </c>
      <c r="T362" s="1">
        <f t="shared" si="76"/>
        <v>3.3115896807921906E-6</v>
      </c>
      <c r="U362" s="1">
        <f t="shared" si="77"/>
        <v>3.6795440897691016E-7</v>
      </c>
      <c r="V362" s="1">
        <f t="shared" si="78"/>
        <v>3</v>
      </c>
      <c r="W362" s="1">
        <f t="shared" si="79"/>
        <v>353.58641800258283</v>
      </c>
      <c r="X362" s="1">
        <f t="shared" si="80"/>
        <v>6.5466448445171848</v>
      </c>
      <c r="Y362" s="1">
        <f t="shared" si="81"/>
        <v>-0.42142905065233921</v>
      </c>
      <c r="Z362" s="1">
        <v>-33.311079890000002</v>
      </c>
    </row>
    <row r="363" spans="1:26" x14ac:dyDescent="0.25">
      <c r="A363" s="1">
        <v>25</v>
      </c>
      <c r="B363" s="1">
        <v>0.4</v>
      </c>
      <c r="C363" s="1">
        <v>3</v>
      </c>
      <c r="D363" s="1">
        <f t="shared" si="69"/>
        <v>7.4999999999999997E-2</v>
      </c>
      <c r="E363" s="1">
        <v>20</v>
      </c>
      <c r="F363" s="1">
        <v>1</v>
      </c>
      <c r="G363" s="1">
        <v>100</v>
      </c>
      <c r="H363" s="1">
        <v>19.854414160000001</v>
      </c>
      <c r="I363" s="1">
        <f t="shared" si="70"/>
        <v>2.5000000000000001E-2</v>
      </c>
      <c r="J363" s="1">
        <f t="shared" si="71"/>
        <v>7.4999999999999997E-2</v>
      </c>
      <c r="K363" s="1">
        <f t="shared" si="72"/>
        <v>4.0000000000000002E-4</v>
      </c>
      <c r="L363" s="1">
        <f t="shared" si="73"/>
        <v>0.18613936472519524</v>
      </c>
      <c r="M363" s="1">
        <f t="shared" si="74"/>
        <v>2.7777777777777776E-2</v>
      </c>
      <c r="N363" s="1">
        <v>278</v>
      </c>
      <c r="O363" s="1">
        <v>3.0550000000000002</v>
      </c>
      <c r="P363" s="1">
        <v>4148</v>
      </c>
      <c r="Q363" s="1">
        <f>[1]!HeatTransferArea(I363,D363,0.36,K363)</f>
        <v>0.35342917352885178</v>
      </c>
      <c r="R363" s="1">
        <f>[1]!Convection(I363,M363,1000,9*10^-4,K363,0.6,0.36,7)</f>
        <v>25884.883040575744</v>
      </c>
      <c r="S363" s="1">
        <f t="shared" si="75"/>
        <v>1.1133282470145096</v>
      </c>
      <c r="T363" s="1">
        <f t="shared" si="76"/>
        <v>6.6231793615843811E-6</v>
      </c>
      <c r="U363" s="1">
        <f t="shared" si="77"/>
        <v>7.3590881795382032E-7</v>
      </c>
      <c r="V363" s="1">
        <f t="shared" si="78"/>
        <v>3</v>
      </c>
      <c r="W363" s="1">
        <f t="shared" si="79"/>
        <v>176.79320900129142</v>
      </c>
      <c r="X363" s="1">
        <f t="shared" si="80"/>
        <v>6.5466448445171848</v>
      </c>
      <c r="Y363" s="1">
        <f t="shared" si="81"/>
        <v>0.12559224946080186</v>
      </c>
      <c r="Z363" s="1">
        <v>19.854414160000001</v>
      </c>
    </row>
    <row r="364" spans="1:26" x14ac:dyDescent="0.25">
      <c r="A364" s="1">
        <v>25</v>
      </c>
      <c r="B364" s="1">
        <v>0.4</v>
      </c>
      <c r="C364" s="1">
        <v>3</v>
      </c>
      <c r="D364" s="1">
        <f t="shared" si="69"/>
        <v>7.4999999999999997E-2</v>
      </c>
      <c r="E364" s="1">
        <v>20</v>
      </c>
      <c r="F364" s="1">
        <v>1.5</v>
      </c>
      <c r="G364" s="1">
        <v>100</v>
      </c>
      <c r="H364" s="1">
        <v>22.806636109999999</v>
      </c>
      <c r="I364" s="1">
        <f t="shared" si="70"/>
        <v>2.5000000000000001E-2</v>
      </c>
      <c r="J364" s="1">
        <f t="shared" si="71"/>
        <v>7.4999999999999997E-2</v>
      </c>
      <c r="K364" s="1">
        <f t="shared" si="72"/>
        <v>4.0000000000000002E-4</v>
      </c>
      <c r="L364" s="1">
        <f t="shared" si="73"/>
        <v>0.18613936472519524</v>
      </c>
      <c r="M364" s="1">
        <f t="shared" si="74"/>
        <v>2.7777777777777776E-2</v>
      </c>
      <c r="N364" s="1">
        <v>278</v>
      </c>
      <c r="O364" s="1">
        <v>3.0550000000000002</v>
      </c>
      <c r="P364" s="1">
        <v>4148</v>
      </c>
      <c r="Q364" s="1">
        <f>[1]!HeatTransferArea(I364,D364,0.36,K364)</f>
        <v>0.35342917352885178</v>
      </c>
      <c r="R364" s="1">
        <f>[1]!Convection(I364,M364,1000,9*10^-4,K364,0.6,0.36,7)</f>
        <v>25884.883040575744</v>
      </c>
      <c r="S364" s="1">
        <f t="shared" si="75"/>
        <v>0.74221883134300648</v>
      </c>
      <c r="T364" s="1">
        <f t="shared" si="76"/>
        <v>9.9347690423765725E-6</v>
      </c>
      <c r="U364" s="1">
        <f t="shared" si="77"/>
        <v>1.1038632269307305E-6</v>
      </c>
      <c r="V364" s="1">
        <f t="shared" si="78"/>
        <v>3</v>
      </c>
      <c r="W364" s="1">
        <f t="shared" si="79"/>
        <v>117.86213933419428</v>
      </c>
      <c r="X364" s="1">
        <f t="shared" si="80"/>
        <v>6.5466448445171848</v>
      </c>
      <c r="Y364" s="1">
        <f t="shared" si="81"/>
        <v>9.6177998793488512E-2</v>
      </c>
      <c r="Z364" s="1">
        <v>22.806636109999999</v>
      </c>
    </row>
    <row r="365" spans="1:26" x14ac:dyDescent="0.25">
      <c r="A365" s="1">
        <v>25</v>
      </c>
      <c r="B365" s="1">
        <v>0.4</v>
      </c>
      <c r="C365" s="1">
        <v>4</v>
      </c>
      <c r="D365" s="1">
        <f t="shared" si="69"/>
        <v>0.1</v>
      </c>
      <c r="E365" s="1">
        <v>20</v>
      </c>
      <c r="F365" s="1">
        <v>0.5</v>
      </c>
      <c r="G365" s="1">
        <v>100</v>
      </c>
      <c r="H365" s="1">
        <v>9.9523315700000001</v>
      </c>
      <c r="I365" s="1">
        <f t="shared" si="70"/>
        <v>2.5000000000000001E-2</v>
      </c>
      <c r="J365" s="1">
        <f t="shared" si="71"/>
        <v>0.1</v>
      </c>
      <c r="K365" s="1">
        <f t="shared" si="72"/>
        <v>4.0000000000000002E-4</v>
      </c>
      <c r="L365" s="1">
        <f t="shared" si="73"/>
        <v>0.24818581963359368</v>
      </c>
      <c r="M365" s="1">
        <f t="shared" si="74"/>
        <v>2.7777777777777776E-2</v>
      </c>
      <c r="N365" s="1">
        <v>278</v>
      </c>
      <c r="O365" s="1">
        <v>3.0550000000000002</v>
      </c>
      <c r="P365" s="1">
        <v>4148</v>
      </c>
      <c r="Q365" s="1">
        <f>[1]!HeatTransferArea(I365,D365,0.36,K365)</f>
        <v>0.47123889803846908</v>
      </c>
      <c r="R365" s="1">
        <f>[1]!Convection(I365,M365,1000,9*10^-4,K365,0.6,0.36,7)</f>
        <v>25884.883040575744</v>
      </c>
      <c r="S365" s="1">
        <f t="shared" si="75"/>
        <v>1.6699923705217643</v>
      </c>
      <c r="T365" s="1">
        <f t="shared" si="76"/>
        <v>5.8872705436305626E-6</v>
      </c>
      <c r="U365" s="1">
        <f t="shared" si="77"/>
        <v>3.6795440897691016E-7</v>
      </c>
      <c r="V365" s="1">
        <f t="shared" si="78"/>
        <v>4</v>
      </c>
      <c r="W365" s="1">
        <f t="shared" si="79"/>
        <v>353.58641800258283</v>
      </c>
      <c r="X365" s="1">
        <f t="shared" si="80"/>
        <v>6.5466448445171848</v>
      </c>
      <c r="Y365" s="1">
        <f t="shared" si="81"/>
        <v>9.4432580522138196E-2</v>
      </c>
      <c r="Z365" s="1">
        <v>9.9523315700000001</v>
      </c>
    </row>
    <row r="366" spans="1:26" x14ac:dyDescent="0.25">
      <c r="A366" s="1">
        <v>25</v>
      </c>
      <c r="B366" s="1">
        <v>0.4</v>
      </c>
      <c r="C366" s="1">
        <v>4</v>
      </c>
      <c r="D366" s="1">
        <f t="shared" si="69"/>
        <v>0.1</v>
      </c>
      <c r="E366" s="1">
        <v>20</v>
      </c>
      <c r="F366" s="1">
        <v>1</v>
      </c>
      <c r="G366" s="1">
        <v>100</v>
      </c>
      <c r="H366" s="1">
        <v>22.52406053</v>
      </c>
      <c r="I366" s="1">
        <f t="shared" si="70"/>
        <v>2.5000000000000001E-2</v>
      </c>
      <c r="J366" s="1">
        <f t="shared" si="71"/>
        <v>0.1</v>
      </c>
      <c r="K366" s="1">
        <f t="shared" si="72"/>
        <v>4.0000000000000002E-4</v>
      </c>
      <c r="L366" s="1">
        <f t="shared" si="73"/>
        <v>0.24818581963359368</v>
      </c>
      <c r="M366" s="1">
        <f t="shared" si="74"/>
        <v>2.7777777777777776E-2</v>
      </c>
      <c r="N366" s="1">
        <v>278</v>
      </c>
      <c r="O366" s="1">
        <v>3.0550000000000002</v>
      </c>
      <c r="P366" s="1">
        <v>4148</v>
      </c>
      <c r="Q366" s="1">
        <f>[1]!HeatTransferArea(I366,D366,0.36,K366)</f>
        <v>0.47123889803846908</v>
      </c>
      <c r="R366" s="1">
        <f>[1]!Convection(I366,M366,1000,9*10^-4,K366,0.6,0.36,7)</f>
        <v>25884.883040575744</v>
      </c>
      <c r="S366" s="1">
        <f t="shared" si="75"/>
        <v>0.83499618526088215</v>
      </c>
      <c r="T366" s="1">
        <f t="shared" si="76"/>
        <v>1.1774541087261125E-5</v>
      </c>
      <c r="U366" s="1">
        <f t="shared" si="77"/>
        <v>7.3590881795382032E-7</v>
      </c>
      <c r="V366" s="1">
        <f t="shared" si="78"/>
        <v>4</v>
      </c>
      <c r="W366" s="1">
        <f t="shared" si="79"/>
        <v>176.79320900129142</v>
      </c>
      <c r="X366" s="1">
        <f t="shared" si="80"/>
        <v>6.5466448445171848</v>
      </c>
      <c r="Y366" s="1">
        <f t="shared" si="81"/>
        <v>0.10685964111647557</v>
      </c>
      <c r="Z366" s="1">
        <v>22.52406053</v>
      </c>
    </row>
    <row r="367" spans="1:26" x14ac:dyDescent="0.25">
      <c r="A367" s="1">
        <v>25</v>
      </c>
      <c r="B367" s="1">
        <v>0.4</v>
      </c>
      <c r="C367" s="1">
        <v>4</v>
      </c>
      <c r="D367" s="1">
        <f t="shared" si="69"/>
        <v>0.1</v>
      </c>
      <c r="E367" s="1">
        <v>20</v>
      </c>
      <c r="F367" s="1">
        <v>1.5</v>
      </c>
      <c r="G367" s="1">
        <v>100</v>
      </c>
      <c r="H367" s="1">
        <v>23.680161999999999</v>
      </c>
      <c r="I367" s="1">
        <f t="shared" si="70"/>
        <v>2.5000000000000001E-2</v>
      </c>
      <c r="J367" s="1">
        <f t="shared" si="71"/>
        <v>0.1</v>
      </c>
      <c r="K367" s="1">
        <f t="shared" si="72"/>
        <v>4.0000000000000002E-4</v>
      </c>
      <c r="L367" s="1">
        <f t="shared" si="73"/>
        <v>0.24818581963359368</v>
      </c>
      <c r="M367" s="1">
        <f t="shared" si="74"/>
        <v>2.7777777777777776E-2</v>
      </c>
      <c r="N367" s="1">
        <v>278</v>
      </c>
      <c r="O367" s="1">
        <v>3.0550000000000002</v>
      </c>
      <c r="P367" s="1">
        <v>4148</v>
      </c>
      <c r="Q367" s="1">
        <f>[1]!HeatTransferArea(I367,D367,0.36,K367)</f>
        <v>0.47123889803846908</v>
      </c>
      <c r="R367" s="1">
        <f>[1]!Convection(I367,M367,1000,9*10^-4,K367,0.6,0.36,7)</f>
        <v>25884.883040575744</v>
      </c>
      <c r="S367" s="1">
        <f t="shared" si="75"/>
        <v>0.55666412350725469</v>
      </c>
      <c r="T367" s="1">
        <f t="shared" si="76"/>
        <v>1.7661811630891689E-5</v>
      </c>
      <c r="U367" s="1">
        <f t="shared" si="77"/>
        <v>1.1038632269307305E-6</v>
      </c>
      <c r="V367" s="1">
        <f t="shared" si="78"/>
        <v>4</v>
      </c>
      <c r="W367" s="1">
        <f t="shared" si="79"/>
        <v>117.86213933419428</v>
      </c>
      <c r="X367" s="1">
        <f t="shared" si="80"/>
        <v>6.5466448445171848</v>
      </c>
      <c r="Y367" s="1">
        <f t="shared" si="81"/>
        <v>7.4896312457506428E-2</v>
      </c>
      <c r="Z367" s="1">
        <v>23.680161999999999</v>
      </c>
    </row>
    <row r="368" spans="1:26" x14ac:dyDescent="0.25">
      <c r="A368" s="1">
        <v>25</v>
      </c>
      <c r="B368" s="1">
        <v>0.4</v>
      </c>
      <c r="C368" s="1">
        <v>5</v>
      </c>
      <c r="D368" s="1">
        <f t="shared" si="69"/>
        <v>0.125</v>
      </c>
      <c r="E368" s="1">
        <v>20</v>
      </c>
      <c r="F368" s="1">
        <v>0.5</v>
      </c>
      <c r="G368" s="1">
        <v>100</v>
      </c>
      <c r="H368" s="1">
        <v>18.244858199999999</v>
      </c>
      <c r="I368" s="1">
        <f t="shared" si="70"/>
        <v>2.5000000000000001E-2</v>
      </c>
      <c r="J368" s="1">
        <f t="shared" si="71"/>
        <v>0.125</v>
      </c>
      <c r="K368" s="1">
        <f t="shared" si="72"/>
        <v>4.0000000000000002E-4</v>
      </c>
      <c r="L368" s="1">
        <f t="shared" si="73"/>
        <v>0.31023227454199215</v>
      </c>
      <c r="M368" s="1">
        <f t="shared" si="74"/>
        <v>2.7777777777777776E-2</v>
      </c>
      <c r="N368" s="1">
        <v>278</v>
      </c>
      <c r="O368" s="1">
        <v>3.0550000000000002</v>
      </c>
      <c r="P368" s="1">
        <v>4148</v>
      </c>
      <c r="Q368" s="1">
        <f>[1]!HeatTransferArea(I368,D368,0.36,K368)</f>
        <v>0.58904862254808632</v>
      </c>
      <c r="R368" s="1">
        <f>[1]!Convection(I368,M368,1000,9*10^-4,K368,0.6,0.36,7)</f>
        <v>25884.883040575744</v>
      </c>
      <c r="S368" s="1">
        <f t="shared" si="75"/>
        <v>1.3359938964174112</v>
      </c>
      <c r="T368" s="1">
        <f t="shared" si="76"/>
        <v>9.1988602244227514E-6</v>
      </c>
      <c r="U368" s="1">
        <f t="shared" si="77"/>
        <v>3.6795440897691016E-7</v>
      </c>
      <c r="V368" s="1">
        <f t="shared" si="78"/>
        <v>5</v>
      </c>
      <c r="W368" s="1">
        <f t="shared" si="79"/>
        <v>353.58641800258277</v>
      </c>
      <c r="X368" s="1">
        <f t="shared" si="80"/>
        <v>6.5466448445171848</v>
      </c>
      <c r="Y368" s="1">
        <f t="shared" si="81"/>
        <v>0.13849289718441266</v>
      </c>
      <c r="Z368" s="1">
        <v>18.244858199999999</v>
      </c>
    </row>
    <row r="369" spans="1:26" x14ac:dyDescent="0.25">
      <c r="A369" s="1">
        <v>25</v>
      </c>
      <c r="B369" s="1">
        <v>0.4</v>
      </c>
      <c r="C369" s="1">
        <v>5</v>
      </c>
      <c r="D369" s="1">
        <f t="shared" si="69"/>
        <v>0.125</v>
      </c>
      <c r="E369" s="1">
        <v>20</v>
      </c>
      <c r="F369" s="1">
        <v>1</v>
      </c>
      <c r="G369" s="1">
        <v>100</v>
      </c>
      <c r="H369" s="1">
        <v>23.20346932</v>
      </c>
      <c r="I369" s="1">
        <f t="shared" si="70"/>
        <v>2.5000000000000001E-2</v>
      </c>
      <c r="J369" s="1">
        <f t="shared" si="71"/>
        <v>0.125</v>
      </c>
      <c r="K369" s="1">
        <f t="shared" si="72"/>
        <v>4.0000000000000002E-4</v>
      </c>
      <c r="L369" s="1">
        <f t="shared" si="73"/>
        <v>0.31023227454199215</v>
      </c>
      <c r="M369" s="1">
        <f t="shared" si="74"/>
        <v>2.7777777777777776E-2</v>
      </c>
      <c r="N369" s="1">
        <v>278</v>
      </c>
      <c r="O369" s="1">
        <v>3.0550000000000002</v>
      </c>
      <c r="P369" s="1">
        <v>4148</v>
      </c>
      <c r="Q369" s="1">
        <f>[1]!HeatTransferArea(I369,D369,0.36,K369)</f>
        <v>0.58904862254808632</v>
      </c>
      <c r="R369" s="1">
        <f>[1]!Convection(I369,M369,1000,9*10^-4,K369,0.6,0.36,7)</f>
        <v>25884.883040575744</v>
      </c>
      <c r="S369" s="1">
        <f t="shared" si="75"/>
        <v>0.66799694820870559</v>
      </c>
      <c r="T369" s="1">
        <f t="shared" si="76"/>
        <v>1.8397720448845503E-5</v>
      </c>
      <c r="U369" s="1">
        <f t="shared" si="77"/>
        <v>7.3590881795382032E-7</v>
      </c>
      <c r="V369" s="1">
        <f t="shared" si="78"/>
        <v>5</v>
      </c>
      <c r="W369" s="1">
        <f t="shared" si="79"/>
        <v>176.79320900129139</v>
      </c>
      <c r="X369" s="1">
        <f t="shared" si="80"/>
        <v>6.5466448445171848</v>
      </c>
      <c r="Y369" s="1">
        <f t="shared" si="81"/>
        <v>8.8066337804051376E-2</v>
      </c>
      <c r="Z369" s="1">
        <v>23.20346932</v>
      </c>
    </row>
    <row r="370" spans="1:26" x14ac:dyDescent="0.25">
      <c r="A370" s="1">
        <v>25</v>
      </c>
      <c r="B370" s="1">
        <v>0.4</v>
      </c>
      <c r="C370" s="1">
        <v>5</v>
      </c>
      <c r="D370" s="1">
        <f t="shared" si="69"/>
        <v>0.125</v>
      </c>
      <c r="E370" s="1">
        <v>20</v>
      </c>
      <c r="F370" s="1">
        <v>1.5</v>
      </c>
      <c r="G370" s="1">
        <v>100</v>
      </c>
      <c r="H370" s="1">
        <v>23.806382500000002</v>
      </c>
      <c r="I370" s="1">
        <f t="shared" si="70"/>
        <v>2.5000000000000001E-2</v>
      </c>
      <c r="J370" s="1">
        <f t="shared" si="71"/>
        <v>0.125</v>
      </c>
      <c r="K370" s="1">
        <f t="shared" si="72"/>
        <v>4.0000000000000002E-4</v>
      </c>
      <c r="L370" s="1">
        <f t="shared" si="73"/>
        <v>0.31023227454199215</v>
      </c>
      <c r="M370" s="1">
        <f t="shared" si="74"/>
        <v>2.7777777777777776E-2</v>
      </c>
      <c r="N370" s="1">
        <v>278</v>
      </c>
      <c r="O370" s="1">
        <v>3.0550000000000002</v>
      </c>
      <c r="P370" s="1">
        <v>4148</v>
      </c>
      <c r="Q370" s="1">
        <f>[1]!HeatTransferArea(I370,D370,0.36,K370)</f>
        <v>0.58904862254808632</v>
      </c>
      <c r="R370" s="1">
        <f>[1]!Convection(I370,M370,1000,9*10^-4,K370,0.6,0.36,7)</f>
        <v>25884.883040575744</v>
      </c>
      <c r="S370" s="1">
        <f t="shared" si="75"/>
        <v>0.44533129880580374</v>
      </c>
      <c r="T370" s="1">
        <f t="shared" si="76"/>
        <v>2.7596580673268256E-5</v>
      </c>
      <c r="U370" s="1">
        <f t="shared" si="77"/>
        <v>1.1038632269307305E-6</v>
      </c>
      <c r="V370" s="1">
        <f t="shared" si="78"/>
        <v>5</v>
      </c>
      <c r="W370" s="1">
        <f t="shared" si="79"/>
        <v>117.86213933419425</v>
      </c>
      <c r="X370" s="1">
        <f t="shared" si="80"/>
        <v>6.5466448445171848</v>
      </c>
      <c r="Y370" s="1">
        <f t="shared" si="81"/>
        <v>6.0236421092150071E-2</v>
      </c>
      <c r="Z370" s="1">
        <v>23.806382500000002</v>
      </c>
    </row>
    <row r="371" spans="1:26" x14ac:dyDescent="0.25">
      <c r="A371" s="1">
        <v>25</v>
      </c>
      <c r="B371" s="1">
        <v>0.5</v>
      </c>
      <c r="C371" s="1">
        <v>3</v>
      </c>
      <c r="D371" s="1">
        <f t="shared" si="69"/>
        <v>7.4999999999999997E-2</v>
      </c>
      <c r="E371" s="1">
        <v>20</v>
      </c>
      <c r="F371" s="1">
        <v>0.5</v>
      </c>
      <c r="G371" s="1">
        <v>100</v>
      </c>
      <c r="H371" s="1">
        <v>-39.268587920000002</v>
      </c>
      <c r="I371" s="1">
        <f t="shared" si="70"/>
        <v>2.5000000000000001E-2</v>
      </c>
      <c r="J371" s="1">
        <f t="shared" si="71"/>
        <v>7.4999999999999997E-2</v>
      </c>
      <c r="K371" s="1">
        <f t="shared" si="72"/>
        <v>5.0000000000000001E-4</v>
      </c>
      <c r="L371" s="1">
        <f t="shared" si="73"/>
        <v>0.18613936472519524</v>
      </c>
      <c r="M371" s="1">
        <f t="shared" si="74"/>
        <v>2.7777777777777776E-2</v>
      </c>
      <c r="N371" s="1">
        <v>278</v>
      </c>
      <c r="O371" s="1">
        <v>3.0550000000000002</v>
      </c>
      <c r="P371" s="1">
        <v>4148</v>
      </c>
      <c r="Q371" s="1">
        <f>[1]!HeatTransferArea(I371,D371,0.36,K371)</f>
        <v>0.28274333882308145</v>
      </c>
      <c r="R371" s="1">
        <f>[1]!Convection(I371,M371,1000,9*10^-4,K371,0.6,0.36,7)</f>
        <v>20885.729705543305</v>
      </c>
      <c r="S371" s="1">
        <f t="shared" si="75"/>
        <v>2.2266564940290192</v>
      </c>
      <c r="T371" s="1">
        <f t="shared" si="76"/>
        <v>3.3115896807921906E-6</v>
      </c>
      <c r="U371" s="1">
        <f t="shared" si="77"/>
        <v>3.6795440897691016E-7</v>
      </c>
      <c r="V371" s="1">
        <f t="shared" si="78"/>
        <v>3</v>
      </c>
      <c r="W371" s="1">
        <f t="shared" si="79"/>
        <v>228.23855429061081</v>
      </c>
      <c r="X371" s="1">
        <f t="shared" si="80"/>
        <v>6.5466448445171848</v>
      </c>
      <c r="Y371" s="1">
        <f t="shared" si="81"/>
        <v>-0.49679937673084895</v>
      </c>
      <c r="Z371" s="1">
        <v>-39.268587920000002</v>
      </c>
    </row>
    <row r="372" spans="1:26" x14ac:dyDescent="0.25">
      <c r="A372" s="1">
        <v>25</v>
      </c>
      <c r="B372" s="1">
        <v>0.5</v>
      </c>
      <c r="C372" s="1">
        <v>3</v>
      </c>
      <c r="D372" s="1">
        <f t="shared" si="69"/>
        <v>7.4999999999999997E-2</v>
      </c>
      <c r="E372" s="1">
        <v>20</v>
      </c>
      <c r="F372" s="1">
        <v>1</v>
      </c>
      <c r="G372" s="1">
        <v>100</v>
      </c>
      <c r="H372" s="1">
        <v>17.14546601</v>
      </c>
      <c r="I372" s="1">
        <f t="shared" si="70"/>
        <v>2.5000000000000001E-2</v>
      </c>
      <c r="J372" s="1">
        <f t="shared" si="71"/>
        <v>7.4999999999999997E-2</v>
      </c>
      <c r="K372" s="1">
        <f t="shared" si="72"/>
        <v>5.0000000000000001E-4</v>
      </c>
      <c r="L372" s="1">
        <f t="shared" si="73"/>
        <v>0.18613936472519524</v>
      </c>
      <c r="M372" s="1">
        <f t="shared" si="74"/>
        <v>2.7777777777777776E-2</v>
      </c>
      <c r="N372" s="1">
        <v>278</v>
      </c>
      <c r="O372" s="1">
        <v>3.0550000000000002</v>
      </c>
      <c r="P372" s="1">
        <v>4148</v>
      </c>
      <c r="Q372" s="1">
        <f>[1]!HeatTransferArea(I372,D372,0.36,K372)</f>
        <v>0.28274333882308145</v>
      </c>
      <c r="R372" s="1">
        <f>[1]!Convection(I372,M372,1000,9*10^-4,K372,0.6,0.36,7)</f>
        <v>20885.729705543305</v>
      </c>
      <c r="S372" s="1">
        <f t="shared" si="75"/>
        <v>1.1133282470145096</v>
      </c>
      <c r="T372" s="1">
        <f t="shared" si="76"/>
        <v>6.6231793615843811E-6</v>
      </c>
      <c r="U372" s="1">
        <f t="shared" si="77"/>
        <v>7.3590881795382032E-7</v>
      </c>
      <c r="V372" s="1">
        <f t="shared" si="78"/>
        <v>3</v>
      </c>
      <c r="W372" s="1">
        <f t="shared" si="79"/>
        <v>114.1192771453054</v>
      </c>
      <c r="X372" s="1">
        <f t="shared" si="80"/>
        <v>6.5466448445171848</v>
      </c>
      <c r="Y372" s="1">
        <f t="shared" si="81"/>
        <v>0.10845636778283159</v>
      </c>
      <c r="Z372" s="1">
        <v>17.14546601</v>
      </c>
    </row>
    <row r="373" spans="1:26" x14ac:dyDescent="0.25">
      <c r="A373" s="1">
        <v>25</v>
      </c>
      <c r="B373" s="1">
        <v>0.5</v>
      </c>
      <c r="C373" s="1">
        <v>3</v>
      </c>
      <c r="D373" s="1">
        <f t="shared" si="69"/>
        <v>7.4999999999999997E-2</v>
      </c>
      <c r="E373" s="1">
        <v>20</v>
      </c>
      <c r="F373" s="1">
        <v>1.5</v>
      </c>
      <c r="G373" s="1">
        <v>100</v>
      </c>
      <c r="H373" s="1">
        <v>20.919411350000001</v>
      </c>
      <c r="I373" s="1">
        <f t="shared" si="70"/>
        <v>2.5000000000000001E-2</v>
      </c>
      <c r="J373" s="1">
        <f t="shared" si="71"/>
        <v>7.4999999999999997E-2</v>
      </c>
      <c r="K373" s="1">
        <f t="shared" si="72"/>
        <v>5.0000000000000001E-4</v>
      </c>
      <c r="L373" s="1">
        <f t="shared" si="73"/>
        <v>0.18613936472519524</v>
      </c>
      <c r="M373" s="1">
        <f t="shared" si="74"/>
        <v>2.7777777777777776E-2</v>
      </c>
      <c r="N373" s="1">
        <v>278</v>
      </c>
      <c r="O373" s="1">
        <v>3.0550000000000002</v>
      </c>
      <c r="P373" s="1">
        <v>4148</v>
      </c>
      <c r="Q373" s="1">
        <f>[1]!HeatTransferArea(I373,D373,0.36,K373)</f>
        <v>0.28274333882308145</v>
      </c>
      <c r="R373" s="1">
        <f>[1]!Convection(I373,M373,1000,9*10^-4,K373,0.6,0.36,7)</f>
        <v>20885.729705543305</v>
      </c>
      <c r="S373" s="1">
        <f t="shared" si="75"/>
        <v>0.74221883134300648</v>
      </c>
      <c r="T373" s="1">
        <f t="shared" si="76"/>
        <v>9.9347690423765725E-6</v>
      </c>
      <c r="U373" s="1">
        <f t="shared" si="77"/>
        <v>1.1038632269307305E-6</v>
      </c>
      <c r="V373" s="1">
        <f t="shared" si="78"/>
        <v>3</v>
      </c>
      <c r="W373" s="1">
        <f t="shared" si="79"/>
        <v>76.079518096870274</v>
      </c>
      <c r="X373" s="1">
        <f t="shared" si="80"/>
        <v>6.5466448445171848</v>
      </c>
      <c r="Y373" s="1">
        <f t="shared" si="81"/>
        <v>8.8219372198366258E-2</v>
      </c>
      <c r="Z373" s="1">
        <v>20.919411350000001</v>
      </c>
    </row>
    <row r="374" spans="1:26" x14ac:dyDescent="0.25">
      <c r="A374" s="1">
        <v>25</v>
      </c>
      <c r="B374" s="1">
        <v>0.5</v>
      </c>
      <c r="C374" s="1">
        <v>4</v>
      </c>
      <c r="D374" s="1">
        <f t="shared" si="69"/>
        <v>0.1</v>
      </c>
      <c r="E374" s="1">
        <v>20</v>
      </c>
      <c r="F374" s="1">
        <v>0.5</v>
      </c>
      <c r="G374" s="1">
        <v>100</v>
      </c>
      <c r="H374" s="1">
        <v>6.7943602199999997</v>
      </c>
      <c r="I374" s="1">
        <f t="shared" si="70"/>
        <v>2.5000000000000001E-2</v>
      </c>
      <c r="J374" s="1">
        <f t="shared" si="71"/>
        <v>0.1</v>
      </c>
      <c r="K374" s="1">
        <f t="shared" si="72"/>
        <v>5.0000000000000001E-4</v>
      </c>
      <c r="L374" s="1">
        <f t="shared" si="73"/>
        <v>0.24818581963359368</v>
      </c>
      <c r="M374" s="1">
        <f t="shared" si="74"/>
        <v>2.7777777777777776E-2</v>
      </c>
      <c r="N374" s="1">
        <v>278</v>
      </c>
      <c r="O374" s="1">
        <v>3.0550000000000002</v>
      </c>
      <c r="P374" s="1">
        <v>4148</v>
      </c>
      <c r="Q374" s="1">
        <f>[1]!HeatTransferArea(I374,D374,0.36,K374)</f>
        <v>0.37699111843077526</v>
      </c>
      <c r="R374" s="1">
        <f>[1]!Convection(I374,M374,1000,9*10^-4,K374,0.6,0.36,7)</f>
        <v>20885.729705543305</v>
      </c>
      <c r="S374" s="1">
        <f t="shared" si="75"/>
        <v>1.6699923705217643</v>
      </c>
      <c r="T374" s="1">
        <f t="shared" si="76"/>
        <v>5.8872705436305626E-6</v>
      </c>
      <c r="U374" s="1">
        <f t="shared" si="77"/>
        <v>3.6795440897691016E-7</v>
      </c>
      <c r="V374" s="1">
        <f t="shared" si="78"/>
        <v>4</v>
      </c>
      <c r="W374" s="1">
        <f t="shared" si="79"/>
        <v>228.23855429061078</v>
      </c>
      <c r="X374" s="1">
        <f t="shared" si="80"/>
        <v>6.5466448445171848</v>
      </c>
      <c r="Y374" s="1">
        <f t="shared" si="81"/>
        <v>6.4468206676876472E-2</v>
      </c>
      <c r="Z374" s="1">
        <v>6.7943602199999997</v>
      </c>
    </row>
    <row r="375" spans="1:26" x14ac:dyDescent="0.25">
      <c r="A375" s="1">
        <v>25</v>
      </c>
      <c r="B375" s="1">
        <v>0.5</v>
      </c>
      <c r="C375" s="1">
        <v>4</v>
      </c>
      <c r="D375" s="1">
        <f t="shared" si="69"/>
        <v>0.1</v>
      </c>
      <c r="E375" s="1">
        <v>20</v>
      </c>
      <c r="F375" s="1">
        <v>1</v>
      </c>
      <c r="G375" s="1">
        <v>100</v>
      </c>
      <c r="H375" s="1">
        <v>21.27158154</v>
      </c>
      <c r="I375" s="1">
        <f t="shared" si="70"/>
        <v>2.5000000000000001E-2</v>
      </c>
      <c r="J375" s="1">
        <f t="shared" si="71"/>
        <v>0.1</v>
      </c>
      <c r="K375" s="1">
        <f t="shared" si="72"/>
        <v>5.0000000000000001E-4</v>
      </c>
      <c r="L375" s="1">
        <f t="shared" si="73"/>
        <v>0.24818581963359368</v>
      </c>
      <c r="M375" s="1">
        <f t="shared" si="74"/>
        <v>2.7777777777777776E-2</v>
      </c>
      <c r="N375" s="1">
        <v>278</v>
      </c>
      <c r="O375" s="1">
        <v>3.0550000000000002</v>
      </c>
      <c r="P375" s="1">
        <v>4148</v>
      </c>
      <c r="Q375" s="1">
        <f>[1]!HeatTransferArea(I375,D375,0.36,K375)</f>
        <v>0.37699111843077526</v>
      </c>
      <c r="R375" s="1">
        <f>[1]!Convection(I375,M375,1000,9*10^-4,K375,0.6,0.36,7)</f>
        <v>20885.729705543305</v>
      </c>
      <c r="S375" s="1">
        <f t="shared" si="75"/>
        <v>0.83499618526088215</v>
      </c>
      <c r="T375" s="1">
        <f t="shared" si="76"/>
        <v>1.1774541087261125E-5</v>
      </c>
      <c r="U375" s="1">
        <f t="shared" si="77"/>
        <v>7.3590881795382032E-7</v>
      </c>
      <c r="V375" s="1">
        <f t="shared" si="78"/>
        <v>4</v>
      </c>
      <c r="W375" s="1">
        <f t="shared" si="79"/>
        <v>114.11927714530539</v>
      </c>
      <c r="X375" s="1">
        <f t="shared" si="80"/>
        <v>6.5466448445171848</v>
      </c>
      <c r="Y375" s="1">
        <f t="shared" si="81"/>
        <v>0.10091757506674781</v>
      </c>
      <c r="Z375" s="1">
        <v>21.27158154</v>
      </c>
    </row>
    <row r="376" spans="1:26" x14ac:dyDescent="0.25">
      <c r="A376" s="1">
        <v>25</v>
      </c>
      <c r="B376" s="1">
        <v>0.5</v>
      </c>
      <c r="C376" s="1">
        <v>4</v>
      </c>
      <c r="D376" s="1">
        <f t="shared" si="69"/>
        <v>0.1</v>
      </c>
      <c r="E376" s="1">
        <v>20</v>
      </c>
      <c r="F376" s="1">
        <v>1.5</v>
      </c>
      <c r="G376" s="1">
        <v>100</v>
      </c>
      <c r="H376" s="1">
        <v>22.75077838</v>
      </c>
      <c r="I376" s="1">
        <f t="shared" si="70"/>
        <v>2.5000000000000001E-2</v>
      </c>
      <c r="J376" s="1">
        <f t="shared" si="71"/>
        <v>0.1</v>
      </c>
      <c r="K376" s="1">
        <f t="shared" si="72"/>
        <v>5.0000000000000001E-4</v>
      </c>
      <c r="L376" s="1">
        <f t="shared" si="73"/>
        <v>0.24818581963359368</v>
      </c>
      <c r="M376" s="1">
        <f t="shared" si="74"/>
        <v>2.7777777777777776E-2</v>
      </c>
      <c r="N376" s="1">
        <v>278</v>
      </c>
      <c r="O376" s="1">
        <v>3.0550000000000002</v>
      </c>
      <c r="P376" s="1">
        <v>4148</v>
      </c>
      <c r="Q376" s="1">
        <f>[1]!HeatTransferArea(I376,D376,0.36,K376)</f>
        <v>0.37699111843077526</v>
      </c>
      <c r="R376" s="1">
        <f>[1]!Convection(I376,M376,1000,9*10^-4,K376,0.6,0.36,7)</f>
        <v>20885.729705543305</v>
      </c>
      <c r="S376" s="1">
        <f t="shared" si="75"/>
        <v>0.55666412350725469</v>
      </c>
      <c r="T376" s="1">
        <f t="shared" si="76"/>
        <v>1.7661811630891689E-5</v>
      </c>
      <c r="U376" s="1">
        <f t="shared" si="77"/>
        <v>1.1038632269307305E-6</v>
      </c>
      <c r="V376" s="1">
        <f t="shared" si="78"/>
        <v>4</v>
      </c>
      <c r="W376" s="1">
        <f t="shared" si="79"/>
        <v>76.07951809687026</v>
      </c>
      <c r="X376" s="1">
        <f t="shared" si="80"/>
        <v>6.5466448445171848</v>
      </c>
      <c r="Y376" s="1">
        <f t="shared" si="81"/>
        <v>7.1956830624721316E-2</v>
      </c>
      <c r="Z376" s="1">
        <v>22.75077838</v>
      </c>
    </row>
    <row r="377" spans="1:26" x14ac:dyDescent="0.25">
      <c r="A377" s="1">
        <v>25</v>
      </c>
      <c r="B377" s="1">
        <v>0.5</v>
      </c>
      <c r="C377" s="1">
        <v>5</v>
      </c>
      <c r="D377" s="1">
        <f t="shared" si="69"/>
        <v>0.125</v>
      </c>
      <c r="E377" s="1">
        <v>20</v>
      </c>
      <c r="F377" s="1">
        <v>0.5</v>
      </c>
      <c r="G377" s="1">
        <v>100</v>
      </c>
      <c r="H377" s="1">
        <v>16.63235259</v>
      </c>
      <c r="I377" s="1">
        <f t="shared" si="70"/>
        <v>2.5000000000000001E-2</v>
      </c>
      <c r="J377" s="1">
        <f t="shared" si="71"/>
        <v>0.125</v>
      </c>
      <c r="K377" s="1">
        <f t="shared" si="72"/>
        <v>5.0000000000000001E-4</v>
      </c>
      <c r="L377" s="1">
        <f t="shared" si="73"/>
        <v>0.31023227454199215</v>
      </c>
      <c r="M377" s="1">
        <f t="shared" si="74"/>
        <v>2.7777777777777776E-2</v>
      </c>
      <c r="N377" s="1">
        <v>278</v>
      </c>
      <c r="O377" s="1">
        <v>3.0550000000000002</v>
      </c>
      <c r="P377" s="1">
        <v>4148</v>
      </c>
      <c r="Q377" s="1">
        <f>[1]!HeatTransferArea(I377,D377,0.36,K377)</f>
        <v>0.47123889803846908</v>
      </c>
      <c r="R377" s="1">
        <f>[1]!Convection(I377,M377,1000,9*10^-4,K377,0.6,0.36,7)</f>
        <v>20885.729705543305</v>
      </c>
      <c r="S377" s="1">
        <f t="shared" si="75"/>
        <v>1.3359938964174112</v>
      </c>
      <c r="T377" s="1">
        <f t="shared" si="76"/>
        <v>9.1988602244227514E-6</v>
      </c>
      <c r="U377" s="1">
        <f t="shared" si="77"/>
        <v>3.6795440897691016E-7</v>
      </c>
      <c r="V377" s="1">
        <f t="shared" si="78"/>
        <v>5</v>
      </c>
      <c r="W377" s="1">
        <f t="shared" si="79"/>
        <v>228.23855429061072</v>
      </c>
      <c r="X377" s="1">
        <f t="shared" si="80"/>
        <v>6.5466448445171848</v>
      </c>
      <c r="Y377" s="1">
        <f t="shared" si="81"/>
        <v>0.12625270484052156</v>
      </c>
      <c r="Z377" s="1">
        <v>16.63235259</v>
      </c>
    </row>
    <row r="378" spans="1:26" x14ac:dyDescent="0.25">
      <c r="A378" s="1">
        <v>25</v>
      </c>
      <c r="B378" s="1">
        <v>0.5</v>
      </c>
      <c r="C378" s="1">
        <v>5</v>
      </c>
      <c r="D378" s="1">
        <f t="shared" si="69"/>
        <v>0.125</v>
      </c>
      <c r="E378" s="1">
        <v>20</v>
      </c>
      <c r="F378" s="1">
        <v>1</v>
      </c>
      <c r="G378" s="1">
        <v>100</v>
      </c>
      <c r="H378" s="1">
        <v>22.585348450000001</v>
      </c>
      <c r="I378" s="1">
        <f t="shared" si="70"/>
        <v>2.5000000000000001E-2</v>
      </c>
      <c r="J378" s="1">
        <f t="shared" si="71"/>
        <v>0.125</v>
      </c>
      <c r="K378" s="1">
        <f t="shared" si="72"/>
        <v>5.0000000000000001E-4</v>
      </c>
      <c r="L378" s="1">
        <f t="shared" si="73"/>
        <v>0.31023227454199215</v>
      </c>
      <c r="M378" s="1">
        <f t="shared" si="74"/>
        <v>2.7777777777777776E-2</v>
      </c>
      <c r="N378" s="1">
        <v>278</v>
      </c>
      <c r="O378" s="1">
        <v>3.0550000000000002</v>
      </c>
      <c r="P378" s="1">
        <v>4148</v>
      </c>
      <c r="Q378" s="1">
        <f>[1]!HeatTransferArea(I378,D378,0.36,K378)</f>
        <v>0.47123889803846908</v>
      </c>
      <c r="R378" s="1">
        <f>[1]!Convection(I378,M378,1000,9*10^-4,K378,0.6,0.36,7)</f>
        <v>20885.729705543305</v>
      </c>
      <c r="S378" s="1">
        <f t="shared" si="75"/>
        <v>0.66799694820870559</v>
      </c>
      <c r="T378" s="1">
        <f t="shared" si="76"/>
        <v>1.8397720448845503E-5</v>
      </c>
      <c r="U378" s="1">
        <f t="shared" si="77"/>
        <v>7.3590881795382032E-7</v>
      </c>
      <c r="V378" s="1">
        <f t="shared" si="78"/>
        <v>5</v>
      </c>
      <c r="W378" s="1">
        <f t="shared" si="79"/>
        <v>114.11927714530536</v>
      </c>
      <c r="X378" s="1">
        <f t="shared" si="80"/>
        <v>6.5466448445171848</v>
      </c>
      <c r="Y378" s="1">
        <f t="shared" si="81"/>
        <v>8.5720324775118942E-2</v>
      </c>
      <c r="Z378" s="1">
        <v>22.585348450000001</v>
      </c>
    </row>
    <row r="379" spans="1:26" x14ac:dyDescent="0.25">
      <c r="A379" s="1">
        <v>25</v>
      </c>
      <c r="B379" s="1">
        <v>0.5</v>
      </c>
      <c r="C379" s="1">
        <v>5</v>
      </c>
      <c r="D379" s="1">
        <f t="shared" si="69"/>
        <v>0.125</v>
      </c>
      <c r="E379" s="1">
        <v>20</v>
      </c>
      <c r="F379" s="1">
        <v>1.5</v>
      </c>
      <c r="G379" s="1">
        <v>100</v>
      </c>
      <c r="H379" s="1">
        <v>23.310098660000001</v>
      </c>
      <c r="I379" s="1">
        <f t="shared" si="70"/>
        <v>2.5000000000000001E-2</v>
      </c>
      <c r="J379" s="1">
        <f t="shared" si="71"/>
        <v>0.125</v>
      </c>
      <c r="K379" s="1">
        <f t="shared" si="72"/>
        <v>5.0000000000000001E-4</v>
      </c>
      <c r="L379" s="1">
        <f t="shared" si="73"/>
        <v>0.31023227454199215</v>
      </c>
      <c r="M379" s="1">
        <f t="shared" si="74"/>
        <v>2.7777777777777776E-2</v>
      </c>
      <c r="N379" s="1">
        <v>278</v>
      </c>
      <c r="O379" s="1">
        <v>3.0550000000000002</v>
      </c>
      <c r="P379" s="1">
        <v>4148</v>
      </c>
      <c r="Q379" s="1">
        <f>[1]!HeatTransferArea(I379,D379,0.36,K379)</f>
        <v>0.47123889803846908</v>
      </c>
      <c r="R379" s="1">
        <f>[1]!Convection(I379,M379,1000,9*10^-4,K379,0.6,0.36,7)</f>
        <v>20885.729705543305</v>
      </c>
      <c r="S379" s="1">
        <f t="shared" si="75"/>
        <v>0.44533129880580374</v>
      </c>
      <c r="T379" s="1">
        <f t="shared" si="76"/>
        <v>2.7596580673268256E-5</v>
      </c>
      <c r="U379" s="1">
        <f t="shared" si="77"/>
        <v>1.1038632269307305E-6</v>
      </c>
      <c r="V379" s="1">
        <f t="shared" si="78"/>
        <v>5</v>
      </c>
      <c r="W379" s="1">
        <f t="shared" si="79"/>
        <v>76.079518096870245</v>
      </c>
      <c r="X379" s="1">
        <f t="shared" si="80"/>
        <v>6.5466448445171848</v>
      </c>
      <c r="Y379" s="1">
        <f t="shared" si="81"/>
        <v>5.8980692198124726E-2</v>
      </c>
      <c r="Z379" s="1">
        <v>23.310098660000001</v>
      </c>
    </row>
    <row r="380" spans="1:26" x14ac:dyDescent="0.25">
      <c r="A380" s="2">
        <v>25</v>
      </c>
      <c r="B380" s="1">
        <v>0.3</v>
      </c>
      <c r="C380" s="1">
        <v>2.5</v>
      </c>
      <c r="D380" s="1">
        <f t="shared" si="69"/>
        <v>6.25E-2</v>
      </c>
      <c r="E380" s="1">
        <v>20</v>
      </c>
      <c r="F380" s="1">
        <v>0.5</v>
      </c>
      <c r="G380" s="1">
        <v>75</v>
      </c>
      <c r="H380" s="1">
        <v>-2.7820418099999999</v>
      </c>
      <c r="I380" s="1">
        <f t="shared" si="70"/>
        <v>2.5000000000000001E-2</v>
      </c>
      <c r="J380" s="1">
        <f t="shared" si="71"/>
        <v>6.25E-2</v>
      </c>
      <c r="K380" s="1">
        <f t="shared" si="72"/>
        <v>2.9999999999999997E-4</v>
      </c>
      <c r="L380" s="1">
        <f t="shared" si="73"/>
        <v>0.15511613727099607</v>
      </c>
      <c r="M380" s="1">
        <f t="shared" si="74"/>
        <v>2.0833333333333332E-2</v>
      </c>
      <c r="N380" s="1">
        <v>278</v>
      </c>
      <c r="O380" s="1">
        <v>3.0550000000000002</v>
      </c>
      <c r="P380" s="1">
        <v>4148</v>
      </c>
      <c r="Q380" s="1">
        <f>[1]!HeatTransferArea(I380,D380,0.36,K380)</f>
        <v>0.39269908169872425</v>
      </c>
      <c r="R380" s="1">
        <f>[1]!Convection(I380,M380,1000,9*10^-4,K380,0.6,0.36,7)</f>
        <v>33909.243146205263</v>
      </c>
      <c r="S380" s="1">
        <f t="shared" si="75"/>
        <v>2.0039908446261165</v>
      </c>
      <c r="T380" s="1">
        <f t="shared" si="76"/>
        <v>2.2997150561056879E-6</v>
      </c>
      <c r="U380" s="1">
        <f t="shared" si="77"/>
        <v>3.6795440897691016E-7</v>
      </c>
      <c r="V380" s="1">
        <f t="shared" si="78"/>
        <v>2.5</v>
      </c>
      <c r="W380" s="1">
        <f t="shared" si="79"/>
        <v>617.59845453429125</v>
      </c>
      <c r="X380" s="1">
        <f t="shared" si="80"/>
        <v>6.5466448445171848</v>
      </c>
      <c r="Y380" s="1">
        <f t="shared" si="81"/>
        <v>-4.223579335410426E-2</v>
      </c>
      <c r="Z380" s="1">
        <v>-2.7820418099999999</v>
      </c>
    </row>
    <row r="381" spans="1:26" x14ac:dyDescent="0.25">
      <c r="A381" s="2">
        <v>25</v>
      </c>
      <c r="B381" s="1">
        <v>0.3</v>
      </c>
      <c r="C381" s="1">
        <v>2.5</v>
      </c>
      <c r="D381" s="1">
        <f t="shared" si="69"/>
        <v>6.25E-2</v>
      </c>
      <c r="E381" s="1">
        <v>20</v>
      </c>
      <c r="F381" s="1">
        <v>1</v>
      </c>
      <c r="G381" s="1">
        <v>75</v>
      </c>
      <c r="H381" s="1">
        <v>17.53280277</v>
      </c>
      <c r="I381" s="1">
        <f t="shared" si="70"/>
        <v>2.5000000000000001E-2</v>
      </c>
      <c r="J381" s="1">
        <f t="shared" si="71"/>
        <v>6.25E-2</v>
      </c>
      <c r="K381" s="1">
        <f t="shared" si="72"/>
        <v>2.9999999999999997E-4</v>
      </c>
      <c r="L381" s="1">
        <f t="shared" si="73"/>
        <v>0.15511613727099607</v>
      </c>
      <c r="M381" s="1">
        <f t="shared" si="74"/>
        <v>2.0833333333333332E-2</v>
      </c>
      <c r="N381" s="1">
        <v>278</v>
      </c>
      <c r="O381" s="1">
        <v>3.0550000000000002</v>
      </c>
      <c r="P381" s="1">
        <v>4148</v>
      </c>
      <c r="Q381" s="1">
        <f>[1]!HeatTransferArea(I381,D381,0.36,K381)</f>
        <v>0.39269908169872425</v>
      </c>
      <c r="R381" s="1">
        <f>[1]!Convection(I381,M381,1000,9*10^-4,K381,0.6,0.36,7)</f>
        <v>33909.243146205263</v>
      </c>
      <c r="S381" s="1">
        <f t="shared" si="75"/>
        <v>1.0019954223130583</v>
      </c>
      <c r="T381" s="1">
        <f t="shared" si="76"/>
        <v>4.5994301122113757E-6</v>
      </c>
      <c r="U381" s="1">
        <f t="shared" si="77"/>
        <v>7.3590881795382032E-7</v>
      </c>
      <c r="V381" s="1">
        <f t="shared" si="78"/>
        <v>2.5</v>
      </c>
      <c r="W381" s="1">
        <f t="shared" si="79"/>
        <v>308.79922726714562</v>
      </c>
      <c r="X381" s="1">
        <f t="shared" si="80"/>
        <v>6.5466448445171848</v>
      </c>
      <c r="Y381" s="1">
        <f t="shared" si="81"/>
        <v>0.13308783355631645</v>
      </c>
      <c r="Z381" s="1">
        <v>17.53280277</v>
      </c>
    </row>
    <row r="382" spans="1:26" x14ac:dyDescent="0.25">
      <c r="A382" s="2">
        <v>25</v>
      </c>
      <c r="B382" s="1">
        <v>0.3</v>
      </c>
      <c r="C382" s="1">
        <v>2.5</v>
      </c>
      <c r="D382" s="1">
        <f t="shared" si="69"/>
        <v>6.25E-2</v>
      </c>
      <c r="E382" s="1">
        <v>20</v>
      </c>
      <c r="F382" s="1">
        <v>1.5</v>
      </c>
      <c r="G382" s="1">
        <v>75</v>
      </c>
      <c r="H382" s="1">
        <v>18.750038799999999</v>
      </c>
      <c r="I382" s="1">
        <f t="shared" si="70"/>
        <v>2.5000000000000001E-2</v>
      </c>
      <c r="J382" s="1">
        <f t="shared" si="71"/>
        <v>6.25E-2</v>
      </c>
      <c r="K382" s="1">
        <f t="shared" si="72"/>
        <v>2.9999999999999997E-4</v>
      </c>
      <c r="L382" s="1">
        <f t="shared" si="73"/>
        <v>0.15511613727099607</v>
      </c>
      <c r="M382" s="1">
        <f t="shared" si="74"/>
        <v>2.0833333333333332E-2</v>
      </c>
      <c r="N382" s="1">
        <v>278</v>
      </c>
      <c r="O382" s="1">
        <v>3.0550000000000002</v>
      </c>
      <c r="P382" s="1">
        <v>4148</v>
      </c>
      <c r="Q382" s="1">
        <f>[1]!HeatTransferArea(I382,D382,0.36,K382)</f>
        <v>0.39269908169872425</v>
      </c>
      <c r="R382" s="1">
        <f>[1]!Convection(I382,M382,1000,9*10^-4,K382,0.6,0.36,7)</f>
        <v>33909.243146205263</v>
      </c>
      <c r="S382" s="1">
        <f t="shared" si="75"/>
        <v>0.66799694820870559</v>
      </c>
      <c r="T382" s="1">
        <f t="shared" si="76"/>
        <v>6.899145168317064E-6</v>
      </c>
      <c r="U382" s="1">
        <f t="shared" si="77"/>
        <v>1.1038632269307305E-6</v>
      </c>
      <c r="V382" s="1">
        <f t="shared" si="78"/>
        <v>2.5</v>
      </c>
      <c r="W382" s="1">
        <f t="shared" si="79"/>
        <v>205.86615151143044</v>
      </c>
      <c r="X382" s="1">
        <f t="shared" si="80"/>
        <v>6.5466448445171848</v>
      </c>
      <c r="Y382" s="1">
        <f t="shared" si="81"/>
        <v>9.4885078205473011E-2</v>
      </c>
      <c r="Z382" s="1">
        <v>18.750038799999999</v>
      </c>
    </row>
    <row r="383" spans="1:26" x14ac:dyDescent="0.25">
      <c r="A383" s="2">
        <v>25</v>
      </c>
      <c r="B383" s="1">
        <v>0.3</v>
      </c>
      <c r="C383" s="1">
        <v>3.3333330000000001</v>
      </c>
      <c r="D383" s="1">
        <f t="shared" si="69"/>
        <v>8.3333325E-2</v>
      </c>
      <c r="E383" s="1">
        <v>20</v>
      </c>
      <c r="F383" s="1">
        <v>0.5</v>
      </c>
      <c r="G383" s="1">
        <v>75</v>
      </c>
      <c r="H383" s="1">
        <v>13.06782407</v>
      </c>
      <c r="I383" s="1">
        <f t="shared" si="70"/>
        <v>2.5000000000000001E-2</v>
      </c>
      <c r="J383" s="1">
        <f t="shared" si="71"/>
        <v>8.3333325E-2</v>
      </c>
      <c r="K383" s="1">
        <f t="shared" si="72"/>
        <v>2.9999999999999997E-4</v>
      </c>
      <c r="L383" s="1">
        <f t="shared" si="73"/>
        <v>0.20682149567917646</v>
      </c>
      <c r="M383" s="1">
        <f t="shared" si="74"/>
        <v>2.0833333333333332E-2</v>
      </c>
      <c r="N383" s="1">
        <v>278</v>
      </c>
      <c r="O383" s="1">
        <v>3.0550000000000002</v>
      </c>
      <c r="P383" s="1">
        <v>4148</v>
      </c>
      <c r="Q383" s="1">
        <f>[1]!HeatTransferArea(I383,D383,0.36,K383)</f>
        <v>0.52359872323842149</v>
      </c>
      <c r="R383" s="1">
        <f>[1]!Convection(I383,M383,1000,9*10^-4,K383,0.6,0.36,7)</f>
        <v>33909.243146205263</v>
      </c>
      <c r="S383" s="1">
        <f t="shared" si="75"/>
        <v>1.5029932837689159</v>
      </c>
      <c r="T383" s="1">
        <f t="shared" si="76"/>
        <v>4.0883815042892443E-6</v>
      </c>
      <c r="U383" s="1">
        <f t="shared" si="77"/>
        <v>3.6795440897691016E-7</v>
      </c>
      <c r="V383" s="1">
        <f t="shared" si="78"/>
        <v>3.3333330000000001</v>
      </c>
      <c r="W383" s="1">
        <f t="shared" si="79"/>
        <v>617.59845453429136</v>
      </c>
      <c r="X383" s="1">
        <f t="shared" si="80"/>
        <v>6.5466448445171848</v>
      </c>
      <c r="Y383" s="1">
        <f t="shared" si="81"/>
        <v>0.14879268804050799</v>
      </c>
      <c r="Z383" s="1">
        <v>13.06782407</v>
      </c>
    </row>
    <row r="384" spans="1:26" x14ac:dyDescent="0.25">
      <c r="A384" s="2">
        <v>25</v>
      </c>
      <c r="B384" s="1">
        <v>0.3</v>
      </c>
      <c r="C384" s="1">
        <v>3.3333330000000001</v>
      </c>
      <c r="D384" s="1">
        <f t="shared" si="69"/>
        <v>8.3333325E-2</v>
      </c>
      <c r="E384" s="1">
        <v>20</v>
      </c>
      <c r="F384" s="1">
        <v>1</v>
      </c>
      <c r="G384" s="1">
        <v>75</v>
      </c>
      <c r="H384" s="1">
        <v>18.22382296</v>
      </c>
      <c r="I384" s="1">
        <f t="shared" si="70"/>
        <v>2.5000000000000001E-2</v>
      </c>
      <c r="J384" s="1">
        <f t="shared" si="71"/>
        <v>8.3333325E-2</v>
      </c>
      <c r="K384" s="1">
        <f t="shared" si="72"/>
        <v>2.9999999999999997E-4</v>
      </c>
      <c r="L384" s="1">
        <f t="shared" si="73"/>
        <v>0.20682149567917646</v>
      </c>
      <c r="M384" s="1">
        <f t="shared" si="74"/>
        <v>2.0833333333333332E-2</v>
      </c>
      <c r="N384" s="1">
        <v>278</v>
      </c>
      <c r="O384" s="1">
        <v>3.0550000000000002</v>
      </c>
      <c r="P384" s="1">
        <v>4148</v>
      </c>
      <c r="Q384" s="1">
        <f>[1]!HeatTransferArea(I384,D384,0.36,K384)</f>
        <v>0.52359872323842149</v>
      </c>
      <c r="R384" s="1">
        <f>[1]!Convection(I384,M384,1000,9*10^-4,K384,0.6,0.36,7)</f>
        <v>33909.243146205263</v>
      </c>
      <c r="S384" s="1">
        <f t="shared" si="75"/>
        <v>0.75149664188445797</v>
      </c>
      <c r="T384" s="1">
        <f t="shared" si="76"/>
        <v>8.1767630085784886E-6</v>
      </c>
      <c r="U384" s="1">
        <f t="shared" si="77"/>
        <v>7.3590881795382032E-7</v>
      </c>
      <c r="V384" s="1">
        <f t="shared" si="78"/>
        <v>3.3333330000000001</v>
      </c>
      <c r="W384" s="1">
        <f t="shared" si="79"/>
        <v>308.79922726714568</v>
      </c>
      <c r="X384" s="1">
        <f t="shared" si="80"/>
        <v>6.5466448445171848</v>
      </c>
      <c r="Y384" s="1">
        <f t="shared" si="81"/>
        <v>0.10374992768756823</v>
      </c>
      <c r="Z384" s="1">
        <v>18.22382296</v>
      </c>
    </row>
    <row r="385" spans="1:26" x14ac:dyDescent="0.25">
      <c r="A385" s="2">
        <v>25</v>
      </c>
      <c r="B385" s="1">
        <v>0.3</v>
      </c>
      <c r="C385" s="1">
        <v>3.3333330000000001</v>
      </c>
      <c r="D385" s="1">
        <f t="shared" si="69"/>
        <v>8.3333325E-2</v>
      </c>
      <c r="E385" s="1">
        <v>20</v>
      </c>
      <c r="F385" s="1">
        <v>1.5</v>
      </c>
      <c r="G385" s="1">
        <v>75</v>
      </c>
      <c r="H385" s="1">
        <v>18.728669700000001</v>
      </c>
      <c r="I385" s="1">
        <f t="shared" si="70"/>
        <v>2.5000000000000001E-2</v>
      </c>
      <c r="J385" s="1">
        <f t="shared" si="71"/>
        <v>8.3333325E-2</v>
      </c>
      <c r="K385" s="1">
        <f t="shared" si="72"/>
        <v>2.9999999999999997E-4</v>
      </c>
      <c r="L385" s="1">
        <f t="shared" si="73"/>
        <v>0.20682149567917646</v>
      </c>
      <c r="M385" s="1">
        <f t="shared" si="74"/>
        <v>2.0833333333333332E-2</v>
      </c>
      <c r="N385" s="1">
        <v>278</v>
      </c>
      <c r="O385" s="1">
        <v>3.0550000000000002</v>
      </c>
      <c r="P385" s="1">
        <v>4148</v>
      </c>
      <c r="Q385" s="1">
        <f>[1]!HeatTransferArea(I385,D385,0.36,K385)</f>
        <v>0.52359872323842149</v>
      </c>
      <c r="R385" s="1">
        <f>[1]!Convection(I385,M385,1000,9*10^-4,K385,0.6,0.36,7)</f>
        <v>33909.243146205263</v>
      </c>
      <c r="S385" s="1">
        <f t="shared" si="75"/>
        <v>0.50099776125630535</v>
      </c>
      <c r="T385" s="1">
        <f t="shared" si="76"/>
        <v>1.2265144512867734E-5</v>
      </c>
      <c r="U385" s="1">
        <f t="shared" si="77"/>
        <v>1.1038632269307305E-6</v>
      </c>
      <c r="V385" s="1">
        <f t="shared" si="78"/>
        <v>3.3333330000000001</v>
      </c>
      <c r="W385" s="1">
        <f t="shared" si="79"/>
        <v>205.86615151143047</v>
      </c>
      <c r="X385" s="1">
        <f t="shared" si="80"/>
        <v>6.5466448445171848</v>
      </c>
      <c r="Y385" s="1">
        <f t="shared" si="81"/>
        <v>7.1082711581220287E-2</v>
      </c>
      <c r="Z385" s="1">
        <v>18.728669700000001</v>
      </c>
    </row>
    <row r="386" spans="1:26" x14ac:dyDescent="0.25">
      <c r="A386" s="2">
        <v>25</v>
      </c>
      <c r="B386" s="1">
        <v>0.3</v>
      </c>
      <c r="C386" s="1">
        <v>4.1666660000000002</v>
      </c>
      <c r="D386" s="1">
        <f t="shared" ref="D386:D449" si="82">C386*A386/1000</f>
        <v>0.10416665</v>
      </c>
      <c r="E386" s="1">
        <v>20</v>
      </c>
      <c r="F386" s="1">
        <v>0.5</v>
      </c>
      <c r="G386" s="1">
        <v>75</v>
      </c>
      <c r="H386" s="1">
        <v>16.157681629999999</v>
      </c>
      <c r="I386" s="1">
        <f t="shared" ref="I386:I433" si="83">A386/1000</f>
        <v>2.5000000000000001E-2</v>
      </c>
      <c r="J386" s="1">
        <f t="shared" ref="J386:J433" si="84">D386</f>
        <v>0.10416665</v>
      </c>
      <c r="K386" s="1">
        <f t="shared" ref="K386:K433" si="85">B386/1000</f>
        <v>2.9999999999999997E-4</v>
      </c>
      <c r="L386" s="1">
        <f t="shared" ref="L386:L433" si="86">PI()*I386^2*J386/4*(1-0.36)*7900</f>
        <v>0.25852685408735682</v>
      </c>
      <c r="M386" s="1">
        <f t="shared" ref="M386:M433" si="87">G386/3600</f>
        <v>2.0833333333333332E-2</v>
      </c>
      <c r="N386" s="1">
        <v>278</v>
      </c>
      <c r="O386" s="1">
        <v>3.0550000000000002</v>
      </c>
      <c r="P386" s="1">
        <v>4148</v>
      </c>
      <c r="Q386" s="1">
        <f>[1]!HeatTransferArea(I386,D386,0.36,K386)</f>
        <v>0.65449836477811862</v>
      </c>
      <c r="R386" s="1">
        <f>[1]!Convection(I386,M386,1000,9*10^-4,K386,0.6,0.36,7)</f>
        <v>33909.243146205263</v>
      </c>
      <c r="S386" s="1">
        <f t="shared" ref="S386:S433" si="88">M386*P386/(2*F386*L386*N386)</f>
        <v>1.2023946991588219</v>
      </c>
      <c r="T386" s="1">
        <f t="shared" ref="T386:T433" si="89">J386^2*F386/(N386*O386)</f>
        <v>6.3880953338803584E-6</v>
      </c>
      <c r="U386" s="1">
        <f t="shared" ref="U386:U433" si="90">I386^2*F386/(N386*O386)</f>
        <v>3.6795440897691016E-7</v>
      </c>
      <c r="V386" s="1">
        <f t="shared" ref="V386:V433" si="91">C386</f>
        <v>4.1666660000000002</v>
      </c>
      <c r="W386" s="1">
        <f t="shared" ref="W386:W433" si="92">R386*Q386/(F386*L386*N386)</f>
        <v>617.59845453429136</v>
      </c>
      <c r="X386" s="1">
        <f t="shared" ref="X386:X433" si="93">E386/O386</f>
        <v>6.5466448445171848</v>
      </c>
      <c r="Y386" s="1">
        <f t="shared" ref="Y386:Y433" si="94">H386/(L386*F386*N386*O386)</f>
        <v>0.14717951595313467</v>
      </c>
      <c r="Z386" s="1">
        <v>16.157681629999999</v>
      </c>
    </row>
    <row r="387" spans="1:26" x14ac:dyDescent="0.25">
      <c r="A387" s="2">
        <v>25</v>
      </c>
      <c r="B387" s="1">
        <v>0.3</v>
      </c>
      <c r="C387" s="1">
        <v>4.1666660000000002</v>
      </c>
      <c r="D387" s="1">
        <f t="shared" si="82"/>
        <v>0.10416665</v>
      </c>
      <c r="E387" s="1">
        <v>20</v>
      </c>
      <c r="F387" s="1">
        <v>1</v>
      </c>
      <c r="G387" s="1">
        <v>75</v>
      </c>
      <c r="H387" s="1">
        <v>18.25048967</v>
      </c>
      <c r="I387" s="1">
        <f t="shared" si="83"/>
        <v>2.5000000000000001E-2</v>
      </c>
      <c r="J387" s="1">
        <f t="shared" si="84"/>
        <v>0.10416665</v>
      </c>
      <c r="K387" s="1">
        <f t="shared" si="85"/>
        <v>2.9999999999999997E-4</v>
      </c>
      <c r="L387" s="1">
        <f t="shared" si="86"/>
        <v>0.25852685408735682</v>
      </c>
      <c r="M387" s="1">
        <f t="shared" si="87"/>
        <v>2.0833333333333332E-2</v>
      </c>
      <c r="N387" s="1">
        <v>278</v>
      </c>
      <c r="O387" s="1">
        <v>3.0550000000000002</v>
      </c>
      <c r="P387" s="1">
        <v>4148</v>
      </c>
      <c r="Q387" s="1">
        <f>[1]!HeatTransferArea(I387,D387,0.36,K387)</f>
        <v>0.65449836477811862</v>
      </c>
      <c r="R387" s="1">
        <f>[1]!Convection(I387,M387,1000,9*10^-4,K387,0.6,0.36,7)</f>
        <v>33909.243146205263</v>
      </c>
      <c r="S387" s="1">
        <f t="shared" si="88"/>
        <v>0.60119734957941096</v>
      </c>
      <c r="T387" s="1">
        <f t="shared" si="89"/>
        <v>1.2776190667760717E-5</v>
      </c>
      <c r="U387" s="1">
        <f t="shared" si="90"/>
        <v>7.3590881795382032E-7</v>
      </c>
      <c r="V387" s="1">
        <f t="shared" si="91"/>
        <v>4.1666660000000002</v>
      </c>
      <c r="W387" s="1">
        <f t="shared" si="92"/>
        <v>308.79922726714568</v>
      </c>
      <c r="X387" s="1">
        <f t="shared" si="93"/>
        <v>6.5466448445171848</v>
      </c>
      <c r="Y387" s="1">
        <f t="shared" si="94"/>
        <v>8.3121399995621917E-2</v>
      </c>
      <c r="Z387" s="1">
        <v>18.25048967</v>
      </c>
    </row>
    <row r="388" spans="1:26" x14ac:dyDescent="0.25">
      <c r="A388" s="2">
        <v>25</v>
      </c>
      <c r="B388" s="1">
        <v>0.3</v>
      </c>
      <c r="C388" s="1">
        <v>4.1666660000000002</v>
      </c>
      <c r="D388" s="1">
        <f t="shared" si="82"/>
        <v>0.10416665</v>
      </c>
      <c r="E388" s="1">
        <v>20</v>
      </c>
      <c r="F388" s="1">
        <v>1.5</v>
      </c>
      <c r="G388" s="1">
        <v>75</v>
      </c>
      <c r="H388" s="1">
        <v>18.53857696</v>
      </c>
      <c r="I388" s="1">
        <f t="shared" si="83"/>
        <v>2.5000000000000001E-2</v>
      </c>
      <c r="J388" s="1">
        <f t="shared" si="84"/>
        <v>0.10416665</v>
      </c>
      <c r="K388" s="1">
        <f t="shared" si="85"/>
        <v>2.9999999999999997E-4</v>
      </c>
      <c r="L388" s="1">
        <f t="shared" si="86"/>
        <v>0.25852685408735682</v>
      </c>
      <c r="M388" s="1">
        <f t="shared" si="87"/>
        <v>2.0833333333333332E-2</v>
      </c>
      <c r="N388" s="1">
        <v>278</v>
      </c>
      <c r="O388" s="1">
        <v>3.0550000000000002</v>
      </c>
      <c r="P388" s="1">
        <v>4148</v>
      </c>
      <c r="Q388" s="1">
        <f>[1]!HeatTransferArea(I388,D388,0.36,K388)</f>
        <v>0.65449836477811862</v>
      </c>
      <c r="R388" s="1">
        <f>[1]!Convection(I388,M388,1000,9*10^-4,K388,0.6,0.36,7)</f>
        <v>33909.243146205263</v>
      </c>
      <c r="S388" s="1">
        <f t="shared" si="88"/>
        <v>0.40079823305294071</v>
      </c>
      <c r="T388" s="1">
        <f t="shared" si="89"/>
        <v>1.9164286001641076E-5</v>
      </c>
      <c r="U388" s="1">
        <f t="shared" si="90"/>
        <v>1.1038632269307305E-6</v>
      </c>
      <c r="V388" s="1">
        <f t="shared" si="91"/>
        <v>4.1666660000000002</v>
      </c>
      <c r="W388" s="1">
        <f t="shared" si="92"/>
        <v>205.86615151143047</v>
      </c>
      <c r="X388" s="1">
        <f t="shared" si="93"/>
        <v>6.5466448445171848</v>
      </c>
      <c r="Y388" s="1">
        <f t="shared" si="94"/>
        <v>5.628899091494096E-2</v>
      </c>
      <c r="Z388" s="1">
        <v>18.53857696</v>
      </c>
    </row>
    <row r="389" spans="1:26" x14ac:dyDescent="0.25">
      <c r="A389" s="2">
        <v>25</v>
      </c>
      <c r="B389" s="1">
        <v>0.4</v>
      </c>
      <c r="C389" s="1">
        <v>2.5</v>
      </c>
      <c r="D389" s="1">
        <f t="shared" si="82"/>
        <v>6.25E-2</v>
      </c>
      <c r="E389" s="1">
        <v>20</v>
      </c>
      <c r="F389" s="1">
        <v>0.5</v>
      </c>
      <c r="G389" s="1">
        <v>75</v>
      </c>
      <c r="H389" s="1">
        <v>-6.18861478</v>
      </c>
      <c r="I389" s="1">
        <f t="shared" si="83"/>
        <v>2.5000000000000001E-2</v>
      </c>
      <c r="J389" s="1">
        <f t="shared" si="84"/>
        <v>6.25E-2</v>
      </c>
      <c r="K389" s="1">
        <f t="shared" si="85"/>
        <v>4.0000000000000002E-4</v>
      </c>
      <c r="L389" s="1">
        <f t="shared" si="86"/>
        <v>0.15511613727099607</v>
      </c>
      <c r="M389" s="1">
        <f t="shared" si="87"/>
        <v>2.0833333333333332E-2</v>
      </c>
      <c r="N389" s="1">
        <v>278</v>
      </c>
      <c r="O389" s="1">
        <v>3.0550000000000002</v>
      </c>
      <c r="P389" s="1">
        <v>4148</v>
      </c>
      <c r="Q389" s="1">
        <f>[1]!HeatTransferArea(I389,D389,0.36,K389)</f>
        <v>0.29452431127404316</v>
      </c>
      <c r="R389" s="1">
        <f>[1]!Convection(I389,M389,1000,9*10^-4,K389,0.6,0.36,7)</f>
        <v>25638.910216425455</v>
      </c>
      <c r="S389" s="1">
        <f t="shared" si="88"/>
        <v>2.0039908446261165</v>
      </c>
      <c r="T389" s="1">
        <f t="shared" si="89"/>
        <v>2.2997150561056879E-6</v>
      </c>
      <c r="U389" s="1">
        <f t="shared" si="90"/>
        <v>3.6795440897691016E-7</v>
      </c>
      <c r="V389" s="1">
        <f t="shared" si="91"/>
        <v>2.5</v>
      </c>
      <c r="W389" s="1">
        <f t="shared" si="92"/>
        <v>350.22643952862381</v>
      </c>
      <c r="X389" s="1">
        <f t="shared" si="93"/>
        <v>6.5466448445171848</v>
      </c>
      <c r="Y389" s="1">
        <f t="shared" si="94"/>
        <v>-9.395295716142936E-2</v>
      </c>
      <c r="Z389" s="1">
        <v>-6.18861478</v>
      </c>
    </row>
    <row r="390" spans="1:26" x14ac:dyDescent="0.25">
      <c r="A390" s="2">
        <v>25</v>
      </c>
      <c r="B390" s="1">
        <v>0.4</v>
      </c>
      <c r="C390" s="1">
        <v>2.5</v>
      </c>
      <c r="D390" s="1">
        <f t="shared" si="82"/>
        <v>6.25E-2</v>
      </c>
      <c r="E390" s="1">
        <v>20</v>
      </c>
      <c r="F390" s="1">
        <v>1</v>
      </c>
      <c r="G390" s="1">
        <v>75</v>
      </c>
      <c r="H390" s="1">
        <v>16.33190067</v>
      </c>
      <c r="I390" s="1">
        <f t="shared" si="83"/>
        <v>2.5000000000000001E-2</v>
      </c>
      <c r="J390" s="1">
        <f t="shared" si="84"/>
        <v>6.25E-2</v>
      </c>
      <c r="K390" s="1">
        <f t="shared" si="85"/>
        <v>4.0000000000000002E-4</v>
      </c>
      <c r="L390" s="1">
        <f t="shared" si="86"/>
        <v>0.15511613727099607</v>
      </c>
      <c r="M390" s="1">
        <f t="shared" si="87"/>
        <v>2.0833333333333332E-2</v>
      </c>
      <c r="N390" s="1">
        <v>278</v>
      </c>
      <c r="O390" s="1">
        <v>3.0550000000000002</v>
      </c>
      <c r="P390" s="1">
        <v>4148</v>
      </c>
      <c r="Q390" s="1">
        <f>[1]!HeatTransferArea(I390,D390,0.36,K390)</f>
        <v>0.29452431127404316</v>
      </c>
      <c r="R390" s="1">
        <f>[1]!Convection(I390,M390,1000,9*10^-4,K390,0.6,0.36,7)</f>
        <v>25638.910216425455</v>
      </c>
      <c r="S390" s="1">
        <f t="shared" si="88"/>
        <v>1.0019954223130583</v>
      </c>
      <c r="T390" s="1">
        <f t="shared" si="89"/>
        <v>4.5994301122113757E-6</v>
      </c>
      <c r="U390" s="1">
        <f t="shared" si="90"/>
        <v>7.3590881795382032E-7</v>
      </c>
      <c r="V390" s="1">
        <f t="shared" si="91"/>
        <v>2.5</v>
      </c>
      <c r="W390" s="1">
        <f t="shared" si="92"/>
        <v>175.11321976431191</v>
      </c>
      <c r="X390" s="1">
        <f t="shared" si="93"/>
        <v>6.5466448445171848</v>
      </c>
      <c r="Y390" s="1">
        <f t="shared" si="94"/>
        <v>0.12397203724588829</v>
      </c>
      <c r="Z390" s="1">
        <v>16.33190067</v>
      </c>
    </row>
    <row r="391" spans="1:26" x14ac:dyDescent="0.25">
      <c r="A391" s="2">
        <v>25</v>
      </c>
      <c r="B391" s="1">
        <v>0.4</v>
      </c>
      <c r="C391" s="1">
        <v>2.5</v>
      </c>
      <c r="D391" s="1">
        <f t="shared" si="82"/>
        <v>6.25E-2</v>
      </c>
      <c r="E391" s="1">
        <v>20</v>
      </c>
      <c r="F391" s="1">
        <v>1.5</v>
      </c>
      <c r="G391" s="1">
        <v>75</v>
      </c>
      <c r="H391" s="1">
        <v>17.963969769999999</v>
      </c>
      <c r="I391" s="1">
        <f t="shared" si="83"/>
        <v>2.5000000000000001E-2</v>
      </c>
      <c r="J391" s="1">
        <f t="shared" si="84"/>
        <v>6.25E-2</v>
      </c>
      <c r="K391" s="1">
        <f t="shared" si="85"/>
        <v>4.0000000000000002E-4</v>
      </c>
      <c r="L391" s="1">
        <f t="shared" si="86"/>
        <v>0.15511613727099607</v>
      </c>
      <c r="M391" s="1">
        <f t="shared" si="87"/>
        <v>2.0833333333333332E-2</v>
      </c>
      <c r="N391" s="1">
        <v>278</v>
      </c>
      <c r="O391" s="1">
        <v>3.0550000000000002</v>
      </c>
      <c r="P391" s="1">
        <v>4148</v>
      </c>
      <c r="Q391" s="1">
        <f>[1]!HeatTransferArea(I391,D391,0.36,K391)</f>
        <v>0.29452431127404316</v>
      </c>
      <c r="R391" s="1">
        <f>[1]!Convection(I391,M391,1000,9*10^-4,K391,0.6,0.36,7)</f>
        <v>25638.910216425455</v>
      </c>
      <c r="S391" s="1">
        <f t="shared" si="88"/>
        <v>0.66799694820870559</v>
      </c>
      <c r="T391" s="1">
        <f t="shared" si="89"/>
        <v>6.899145168317064E-6</v>
      </c>
      <c r="U391" s="1">
        <f t="shared" si="90"/>
        <v>1.1038632269307305E-6</v>
      </c>
      <c r="V391" s="1">
        <f t="shared" si="91"/>
        <v>2.5</v>
      </c>
      <c r="W391" s="1">
        <f t="shared" si="92"/>
        <v>116.74214650954127</v>
      </c>
      <c r="X391" s="1">
        <f t="shared" si="93"/>
        <v>6.5466448445171848</v>
      </c>
      <c r="Y391" s="1">
        <f t="shared" si="94"/>
        <v>9.0907154629845513E-2</v>
      </c>
      <c r="Z391" s="1">
        <v>17.963969769999999</v>
      </c>
    </row>
    <row r="392" spans="1:26" x14ac:dyDescent="0.25">
      <c r="A392" s="2">
        <v>25</v>
      </c>
      <c r="B392" s="1">
        <v>0.4</v>
      </c>
      <c r="C392" s="1">
        <v>3.3333330000000001</v>
      </c>
      <c r="D392" s="1">
        <f t="shared" si="82"/>
        <v>8.3333325E-2</v>
      </c>
      <c r="E392" s="1">
        <v>20</v>
      </c>
      <c r="F392" s="1">
        <v>0.5</v>
      </c>
      <c r="G392" s="1">
        <v>75</v>
      </c>
      <c r="H392" s="1">
        <v>11.613576180000001</v>
      </c>
      <c r="I392" s="1">
        <f t="shared" si="83"/>
        <v>2.5000000000000001E-2</v>
      </c>
      <c r="J392" s="1">
        <f t="shared" si="84"/>
        <v>8.3333325E-2</v>
      </c>
      <c r="K392" s="1">
        <f t="shared" si="85"/>
        <v>4.0000000000000002E-4</v>
      </c>
      <c r="L392" s="1">
        <f t="shared" si="86"/>
        <v>0.20682149567917646</v>
      </c>
      <c r="M392" s="1">
        <f t="shared" si="87"/>
        <v>2.0833333333333332E-2</v>
      </c>
      <c r="N392" s="1">
        <v>278</v>
      </c>
      <c r="O392" s="1">
        <v>3.0550000000000002</v>
      </c>
      <c r="P392" s="1">
        <v>4148</v>
      </c>
      <c r="Q392" s="1">
        <f>[1]!HeatTransferArea(I392,D392,0.36,K392)</f>
        <v>0.39269904242881604</v>
      </c>
      <c r="R392" s="1">
        <f>[1]!Convection(I392,M392,1000,9*10^-4,K392,0.6,0.36,7)</f>
        <v>25638.910216425455</v>
      </c>
      <c r="S392" s="1">
        <f t="shared" si="88"/>
        <v>1.5029932837689159</v>
      </c>
      <c r="T392" s="1">
        <f t="shared" si="89"/>
        <v>4.0883815042892443E-6</v>
      </c>
      <c r="U392" s="1">
        <f t="shared" si="90"/>
        <v>3.6795440897691016E-7</v>
      </c>
      <c r="V392" s="1">
        <f t="shared" si="91"/>
        <v>3.3333330000000001</v>
      </c>
      <c r="W392" s="1">
        <f t="shared" si="92"/>
        <v>350.22643952862376</v>
      </c>
      <c r="X392" s="1">
        <f t="shared" si="93"/>
        <v>6.5466448445171848</v>
      </c>
      <c r="Y392" s="1">
        <f t="shared" si="94"/>
        <v>0.13223434967665698</v>
      </c>
      <c r="Z392" s="1">
        <v>11.613576180000001</v>
      </c>
    </row>
    <row r="393" spans="1:26" x14ac:dyDescent="0.25">
      <c r="A393" s="2">
        <v>25</v>
      </c>
      <c r="B393" s="1">
        <v>0.4</v>
      </c>
      <c r="C393" s="1">
        <v>3.3333330000000001</v>
      </c>
      <c r="D393" s="1">
        <f t="shared" si="82"/>
        <v>8.3333325E-2</v>
      </c>
      <c r="E393" s="1">
        <v>20</v>
      </c>
      <c r="F393" s="1">
        <v>1</v>
      </c>
      <c r="G393" s="1">
        <v>75</v>
      </c>
      <c r="H393" s="1">
        <v>17.78298594</v>
      </c>
      <c r="I393" s="1">
        <f t="shared" si="83"/>
        <v>2.5000000000000001E-2</v>
      </c>
      <c r="J393" s="1">
        <f t="shared" si="84"/>
        <v>8.3333325E-2</v>
      </c>
      <c r="K393" s="1">
        <f t="shared" si="85"/>
        <v>4.0000000000000002E-4</v>
      </c>
      <c r="L393" s="1">
        <f t="shared" si="86"/>
        <v>0.20682149567917646</v>
      </c>
      <c r="M393" s="1">
        <f t="shared" si="87"/>
        <v>2.0833333333333332E-2</v>
      </c>
      <c r="N393" s="1">
        <v>278</v>
      </c>
      <c r="O393" s="1">
        <v>3.0550000000000002</v>
      </c>
      <c r="P393" s="1">
        <v>4148</v>
      </c>
      <c r="Q393" s="1">
        <f>[1]!HeatTransferArea(I393,D393,0.36,K393)</f>
        <v>0.39269904242881604</v>
      </c>
      <c r="R393" s="1">
        <f>[1]!Convection(I393,M393,1000,9*10^-4,K393,0.6,0.36,7)</f>
        <v>25638.910216425455</v>
      </c>
      <c r="S393" s="1">
        <f t="shared" si="88"/>
        <v>0.75149664188445797</v>
      </c>
      <c r="T393" s="1">
        <f t="shared" si="89"/>
        <v>8.1767630085784886E-6</v>
      </c>
      <c r="U393" s="1">
        <f t="shared" si="90"/>
        <v>7.3590881795382032E-7</v>
      </c>
      <c r="V393" s="1">
        <f t="shared" si="91"/>
        <v>3.3333330000000001</v>
      </c>
      <c r="W393" s="1">
        <f t="shared" si="92"/>
        <v>175.11321976431188</v>
      </c>
      <c r="X393" s="1">
        <f t="shared" si="93"/>
        <v>6.5466448445171848</v>
      </c>
      <c r="Y393" s="1">
        <f t="shared" si="94"/>
        <v>0.10124020132294144</v>
      </c>
      <c r="Z393" s="1">
        <v>17.78298594</v>
      </c>
    </row>
    <row r="394" spans="1:26" x14ac:dyDescent="0.25">
      <c r="A394" s="2">
        <v>25</v>
      </c>
      <c r="B394" s="1">
        <v>0.4</v>
      </c>
      <c r="C394" s="1">
        <v>3.3333330000000001</v>
      </c>
      <c r="D394" s="1">
        <f t="shared" si="82"/>
        <v>8.3333325E-2</v>
      </c>
      <c r="E394" s="1">
        <v>20</v>
      </c>
      <c r="F394" s="1">
        <v>1.5</v>
      </c>
      <c r="G394" s="1">
        <v>75</v>
      </c>
      <c r="H394" s="1">
        <v>18.41744877</v>
      </c>
      <c r="I394" s="1">
        <f t="shared" si="83"/>
        <v>2.5000000000000001E-2</v>
      </c>
      <c r="J394" s="1">
        <f t="shared" si="84"/>
        <v>8.3333325E-2</v>
      </c>
      <c r="K394" s="1">
        <f t="shared" si="85"/>
        <v>4.0000000000000002E-4</v>
      </c>
      <c r="L394" s="1">
        <f t="shared" si="86"/>
        <v>0.20682149567917646</v>
      </c>
      <c r="M394" s="1">
        <f t="shared" si="87"/>
        <v>2.0833333333333332E-2</v>
      </c>
      <c r="N394" s="1">
        <v>278</v>
      </c>
      <c r="O394" s="1">
        <v>3.0550000000000002</v>
      </c>
      <c r="P394" s="1">
        <v>4148</v>
      </c>
      <c r="Q394" s="1">
        <f>[1]!HeatTransferArea(I394,D394,0.36,K394)</f>
        <v>0.39269904242881604</v>
      </c>
      <c r="R394" s="1">
        <f>[1]!Convection(I394,M394,1000,9*10^-4,K394,0.6,0.36,7)</f>
        <v>25638.910216425455</v>
      </c>
      <c r="S394" s="1">
        <f t="shared" si="88"/>
        <v>0.50099776125630535</v>
      </c>
      <c r="T394" s="1">
        <f t="shared" si="89"/>
        <v>1.2265144512867734E-5</v>
      </c>
      <c r="U394" s="1">
        <f t="shared" si="90"/>
        <v>1.1038632269307305E-6</v>
      </c>
      <c r="V394" s="1">
        <f t="shared" si="91"/>
        <v>3.3333330000000001</v>
      </c>
      <c r="W394" s="1">
        <f t="shared" si="92"/>
        <v>116.74214650954126</v>
      </c>
      <c r="X394" s="1">
        <f t="shared" si="93"/>
        <v>6.5466448445171848</v>
      </c>
      <c r="Y394" s="1">
        <f t="shared" si="94"/>
        <v>6.9901505016120302E-2</v>
      </c>
      <c r="Z394" s="1">
        <v>18.41744877</v>
      </c>
    </row>
    <row r="395" spans="1:26" x14ac:dyDescent="0.25">
      <c r="A395" s="2">
        <v>25</v>
      </c>
      <c r="B395" s="1">
        <v>0.4</v>
      </c>
      <c r="C395" s="1">
        <v>4.1666660000000002</v>
      </c>
      <c r="D395" s="1">
        <f t="shared" si="82"/>
        <v>0.10416665</v>
      </c>
      <c r="E395" s="1">
        <v>20</v>
      </c>
      <c r="F395" s="1">
        <v>0.5</v>
      </c>
      <c r="G395" s="1">
        <v>75</v>
      </c>
      <c r="H395" s="1">
        <v>15.58446958</v>
      </c>
      <c r="I395" s="1">
        <f t="shared" si="83"/>
        <v>2.5000000000000001E-2</v>
      </c>
      <c r="J395" s="1">
        <f t="shared" si="84"/>
        <v>0.10416665</v>
      </c>
      <c r="K395" s="1">
        <f t="shared" si="85"/>
        <v>4.0000000000000002E-4</v>
      </c>
      <c r="L395" s="1">
        <f t="shared" si="86"/>
        <v>0.25852685408735682</v>
      </c>
      <c r="M395" s="1">
        <f t="shared" si="87"/>
        <v>2.0833333333333332E-2</v>
      </c>
      <c r="N395" s="1">
        <v>278</v>
      </c>
      <c r="O395" s="1">
        <v>3.0550000000000002</v>
      </c>
      <c r="P395" s="1">
        <v>4148</v>
      </c>
      <c r="Q395" s="1">
        <f>[1]!HeatTransferArea(I395,D395,0.36,K395)</f>
        <v>0.49087377358358891</v>
      </c>
      <c r="R395" s="1">
        <f>[1]!Convection(I395,M395,1000,9*10^-4,K395,0.6,0.36,7)</f>
        <v>25638.910216425455</v>
      </c>
      <c r="S395" s="1">
        <f t="shared" si="88"/>
        <v>1.2023946991588219</v>
      </c>
      <c r="T395" s="1">
        <f t="shared" si="89"/>
        <v>6.3880953338803584E-6</v>
      </c>
      <c r="U395" s="1">
        <f t="shared" si="90"/>
        <v>3.6795440897691016E-7</v>
      </c>
      <c r="V395" s="1">
        <f t="shared" si="91"/>
        <v>4.1666660000000002</v>
      </c>
      <c r="W395" s="1">
        <f t="shared" si="92"/>
        <v>350.22643952862381</v>
      </c>
      <c r="X395" s="1">
        <f t="shared" si="93"/>
        <v>6.5466448445171848</v>
      </c>
      <c r="Y395" s="1">
        <f t="shared" si="94"/>
        <v>0.14195815598396291</v>
      </c>
      <c r="Z395" s="1">
        <v>15.58446958</v>
      </c>
    </row>
    <row r="396" spans="1:26" x14ac:dyDescent="0.25">
      <c r="A396" s="2">
        <v>25</v>
      </c>
      <c r="B396" s="1">
        <v>0.4</v>
      </c>
      <c r="C396" s="1">
        <v>4.1666660000000002</v>
      </c>
      <c r="D396" s="1">
        <f t="shared" si="82"/>
        <v>0.10416665</v>
      </c>
      <c r="E396" s="1">
        <v>20</v>
      </c>
      <c r="F396" s="1">
        <v>1</v>
      </c>
      <c r="G396" s="1">
        <v>75</v>
      </c>
      <c r="H396" s="1">
        <v>18.121976759999999</v>
      </c>
      <c r="I396" s="1">
        <f t="shared" si="83"/>
        <v>2.5000000000000001E-2</v>
      </c>
      <c r="J396" s="1">
        <f t="shared" si="84"/>
        <v>0.10416665</v>
      </c>
      <c r="K396" s="1">
        <f t="shared" si="85"/>
        <v>4.0000000000000002E-4</v>
      </c>
      <c r="L396" s="1">
        <f t="shared" si="86"/>
        <v>0.25852685408735682</v>
      </c>
      <c r="M396" s="1">
        <f t="shared" si="87"/>
        <v>2.0833333333333332E-2</v>
      </c>
      <c r="N396" s="1">
        <v>278</v>
      </c>
      <c r="O396" s="1">
        <v>3.0550000000000002</v>
      </c>
      <c r="P396" s="1">
        <v>4148</v>
      </c>
      <c r="Q396" s="1">
        <f>[1]!HeatTransferArea(I396,D396,0.36,K396)</f>
        <v>0.49087377358358891</v>
      </c>
      <c r="R396" s="1">
        <f>[1]!Convection(I396,M396,1000,9*10^-4,K396,0.6,0.36,7)</f>
        <v>25638.910216425455</v>
      </c>
      <c r="S396" s="1">
        <f t="shared" si="88"/>
        <v>0.60119734957941096</v>
      </c>
      <c r="T396" s="1">
        <f t="shared" si="89"/>
        <v>1.2776190667760717E-5</v>
      </c>
      <c r="U396" s="1">
        <f t="shared" si="90"/>
        <v>7.3590881795382032E-7</v>
      </c>
      <c r="V396" s="1">
        <f t="shared" si="91"/>
        <v>4.1666660000000002</v>
      </c>
      <c r="W396" s="1">
        <f t="shared" si="92"/>
        <v>175.11321976431191</v>
      </c>
      <c r="X396" s="1">
        <f t="shared" si="93"/>
        <v>6.5466448445171848</v>
      </c>
      <c r="Y396" s="1">
        <f t="shared" si="94"/>
        <v>8.2536091152414781E-2</v>
      </c>
      <c r="Z396" s="1">
        <v>18.121976759999999</v>
      </c>
    </row>
    <row r="397" spans="1:26" x14ac:dyDescent="0.25">
      <c r="A397" s="2">
        <v>25</v>
      </c>
      <c r="B397" s="1">
        <v>0.4</v>
      </c>
      <c r="C397" s="1">
        <v>4.1666660000000002</v>
      </c>
      <c r="D397" s="1">
        <f t="shared" si="82"/>
        <v>0.10416665</v>
      </c>
      <c r="E397" s="1">
        <v>20</v>
      </c>
      <c r="F397" s="1">
        <v>1.5</v>
      </c>
      <c r="G397" s="1">
        <v>75</v>
      </c>
      <c r="H397" s="1">
        <v>18.435874599999998</v>
      </c>
      <c r="I397" s="1">
        <f t="shared" si="83"/>
        <v>2.5000000000000001E-2</v>
      </c>
      <c r="J397" s="1">
        <f t="shared" si="84"/>
        <v>0.10416665</v>
      </c>
      <c r="K397" s="1">
        <f t="shared" si="85"/>
        <v>4.0000000000000002E-4</v>
      </c>
      <c r="L397" s="1">
        <f t="shared" si="86"/>
        <v>0.25852685408735682</v>
      </c>
      <c r="M397" s="1">
        <f t="shared" si="87"/>
        <v>2.0833333333333332E-2</v>
      </c>
      <c r="N397" s="1">
        <v>278</v>
      </c>
      <c r="O397" s="1">
        <v>3.0550000000000002</v>
      </c>
      <c r="P397" s="1">
        <v>4148</v>
      </c>
      <c r="Q397" s="1">
        <f>[1]!HeatTransferArea(I397,D397,0.36,K397)</f>
        <v>0.49087377358358891</v>
      </c>
      <c r="R397" s="1">
        <f>[1]!Convection(I397,M397,1000,9*10^-4,K397,0.6,0.36,7)</f>
        <v>25638.910216425455</v>
      </c>
      <c r="S397" s="1">
        <f t="shared" si="88"/>
        <v>0.40079823305294071</v>
      </c>
      <c r="T397" s="1">
        <f t="shared" si="89"/>
        <v>1.9164286001641076E-5</v>
      </c>
      <c r="U397" s="1">
        <f t="shared" si="90"/>
        <v>1.1038632269307305E-6</v>
      </c>
      <c r="V397" s="1">
        <f t="shared" si="91"/>
        <v>4.1666660000000002</v>
      </c>
      <c r="W397" s="1">
        <f t="shared" si="92"/>
        <v>116.74214650954129</v>
      </c>
      <c r="X397" s="1">
        <f t="shared" si="93"/>
        <v>6.5466448445171848</v>
      </c>
      <c r="Y397" s="1">
        <f t="shared" si="94"/>
        <v>5.5977154023605848E-2</v>
      </c>
      <c r="Z397" s="1">
        <v>18.435874599999998</v>
      </c>
    </row>
    <row r="398" spans="1:26" x14ac:dyDescent="0.25">
      <c r="A398" s="2">
        <v>25</v>
      </c>
      <c r="B398" s="1">
        <v>0.5</v>
      </c>
      <c r="C398" s="1">
        <v>2.5</v>
      </c>
      <c r="D398" s="1">
        <f t="shared" si="82"/>
        <v>6.25E-2</v>
      </c>
      <c r="E398" s="1">
        <v>20</v>
      </c>
      <c r="F398" s="1">
        <v>0.5</v>
      </c>
      <c r="G398" s="1">
        <v>75</v>
      </c>
      <c r="H398" s="1">
        <v>-10.41101306</v>
      </c>
      <c r="I398" s="1">
        <f t="shared" si="83"/>
        <v>2.5000000000000001E-2</v>
      </c>
      <c r="J398" s="1">
        <f t="shared" si="84"/>
        <v>6.25E-2</v>
      </c>
      <c r="K398" s="1">
        <f t="shared" si="85"/>
        <v>5.0000000000000001E-4</v>
      </c>
      <c r="L398" s="1">
        <f t="shared" si="86"/>
        <v>0.15511613727099607</v>
      </c>
      <c r="M398" s="1">
        <f t="shared" si="87"/>
        <v>2.0833333333333332E-2</v>
      </c>
      <c r="N398" s="1">
        <v>278</v>
      </c>
      <c r="O398" s="1">
        <v>3.0550000000000002</v>
      </c>
      <c r="P398" s="1">
        <v>4148</v>
      </c>
      <c r="Q398" s="1">
        <f>[1]!HeatTransferArea(I398,D398,0.36,K398)</f>
        <v>0.23561944901923454</v>
      </c>
      <c r="R398" s="1">
        <f>[1]!Convection(I398,M398,1000,9*10^-4,K398,0.6,0.36,7)</f>
        <v>20660.760475301788</v>
      </c>
      <c r="S398" s="1">
        <f t="shared" si="88"/>
        <v>2.0039908446261165</v>
      </c>
      <c r="T398" s="1">
        <f t="shared" si="89"/>
        <v>2.2997150561056879E-6</v>
      </c>
      <c r="U398" s="1">
        <f t="shared" si="90"/>
        <v>3.6795440897691016E-7</v>
      </c>
      <c r="V398" s="1">
        <f t="shared" si="91"/>
        <v>2.5</v>
      </c>
      <c r="W398" s="1">
        <f t="shared" si="92"/>
        <v>225.78009808179715</v>
      </c>
      <c r="X398" s="1">
        <f t="shared" si="93"/>
        <v>6.5466448445171848</v>
      </c>
      <c r="Y398" s="1">
        <f t="shared" si="94"/>
        <v>-0.15805563907360567</v>
      </c>
      <c r="Z398" s="1">
        <v>-10.41101306</v>
      </c>
    </row>
    <row r="399" spans="1:26" x14ac:dyDescent="0.25">
      <c r="A399" s="2">
        <v>25</v>
      </c>
      <c r="B399" s="1">
        <v>0.5</v>
      </c>
      <c r="C399" s="1">
        <v>2.5</v>
      </c>
      <c r="D399" s="1">
        <f t="shared" si="82"/>
        <v>6.25E-2</v>
      </c>
      <c r="E399" s="1">
        <v>20</v>
      </c>
      <c r="F399" s="1">
        <v>1</v>
      </c>
      <c r="G399" s="1">
        <v>75</v>
      </c>
      <c r="H399" s="1">
        <v>14.48045465</v>
      </c>
      <c r="I399" s="1">
        <f t="shared" si="83"/>
        <v>2.5000000000000001E-2</v>
      </c>
      <c r="J399" s="1">
        <f t="shared" si="84"/>
        <v>6.25E-2</v>
      </c>
      <c r="K399" s="1">
        <f t="shared" si="85"/>
        <v>5.0000000000000001E-4</v>
      </c>
      <c r="L399" s="1">
        <f t="shared" si="86"/>
        <v>0.15511613727099607</v>
      </c>
      <c r="M399" s="1">
        <f t="shared" si="87"/>
        <v>2.0833333333333332E-2</v>
      </c>
      <c r="N399" s="1">
        <v>278</v>
      </c>
      <c r="O399" s="1">
        <v>3.0550000000000002</v>
      </c>
      <c r="P399" s="1">
        <v>4148</v>
      </c>
      <c r="Q399" s="1">
        <f>[1]!HeatTransferArea(I399,D399,0.36,K399)</f>
        <v>0.23561944901923454</v>
      </c>
      <c r="R399" s="1">
        <f>[1]!Convection(I399,M399,1000,9*10^-4,K399,0.6,0.36,7)</f>
        <v>20660.760475301788</v>
      </c>
      <c r="S399" s="1">
        <f t="shared" si="88"/>
        <v>1.0019954223130583</v>
      </c>
      <c r="T399" s="1">
        <f t="shared" si="89"/>
        <v>4.5994301122113757E-6</v>
      </c>
      <c r="U399" s="1">
        <f t="shared" si="90"/>
        <v>7.3590881795382032E-7</v>
      </c>
      <c r="V399" s="1">
        <f t="shared" si="91"/>
        <v>2.5</v>
      </c>
      <c r="W399" s="1">
        <f t="shared" si="92"/>
        <v>112.89004904089857</v>
      </c>
      <c r="X399" s="1">
        <f t="shared" si="93"/>
        <v>6.5466448445171848</v>
      </c>
      <c r="Y399" s="1">
        <f t="shared" si="94"/>
        <v>0.10991809829609969</v>
      </c>
      <c r="Z399" s="1">
        <v>14.48045465</v>
      </c>
    </row>
    <row r="400" spans="1:26" x14ac:dyDescent="0.25">
      <c r="A400" s="2">
        <v>25</v>
      </c>
      <c r="B400" s="1">
        <v>0.5</v>
      </c>
      <c r="C400" s="1">
        <v>2.5</v>
      </c>
      <c r="D400" s="1">
        <f t="shared" si="82"/>
        <v>6.25E-2</v>
      </c>
      <c r="E400" s="1">
        <v>20</v>
      </c>
      <c r="F400" s="1">
        <v>1.5</v>
      </c>
      <c r="G400" s="1">
        <v>75</v>
      </c>
      <c r="H400" s="1">
        <v>16.612840869999999</v>
      </c>
      <c r="I400" s="1">
        <f t="shared" si="83"/>
        <v>2.5000000000000001E-2</v>
      </c>
      <c r="J400" s="1">
        <f t="shared" si="84"/>
        <v>6.25E-2</v>
      </c>
      <c r="K400" s="1">
        <f t="shared" si="85"/>
        <v>5.0000000000000001E-4</v>
      </c>
      <c r="L400" s="1">
        <f t="shared" si="86"/>
        <v>0.15511613727099607</v>
      </c>
      <c r="M400" s="1">
        <f t="shared" si="87"/>
        <v>2.0833333333333332E-2</v>
      </c>
      <c r="N400" s="1">
        <v>278</v>
      </c>
      <c r="O400" s="1">
        <v>3.0550000000000002</v>
      </c>
      <c r="P400" s="1">
        <v>4148</v>
      </c>
      <c r="Q400" s="1">
        <f>[1]!HeatTransferArea(I400,D400,0.36,K400)</f>
        <v>0.23561944901923454</v>
      </c>
      <c r="R400" s="1">
        <f>[1]!Convection(I400,M400,1000,9*10^-4,K400,0.6,0.36,7)</f>
        <v>20660.760475301788</v>
      </c>
      <c r="S400" s="1">
        <f t="shared" si="88"/>
        <v>0.66799694820870559</v>
      </c>
      <c r="T400" s="1">
        <f t="shared" si="89"/>
        <v>6.899145168317064E-6</v>
      </c>
      <c r="U400" s="1">
        <f t="shared" si="90"/>
        <v>1.1038632269307305E-6</v>
      </c>
      <c r="V400" s="1">
        <f t="shared" si="91"/>
        <v>2.5</v>
      </c>
      <c r="W400" s="1">
        <f t="shared" si="92"/>
        <v>75.260032693932388</v>
      </c>
      <c r="X400" s="1">
        <f t="shared" si="93"/>
        <v>6.5466448445171848</v>
      </c>
      <c r="Y400" s="1">
        <f t="shared" si="94"/>
        <v>8.4069730307172921E-2</v>
      </c>
      <c r="Z400" s="1">
        <v>16.612840869999999</v>
      </c>
    </row>
    <row r="401" spans="1:26" x14ac:dyDescent="0.25">
      <c r="A401" s="2">
        <v>25</v>
      </c>
      <c r="B401" s="1">
        <v>0.5</v>
      </c>
      <c r="C401" s="1">
        <v>3.3333330000000001</v>
      </c>
      <c r="D401" s="1">
        <f t="shared" si="82"/>
        <v>8.3333325E-2</v>
      </c>
      <c r="E401" s="1">
        <v>20</v>
      </c>
      <c r="F401" s="1">
        <v>0.5</v>
      </c>
      <c r="G401" s="1">
        <v>75</v>
      </c>
      <c r="H401" s="1">
        <v>9.5327006799999996</v>
      </c>
      <c r="I401" s="1">
        <f t="shared" si="83"/>
        <v>2.5000000000000001E-2</v>
      </c>
      <c r="J401" s="1">
        <f t="shared" si="84"/>
        <v>8.3333325E-2</v>
      </c>
      <c r="K401" s="1">
        <f t="shared" si="85"/>
        <v>5.0000000000000001E-4</v>
      </c>
      <c r="L401" s="1">
        <f t="shared" si="86"/>
        <v>0.20682149567917646</v>
      </c>
      <c r="M401" s="1">
        <f t="shared" si="87"/>
        <v>2.0833333333333332E-2</v>
      </c>
      <c r="N401" s="1">
        <v>278</v>
      </c>
      <c r="O401" s="1">
        <v>3.0550000000000002</v>
      </c>
      <c r="P401" s="1">
        <v>4148</v>
      </c>
      <c r="Q401" s="1">
        <f>[1]!HeatTransferArea(I401,D401,0.36,K401)</f>
        <v>0.31415923394305284</v>
      </c>
      <c r="R401" s="1">
        <f>[1]!Convection(I401,M401,1000,9*10^-4,K401,0.6,0.36,7)</f>
        <v>20660.760475301788</v>
      </c>
      <c r="S401" s="1">
        <f t="shared" si="88"/>
        <v>1.5029932837689159</v>
      </c>
      <c r="T401" s="1">
        <f t="shared" si="89"/>
        <v>4.0883815042892443E-6</v>
      </c>
      <c r="U401" s="1">
        <f t="shared" si="90"/>
        <v>3.6795440897691016E-7</v>
      </c>
      <c r="V401" s="1">
        <f t="shared" si="91"/>
        <v>3.3333330000000001</v>
      </c>
      <c r="W401" s="1">
        <f t="shared" si="92"/>
        <v>225.78009808179712</v>
      </c>
      <c r="X401" s="1">
        <f t="shared" si="93"/>
        <v>6.5466448445171848</v>
      </c>
      <c r="Y401" s="1">
        <f t="shared" si="94"/>
        <v>0.10854111219013209</v>
      </c>
      <c r="Z401" s="1">
        <v>9.5327006799999996</v>
      </c>
    </row>
    <row r="402" spans="1:26" x14ac:dyDescent="0.25">
      <c r="A402" s="2">
        <v>25</v>
      </c>
      <c r="B402" s="1">
        <v>0.5</v>
      </c>
      <c r="C402" s="1">
        <v>3.3333330000000001</v>
      </c>
      <c r="D402" s="1">
        <f t="shared" si="82"/>
        <v>8.3333325E-2</v>
      </c>
      <c r="E402" s="1">
        <v>20</v>
      </c>
      <c r="F402" s="1">
        <v>1</v>
      </c>
      <c r="G402" s="1">
        <v>75</v>
      </c>
      <c r="H402" s="1">
        <v>16.887093050000001</v>
      </c>
      <c r="I402" s="1">
        <f t="shared" si="83"/>
        <v>2.5000000000000001E-2</v>
      </c>
      <c r="J402" s="1">
        <f t="shared" si="84"/>
        <v>8.3333325E-2</v>
      </c>
      <c r="K402" s="1">
        <f t="shared" si="85"/>
        <v>5.0000000000000001E-4</v>
      </c>
      <c r="L402" s="1">
        <f t="shared" si="86"/>
        <v>0.20682149567917646</v>
      </c>
      <c r="M402" s="1">
        <f t="shared" si="87"/>
        <v>2.0833333333333332E-2</v>
      </c>
      <c r="N402" s="1">
        <v>278</v>
      </c>
      <c r="O402" s="1">
        <v>3.0550000000000002</v>
      </c>
      <c r="P402" s="1">
        <v>4148</v>
      </c>
      <c r="Q402" s="1">
        <f>[1]!HeatTransferArea(I402,D402,0.36,K402)</f>
        <v>0.31415923394305284</v>
      </c>
      <c r="R402" s="1">
        <f>[1]!Convection(I402,M402,1000,9*10^-4,K402,0.6,0.36,7)</f>
        <v>20660.760475301788</v>
      </c>
      <c r="S402" s="1">
        <f t="shared" si="88"/>
        <v>0.75149664188445797</v>
      </c>
      <c r="T402" s="1">
        <f t="shared" si="89"/>
        <v>8.1767630085784886E-6</v>
      </c>
      <c r="U402" s="1">
        <f t="shared" si="90"/>
        <v>7.3590881795382032E-7</v>
      </c>
      <c r="V402" s="1">
        <f t="shared" si="91"/>
        <v>3.3333330000000001</v>
      </c>
      <c r="W402" s="1">
        <f t="shared" si="92"/>
        <v>112.89004904089856</v>
      </c>
      <c r="X402" s="1">
        <f t="shared" si="93"/>
        <v>6.5466448445171848</v>
      </c>
      <c r="Y402" s="1">
        <f t="shared" si="94"/>
        <v>9.6139799351449368E-2</v>
      </c>
      <c r="Z402" s="1">
        <v>16.887093050000001</v>
      </c>
    </row>
    <row r="403" spans="1:26" x14ac:dyDescent="0.25">
      <c r="A403" s="2">
        <v>25</v>
      </c>
      <c r="B403" s="1">
        <v>0.5</v>
      </c>
      <c r="C403" s="1">
        <v>3.3333330000000001</v>
      </c>
      <c r="D403" s="1">
        <f t="shared" si="82"/>
        <v>8.3333325E-2</v>
      </c>
      <c r="E403" s="1">
        <v>20</v>
      </c>
      <c r="F403" s="1">
        <v>1.5</v>
      </c>
      <c r="G403" s="1">
        <v>75</v>
      </c>
      <c r="H403" s="1">
        <v>17.714503629999999</v>
      </c>
      <c r="I403" s="1">
        <f t="shared" si="83"/>
        <v>2.5000000000000001E-2</v>
      </c>
      <c r="J403" s="1">
        <f t="shared" si="84"/>
        <v>8.3333325E-2</v>
      </c>
      <c r="K403" s="1">
        <f t="shared" si="85"/>
        <v>5.0000000000000001E-4</v>
      </c>
      <c r="L403" s="1">
        <f t="shared" si="86"/>
        <v>0.20682149567917646</v>
      </c>
      <c r="M403" s="1">
        <f t="shared" si="87"/>
        <v>2.0833333333333332E-2</v>
      </c>
      <c r="N403" s="1">
        <v>278</v>
      </c>
      <c r="O403" s="1">
        <v>3.0550000000000002</v>
      </c>
      <c r="P403" s="1">
        <v>4148</v>
      </c>
      <c r="Q403" s="1">
        <f>[1]!HeatTransferArea(I403,D403,0.36,K403)</f>
        <v>0.31415923394305284</v>
      </c>
      <c r="R403" s="1">
        <f>[1]!Convection(I403,M403,1000,9*10^-4,K403,0.6,0.36,7)</f>
        <v>20660.760475301788</v>
      </c>
      <c r="S403" s="1">
        <f t="shared" si="88"/>
        <v>0.50099776125630535</v>
      </c>
      <c r="T403" s="1">
        <f t="shared" si="89"/>
        <v>1.2265144512867734E-5</v>
      </c>
      <c r="U403" s="1">
        <f t="shared" si="90"/>
        <v>1.1038632269307305E-6</v>
      </c>
      <c r="V403" s="1">
        <f t="shared" si="91"/>
        <v>3.3333330000000001</v>
      </c>
      <c r="W403" s="1">
        <f t="shared" si="92"/>
        <v>75.260032693932388</v>
      </c>
      <c r="X403" s="1">
        <f t="shared" si="93"/>
        <v>6.5466448445171848</v>
      </c>
      <c r="Y403" s="1">
        <f t="shared" si="94"/>
        <v>6.7233550086890026E-2</v>
      </c>
      <c r="Z403" s="1">
        <v>17.714503629999999</v>
      </c>
    </row>
    <row r="404" spans="1:26" x14ac:dyDescent="0.25">
      <c r="A404" s="2">
        <v>25</v>
      </c>
      <c r="B404" s="1">
        <v>0.5</v>
      </c>
      <c r="C404" s="1">
        <v>4.1666660000000002</v>
      </c>
      <c r="D404" s="1">
        <f t="shared" si="82"/>
        <v>0.10416665</v>
      </c>
      <c r="E404" s="1">
        <v>20</v>
      </c>
      <c r="F404" s="1">
        <v>0.5</v>
      </c>
      <c r="G404" s="1">
        <v>75</v>
      </c>
      <c r="H404" s="1">
        <v>14.49960997</v>
      </c>
      <c r="I404" s="1">
        <f t="shared" si="83"/>
        <v>2.5000000000000001E-2</v>
      </c>
      <c r="J404" s="1">
        <f t="shared" si="84"/>
        <v>0.10416665</v>
      </c>
      <c r="K404" s="1">
        <f t="shared" si="85"/>
        <v>5.0000000000000001E-4</v>
      </c>
      <c r="L404" s="1">
        <f t="shared" si="86"/>
        <v>0.25852685408735682</v>
      </c>
      <c r="M404" s="1">
        <f t="shared" si="87"/>
        <v>2.0833333333333332E-2</v>
      </c>
      <c r="N404" s="1">
        <v>278</v>
      </c>
      <c r="O404" s="1">
        <v>3.0550000000000002</v>
      </c>
      <c r="P404" s="1">
        <v>4148</v>
      </c>
      <c r="Q404" s="1">
        <f>[1]!HeatTransferArea(I404,D404,0.36,K404)</f>
        <v>0.39269901886687114</v>
      </c>
      <c r="R404" s="1">
        <f>[1]!Convection(I404,M404,1000,9*10^-4,K404,0.6,0.36,7)</f>
        <v>20660.760475301788</v>
      </c>
      <c r="S404" s="1">
        <f t="shared" si="88"/>
        <v>1.2023946991588219</v>
      </c>
      <c r="T404" s="1">
        <f t="shared" si="89"/>
        <v>6.3880953338803584E-6</v>
      </c>
      <c r="U404" s="1">
        <f t="shared" si="90"/>
        <v>3.6795440897691016E-7</v>
      </c>
      <c r="V404" s="1">
        <f t="shared" si="91"/>
        <v>4.1666660000000002</v>
      </c>
      <c r="W404" s="1">
        <f t="shared" si="92"/>
        <v>225.78009808179715</v>
      </c>
      <c r="X404" s="1">
        <f t="shared" si="93"/>
        <v>6.5466448445171848</v>
      </c>
      <c r="Y404" s="1">
        <f t="shared" si="94"/>
        <v>0.13207622391392829</v>
      </c>
      <c r="Z404" s="1">
        <v>14.49960997</v>
      </c>
    </row>
    <row r="405" spans="1:26" x14ac:dyDescent="0.25">
      <c r="A405" s="2">
        <v>25</v>
      </c>
      <c r="B405" s="1">
        <v>0.5</v>
      </c>
      <c r="C405" s="1">
        <v>4.1666660000000002</v>
      </c>
      <c r="D405" s="1">
        <f t="shared" si="82"/>
        <v>0.10416665</v>
      </c>
      <c r="E405" s="1">
        <v>20</v>
      </c>
      <c r="F405" s="1">
        <v>1</v>
      </c>
      <c r="G405" s="1">
        <v>75</v>
      </c>
      <c r="H405" s="1">
        <v>17.634493330000002</v>
      </c>
      <c r="I405" s="1">
        <f t="shared" si="83"/>
        <v>2.5000000000000001E-2</v>
      </c>
      <c r="J405" s="1">
        <f t="shared" si="84"/>
        <v>0.10416665</v>
      </c>
      <c r="K405" s="1">
        <f t="shared" si="85"/>
        <v>5.0000000000000001E-4</v>
      </c>
      <c r="L405" s="1">
        <f t="shared" si="86"/>
        <v>0.25852685408735682</v>
      </c>
      <c r="M405" s="1">
        <f t="shared" si="87"/>
        <v>2.0833333333333332E-2</v>
      </c>
      <c r="N405" s="1">
        <v>278</v>
      </c>
      <c r="O405" s="1">
        <v>3.0550000000000002</v>
      </c>
      <c r="P405" s="1">
        <v>4148</v>
      </c>
      <c r="Q405" s="1">
        <f>[1]!HeatTransferArea(I405,D405,0.36,K405)</f>
        <v>0.39269901886687114</v>
      </c>
      <c r="R405" s="1">
        <f>[1]!Convection(I405,M405,1000,9*10^-4,K405,0.6,0.36,7)</f>
        <v>20660.760475301788</v>
      </c>
      <c r="S405" s="1">
        <f t="shared" si="88"/>
        <v>0.60119734957941096</v>
      </c>
      <c r="T405" s="1">
        <f t="shared" si="89"/>
        <v>1.2776190667760717E-5</v>
      </c>
      <c r="U405" s="1">
        <f t="shared" si="90"/>
        <v>7.3590881795382032E-7</v>
      </c>
      <c r="V405" s="1">
        <f t="shared" si="91"/>
        <v>4.1666660000000002</v>
      </c>
      <c r="W405" s="1">
        <f t="shared" si="92"/>
        <v>112.89004904089857</v>
      </c>
      <c r="X405" s="1">
        <f t="shared" si="93"/>
        <v>6.5466448445171848</v>
      </c>
      <c r="Y405" s="1">
        <f t="shared" si="94"/>
        <v>8.0315860029363084E-2</v>
      </c>
      <c r="Z405" s="1">
        <v>17.634493330000002</v>
      </c>
    </row>
    <row r="406" spans="1:26" x14ac:dyDescent="0.25">
      <c r="A406" s="2">
        <v>25</v>
      </c>
      <c r="B406" s="1">
        <v>0.5</v>
      </c>
      <c r="C406" s="1">
        <v>4.1666660000000002</v>
      </c>
      <c r="D406" s="1">
        <f t="shared" si="82"/>
        <v>0.10416665</v>
      </c>
      <c r="E406" s="1">
        <v>20</v>
      </c>
      <c r="F406" s="1">
        <v>1.5</v>
      </c>
      <c r="G406" s="1">
        <v>75</v>
      </c>
      <c r="H406" s="1">
        <v>18.019626779999999</v>
      </c>
      <c r="I406" s="1">
        <f t="shared" si="83"/>
        <v>2.5000000000000001E-2</v>
      </c>
      <c r="J406" s="1">
        <f t="shared" si="84"/>
        <v>0.10416665</v>
      </c>
      <c r="K406" s="1">
        <f t="shared" si="85"/>
        <v>5.0000000000000001E-4</v>
      </c>
      <c r="L406" s="1">
        <f t="shared" si="86"/>
        <v>0.25852685408735682</v>
      </c>
      <c r="M406" s="1">
        <f t="shared" si="87"/>
        <v>2.0833333333333332E-2</v>
      </c>
      <c r="N406" s="1">
        <v>278</v>
      </c>
      <c r="O406" s="1">
        <v>3.0550000000000002</v>
      </c>
      <c r="P406" s="1">
        <v>4148</v>
      </c>
      <c r="Q406" s="1">
        <f>[1]!HeatTransferArea(I406,D406,0.36,K406)</f>
        <v>0.39269901886687114</v>
      </c>
      <c r="R406" s="1">
        <f>[1]!Convection(I406,M406,1000,9*10^-4,K406,0.6,0.36,7)</f>
        <v>20660.760475301788</v>
      </c>
      <c r="S406" s="1">
        <f t="shared" si="88"/>
        <v>0.40079823305294071</v>
      </c>
      <c r="T406" s="1">
        <f t="shared" si="89"/>
        <v>1.9164286001641076E-5</v>
      </c>
      <c r="U406" s="1">
        <f t="shared" si="90"/>
        <v>1.1038632269307305E-6</v>
      </c>
      <c r="V406" s="1">
        <f t="shared" si="91"/>
        <v>4.1666660000000002</v>
      </c>
      <c r="W406" s="1">
        <f t="shared" si="92"/>
        <v>75.260032693932402</v>
      </c>
      <c r="X406" s="1">
        <f t="shared" si="93"/>
        <v>6.5466448445171848</v>
      </c>
      <c r="Y406" s="1">
        <f t="shared" si="94"/>
        <v>5.4713293814222012E-2</v>
      </c>
      <c r="Z406" s="1">
        <v>18.019626779999999</v>
      </c>
    </row>
    <row r="407" spans="1:26" x14ac:dyDescent="0.25">
      <c r="A407" s="1">
        <f>35</f>
        <v>35</v>
      </c>
      <c r="B407" s="1">
        <v>0.3</v>
      </c>
      <c r="C407" s="1">
        <v>2.1428569999999998</v>
      </c>
      <c r="D407" s="1">
        <f t="shared" si="82"/>
        <v>7.4999995E-2</v>
      </c>
      <c r="E407" s="1">
        <v>20</v>
      </c>
      <c r="F407" s="1">
        <v>0.5</v>
      </c>
      <c r="G407" s="1">
        <v>125</v>
      </c>
      <c r="H407" s="1">
        <v>25.269568289999999</v>
      </c>
      <c r="I407" s="1">
        <f t="shared" si="83"/>
        <v>3.5000000000000003E-2</v>
      </c>
      <c r="J407" s="1">
        <f t="shared" si="84"/>
        <v>7.4999995E-2</v>
      </c>
      <c r="K407" s="1">
        <f t="shared" si="85"/>
        <v>2.9999999999999997E-4</v>
      </c>
      <c r="L407" s="1">
        <f t="shared" si="86"/>
        <v>0.36483313053917238</v>
      </c>
      <c r="M407" s="1">
        <f t="shared" si="87"/>
        <v>3.4722222222222224E-2</v>
      </c>
      <c r="N407" s="1">
        <v>278</v>
      </c>
      <c r="O407" s="1">
        <v>3.0550000000000002</v>
      </c>
      <c r="P407" s="1">
        <v>4148</v>
      </c>
      <c r="Q407" s="1">
        <f>[1]!HeatTransferArea(I407,D407,0.36,K407)</f>
        <v>0.92362817858018342</v>
      </c>
      <c r="R407" s="1">
        <f>[1]!Convection(I407,M407,1000,9*10^-4,K407,0.6,0.36,7)</f>
        <v>33773.470677395402</v>
      </c>
      <c r="S407" s="1">
        <f t="shared" si="88"/>
        <v>1.4200616342300991</v>
      </c>
      <c r="T407" s="1">
        <f t="shared" si="89"/>
        <v>3.311589239246915E-6</v>
      </c>
      <c r="U407" s="1">
        <f t="shared" si="90"/>
        <v>7.2119064159474388E-7</v>
      </c>
      <c r="V407" s="1">
        <f t="shared" si="91"/>
        <v>2.1428569999999998</v>
      </c>
      <c r="W407" s="1">
        <f t="shared" si="92"/>
        <v>615.12559288581019</v>
      </c>
      <c r="X407" s="1">
        <f t="shared" si="93"/>
        <v>6.5466448445171848</v>
      </c>
      <c r="Y407" s="1">
        <f t="shared" si="94"/>
        <v>0.16310885453206336</v>
      </c>
      <c r="Z407" s="1">
        <v>25.269568289999999</v>
      </c>
    </row>
    <row r="408" spans="1:26" x14ac:dyDescent="0.25">
      <c r="A408" s="1">
        <f>35</f>
        <v>35</v>
      </c>
      <c r="B408" s="1">
        <v>0.3</v>
      </c>
      <c r="C408" s="1">
        <v>2.1428569999999998</v>
      </c>
      <c r="D408" s="1">
        <f t="shared" si="82"/>
        <v>7.4999995E-2</v>
      </c>
      <c r="E408" s="1">
        <v>20</v>
      </c>
      <c r="F408" s="1">
        <v>1</v>
      </c>
      <c r="G408" s="1">
        <v>125</v>
      </c>
      <c r="H408" s="1">
        <v>32.168457770000003</v>
      </c>
      <c r="I408" s="1">
        <f t="shared" si="83"/>
        <v>3.5000000000000003E-2</v>
      </c>
      <c r="J408" s="1">
        <f t="shared" si="84"/>
        <v>7.4999995E-2</v>
      </c>
      <c r="K408" s="1">
        <f t="shared" si="85"/>
        <v>2.9999999999999997E-4</v>
      </c>
      <c r="L408" s="1">
        <f t="shared" si="86"/>
        <v>0.36483313053917238</v>
      </c>
      <c r="M408" s="1">
        <f t="shared" si="87"/>
        <v>3.4722222222222224E-2</v>
      </c>
      <c r="N408" s="1">
        <v>278</v>
      </c>
      <c r="O408" s="1">
        <v>3.0550000000000002</v>
      </c>
      <c r="P408" s="1">
        <v>4148</v>
      </c>
      <c r="Q408" s="1">
        <f>[1]!HeatTransferArea(I408,D408,0.36,K408)</f>
        <v>0.92362817858018342</v>
      </c>
      <c r="R408" s="1">
        <f>[1]!Convection(I408,M408,1000,9*10^-4,K408,0.6,0.36,7)</f>
        <v>33773.470677395402</v>
      </c>
      <c r="S408" s="1">
        <f t="shared" si="88"/>
        <v>0.71003081711504956</v>
      </c>
      <c r="T408" s="1">
        <f t="shared" si="89"/>
        <v>6.62317847849383E-6</v>
      </c>
      <c r="U408" s="1">
        <f t="shared" si="90"/>
        <v>1.4423812831894878E-6</v>
      </c>
      <c r="V408" s="1">
        <f t="shared" si="91"/>
        <v>2.1428569999999998</v>
      </c>
      <c r="W408" s="1">
        <f t="shared" si="92"/>
        <v>307.5627964429051</v>
      </c>
      <c r="X408" s="1">
        <f t="shared" si="93"/>
        <v>6.5466448445171848</v>
      </c>
      <c r="Y408" s="1">
        <f t="shared" si="94"/>
        <v>0.10381974552774907</v>
      </c>
      <c r="Z408" s="1">
        <v>32.168457770000003</v>
      </c>
    </row>
    <row r="409" spans="1:26" x14ac:dyDescent="0.25">
      <c r="A409" s="1">
        <f>35</f>
        <v>35</v>
      </c>
      <c r="B409" s="1">
        <v>0.3</v>
      </c>
      <c r="C409" s="1">
        <v>2.1428569999999998</v>
      </c>
      <c r="D409" s="1">
        <f t="shared" si="82"/>
        <v>7.4999995E-2</v>
      </c>
      <c r="E409" s="1">
        <v>20</v>
      </c>
      <c r="F409" s="1">
        <v>1.5</v>
      </c>
      <c r="G409" s="1">
        <v>125</v>
      </c>
      <c r="H409" s="1">
        <v>32.882551100000001</v>
      </c>
      <c r="I409" s="1">
        <f t="shared" si="83"/>
        <v>3.5000000000000003E-2</v>
      </c>
      <c r="J409" s="1">
        <f t="shared" si="84"/>
        <v>7.4999995E-2</v>
      </c>
      <c r="K409" s="1">
        <f t="shared" si="85"/>
        <v>2.9999999999999997E-4</v>
      </c>
      <c r="L409" s="1">
        <f t="shared" si="86"/>
        <v>0.36483313053917238</v>
      </c>
      <c r="M409" s="1">
        <f t="shared" si="87"/>
        <v>3.4722222222222224E-2</v>
      </c>
      <c r="N409" s="1">
        <v>278</v>
      </c>
      <c r="O409" s="1">
        <v>3.0550000000000002</v>
      </c>
      <c r="P409" s="1">
        <v>4148</v>
      </c>
      <c r="Q409" s="1">
        <f>[1]!HeatTransferArea(I409,D409,0.36,K409)</f>
        <v>0.92362817858018342</v>
      </c>
      <c r="R409" s="1">
        <f>[1]!Convection(I409,M409,1000,9*10^-4,K409,0.6,0.36,7)</f>
        <v>33773.470677395402</v>
      </c>
      <c r="S409" s="1">
        <f t="shared" si="88"/>
        <v>0.47335387807669965</v>
      </c>
      <c r="T409" s="1">
        <f t="shared" si="89"/>
        <v>9.9347677177407437E-6</v>
      </c>
      <c r="U409" s="1">
        <f t="shared" si="90"/>
        <v>2.1635719247842315E-6</v>
      </c>
      <c r="V409" s="1">
        <f t="shared" si="91"/>
        <v>2.1428569999999998</v>
      </c>
      <c r="W409" s="1">
        <f t="shared" si="92"/>
        <v>205.04186429527005</v>
      </c>
      <c r="X409" s="1">
        <f t="shared" si="93"/>
        <v>6.5466448445171848</v>
      </c>
      <c r="Y409" s="1">
        <f t="shared" si="94"/>
        <v>7.0749596015529978E-2</v>
      </c>
      <c r="Z409" s="1">
        <v>32.882551100000001</v>
      </c>
    </row>
    <row r="410" spans="1:26" x14ac:dyDescent="0.25">
      <c r="A410" s="1">
        <f>35</f>
        <v>35</v>
      </c>
      <c r="B410" s="1">
        <v>0.3</v>
      </c>
      <c r="C410" s="1">
        <v>2.8571430000000002</v>
      </c>
      <c r="D410" s="1">
        <f t="shared" si="82"/>
        <v>0.100000005</v>
      </c>
      <c r="E410" s="1">
        <v>20</v>
      </c>
      <c r="F410" s="1">
        <v>0.5</v>
      </c>
      <c r="G410" s="1">
        <v>125</v>
      </c>
      <c r="H410" s="1">
        <v>29.549427179999999</v>
      </c>
      <c r="I410" s="1">
        <f t="shared" si="83"/>
        <v>3.5000000000000003E-2</v>
      </c>
      <c r="J410" s="1">
        <f t="shared" si="84"/>
        <v>0.100000005</v>
      </c>
      <c r="K410" s="1">
        <f t="shared" si="85"/>
        <v>2.9999999999999997E-4</v>
      </c>
      <c r="L410" s="1">
        <f t="shared" si="86"/>
        <v>0.48644423080405397</v>
      </c>
      <c r="M410" s="1">
        <f t="shared" si="87"/>
        <v>3.4722222222222224E-2</v>
      </c>
      <c r="N410" s="1">
        <v>278</v>
      </c>
      <c r="O410" s="1">
        <v>3.0550000000000002</v>
      </c>
      <c r="P410" s="1">
        <v>4148</v>
      </c>
      <c r="Q410" s="1">
        <f>[1]!HeatTransferArea(I410,D410,0.36,K410)</f>
        <v>1.2315043817824152</v>
      </c>
      <c r="R410" s="1">
        <f>[1]!Convection(I410,M410,1000,9*10^-4,K410,0.6,0.36,7)</f>
        <v>33773.470677395402</v>
      </c>
      <c r="S410" s="1">
        <f t="shared" si="88"/>
        <v>1.0650461014171875</v>
      </c>
      <c r="T410" s="1">
        <f t="shared" si="89"/>
        <v>5.8872711323576311E-6</v>
      </c>
      <c r="U410" s="1">
        <f t="shared" si="90"/>
        <v>7.2119064159474388E-7</v>
      </c>
      <c r="V410" s="1">
        <f t="shared" si="91"/>
        <v>2.8571430000000002</v>
      </c>
      <c r="W410" s="1">
        <f t="shared" si="92"/>
        <v>615.12559288581008</v>
      </c>
      <c r="X410" s="1">
        <f t="shared" si="93"/>
        <v>6.5466448445171848</v>
      </c>
      <c r="Y410" s="1">
        <f t="shared" si="94"/>
        <v>0.14305070238404849</v>
      </c>
      <c r="Z410" s="1">
        <v>29.549427179999999</v>
      </c>
    </row>
    <row r="411" spans="1:26" x14ac:dyDescent="0.25">
      <c r="A411" s="1">
        <f>35</f>
        <v>35</v>
      </c>
      <c r="B411" s="1">
        <v>0.3</v>
      </c>
      <c r="C411" s="1">
        <v>2.8571430000000002</v>
      </c>
      <c r="D411" s="1">
        <f t="shared" si="82"/>
        <v>0.100000005</v>
      </c>
      <c r="E411" s="1">
        <v>20</v>
      </c>
      <c r="F411" s="1">
        <v>1</v>
      </c>
      <c r="G411" s="1">
        <v>125</v>
      </c>
      <c r="H411" s="1">
        <v>31.881101610000002</v>
      </c>
      <c r="I411" s="1">
        <f t="shared" si="83"/>
        <v>3.5000000000000003E-2</v>
      </c>
      <c r="J411" s="1">
        <f t="shared" si="84"/>
        <v>0.100000005</v>
      </c>
      <c r="K411" s="1">
        <f t="shared" si="85"/>
        <v>2.9999999999999997E-4</v>
      </c>
      <c r="L411" s="1">
        <f t="shared" si="86"/>
        <v>0.48644423080405397</v>
      </c>
      <c r="M411" s="1">
        <f t="shared" si="87"/>
        <v>3.4722222222222224E-2</v>
      </c>
      <c r="N411" s="1">
        <v>278</v>
      </c>
      <c r="O411" s="1">
        <v>3.0550000000000002</v>
      </c>
      <c r="P411" s="1">
        <v>4148</v>
      </c>
      <c r="Q411" s="1">
        <f>[1]!HeatTransferArea(I411,D411,0.36,K411)</f>
        <v>1.2315043817824152</v>
      </c>
      <c r="R411" s="1">
        <f>[1]!Convection(I411,M411,1000,9*10^-4,K411,0.6,0.36,7)</f>
        <v>33773.470677395402</v>
      </c>
      <c r="S411" s="1">
        <f t="shared" si="88"/>
        <v>0.53252305070859374</v>
      </c>
      <c r="T411" s="1">
        <f t="shared" si="89"/>
        <v>1.1774542264715262E-5</v>
      </c>
      <c r="U411" s="1">
        <f t="shared" si="90"/>
        <v>1.4423812831894878E-6</v>
      </c>
      <c r="V411" s="1">
        <f t="shared" si="91"/>
        <v>2.8571430000000002</v>
      </c>
      <c r="W411" s="1">
        <f t="shared" si="92"/>
        <v>307.56279644290504</v>
      </c>
      <c r="X411" s="1">
        <f t="shared" si="93"/>
        <v>6.5466448445171848</v>
      </c>
      <c r="Y411" s="1">
        <f t="shared" si="94"/>
        <v>7.7169245114411048E-2</v>
      </c>
      <c r="Z411" s="1">
        <v>31.881101610000002</v>
      </c>
    </row>
    <row r="412" spans="1:26" x14ac:dyDescent="0.25">
      <c r="A412" s="1">
        <f>35</f>
        <v>35</v>
      </c>
      <c r="B412" s="1">
        <v>0.3</v>
      </c>
      <c r="C412" s="1">
        <v>2.8571430000000002</v>
      </c>
      <c r="D412" s="1">
        <f t="shared" si="82"/>
        <v>0.100000005</v>
      </c>
      <c r="E412" s="1">
        <v>20</v>
      </c>
      <c r="F412" s="1">
        <v>1.5</v>
      </c>
      <c r="G412" s="1">
        <v>125</v>
      </c>
      <c r="H412" s="1">
        <v>32.214148489999999</v>
      </c>
      <c r="I412" s="1">
        <f t="shared" si="83"/>
        <v>3.5000000000000003E-2</v>
      </c>
      <c r="J412" s="1">
        <f t="shared" si="84"/>
        <v>0.100000005</v>
      </c>
      <c r="K412" s="1">
        <f t="shared" si="85"/>
        <v>2.9999999999999997E-4</v>
      </c>
      <c r="L412" s="1">
        <f t="shared" si="86"/>
        <v>0.48644423080405397</v>
      </c>
      <c r="M412" s="1">
        <f t="shared" si="87"/>
        <v>3.4722222222222224E-2</v>
      </c>
      <c r="N412" s="1">
        <v>278</v>
      </c>
      <c r="O412" s="1">
        <v>3.0550000000000002</v>
      </c>
      <c r="P412" s="1">
        <v>4148</v>
      </c>
      <c r="Q412" s="1">
        <f>[1]!HeatTransferArea(I412,D412,0.36,K412)</f>
        <v>1.2315043817824152</v>
      </c>
      <c r="R412" s="1">
        <f>[1]!Convection(I412,M412,1000,9*10^-4,K412,0.6,0.36,7)</f>
        <v>33773.470677395402</v>
      </c>
      <c r="S412" s="1">
        <f t="shared" si="88"/>
        <v>0.35501536713906245</v>
      </c>
      <c r="T412" s="1">
        <f t="shared" si="89"/>
        <v>1.7661813397072894E-5</v>
      </c>
      <c r="U412" s="1">
        <f t="shared" si="90"/>
        <v>2.1635719247842315E-6</v>
      </c>
      <c r="V412" s="1">
        <f t="shared" si="91"/>
        <v>2.8571430000000002</v>
      </c>
      <c r="W412" s="1">
        <f t="shared" si="92"/>
        <v>205.04186429527002</v>
      </c>
      <c r="X412" s="1">
        <f t="shared" si="93"/>
        <v>6.5466448445171848</v>
      </c>
      <c r="Y412" s="1">
        <f t="shared" si="94"/>
        <v>5.1983597291947403E-2</v>
      </c>
      <c r="Z412" s="1">
        <v>32.214148489999999</v>
      </c>
    </row>
    <row r="413" spans="1:26" x14ac:dyDescent="0.25">
      <c r="A413" s="1">
        <f>35</f>
        <v>35</v>
      </c>
      <c r="B413" s="1">
        <v>0.3</v>
      </c>
      <c r="C413" s="1">
        <v>3.5714290000000002</v>
      </c>
      <c r="D413" s="1">
        <f t="shared" si="82"/>
        <v>0.12500001499999999</v>
      </c>
      <c r="E413" s="1">
        <v>20</v>
      </c>
      <c r="F413" s="1">
        <v>0.5</v>
      </c>
      <c r="G413" s="1">
        <v>125</v>
      </c>
      <c r="H413" s="1">
        <v>30.177457140000001</v>
      </c>
      <c r="I413" s="1">
        <f t="shared" si="83"/>
        <v>3.5000000000000003E-2</v>
      </c>
      <c r="J413" s="1">
        <f t="shared" si="84"/>
        <v>0.12500001499999999</v>
      </c>
      <c r="K413" s="1">
        <f t="shared" si="85"/>
        <v>2.9999999999999997E-4</v>
      </c>
      <c r="L413" s="1">
        <f t="shared" si="86"/>
        <v>0.6080553310689355</v>
      </c>
      <c r="M413" s="1">
        <f t="shared" si="87"/>
        <v>3.4722222222222224E-2</v>
      </c>
      <c r="N413" s="1">
        <v>278</v>
      </c>
      <c r="O413" s="1">
        <v>3.0550000000000002</v>
      </c>
      <c r="P413" s="1">
        <v>4148</v>
      </c>
      <c r="Q413" s="1">
        <f>[1]!HeatTransferArea(I413,D413,0.36,K413)</f>
        <v>1.5393805849846469</v>
      </c>
      <c r="R413" s="1">
        <f>[1]!Convection(I413,M413,1000,9*10^-4,K413,0.6,0.36,7)</f>
        <v>33773.470677395402</v>
      </c>
      <c r="S413" s="1">
        <f t="shared" si="88"/>
        <v>0.85203682149117543</v>
      </c>
      <c r="T413" s="1">
        <f t="shared" si="89"/>
        <v>9.1988624321493372E-6</v>
      </c>
      <c r="U413" s="1">
        <f t="shared" si="90"/>
        <v>7.2119064159474388E-7</v>
      </c>
      <c r="V413" s="1">
        <f t="shared" si="91"/>
        <v>3.5714290000000002</v>
      </c>
      <c r="W413" s="1">
        <f t="shared" si="92"/>
        <v>615.12559288581008</v>
      </c>
      <c r="X413" s="1">
        <f t="shared" si="93"/>
        <v>6.5466448445171848</v>
      </c>
      <c r="Y413" s="1">
        <f t="shared" si="94"/>
        <v>0.11687282089258029</v>
      </c>
      <c r="Z413" s="1">
        <v>30.177457140000001</v>
      </c>
    </row>
    <row r="414" spans="1:26" x14ac:dyDescent="0.25">
      <c r="A414" s="1">
        <f>35</f>
        <v>35</v>
      </c>
      <c r="B414" s="1">
        <v>0.3</v>
      </c>
      <c r="C414" s="1">
        <v>3.5714290000000002</v>
      </c>
      <c r="D414" s="1">
        <f t="shared" si="82"/>
        <v>0.12500001499999999</v>
      </c>
      <c r="E414" s="1">
        <v>20</v>
      </c>
      <c r="F414" s="1">
        <v>1</v>
      </c>
      <c r="G414" s="1">
        <v>125</v>
      </c>
      <c r="H414" s="1">
        <v>31.43116595</v>
      </c>
      <c r="I414" s="1">
        <f t="shared" si="83"/>
        <v>3.5000000000000003E-2</v>
      </c>
      <c r="J414" s="1">
        <f t="shared" si="84"/>
        <v>0.12500001499999999</v>
      </c>
      <c r="K414" s="1">
        <f t="shared" si="85"/>
        <v>2.9999999999999997E-4</v>
      </c>
      <c r="L414" s="1">
        <f t="shared" si="86"/>
        <v>0.6080553310689355</v>
      </c>
      <c r="M414" s="1">
        <f t="shared" si="87"/>
        <v>3.4722222222222224E-2</v>
      </c>
      <c r="N414" s="1">
        <v>278</v>
      </c>
      <c r="O414" s="1">
        <v>3.0550000000000002</v>
      </c>
      <c r="P414" s="1">
        <v>4148</v>
      </c>
      <c r="Q414" s="1">
        <f>[1]!HeatTransferArea(I414,D414,0.36,K414)</f>
        <v>1.5393805849846469</v>
      </c>
      <c r="R414" s="1">
        <f>[1]!Convection(I414,M414,1000,9*10^-4,K414,0.6,0.36,7)</f>
        <v>33773.470677395402</v>
      </c>
      <c r="S414" s="1">
        <f t="shared" si="88"/>
        <v>0.42601841074558772</v>
      </c>
      <c r="T414" s="1">
        <f t="shared" si="89"/>
        <v>1.8397724864298674E-5</v>
      </c>
      <c r="U414" s="1">
        <f t="shared" si="90"/>
        <v>1.4423812831894878E-6</v>
      </c>
      <c r="V414" s="1">
        <f t="shared" si="91"/>
        <v>3.5714290000000002</v>
      </c>
      <c r="W414" s="1">
        <f t="shared" si="92"/>
        <v>307.56279644290504</v>
      </c>
      <c r="X414" s="1">
        <f t="shared" si="93"/>
        <v>6.5466448445171848</v>
      </c>
      <c r="Y414" s="1">
        <f t="shared" si="94"/>
        <v>6.0864124692106482E-2</v>
      </c>
      <c r="Z414" s="1">
        <v>31.43116595</v>
      </c>
    </row>
    <row r="415" spans="1:26" x14ac:dyDescent="0.25">
      <c r="A415" s="1">
        <f>35</f>
        <v>35</v>
      </c>
      <c r="B415" s="1">
        <v>0.3</v>
      </c>
      <c r="C415" s="1">
        <v>3.5714290000000002</v>
      </c>
      <c r="D415" s="1">
        <f t="shared" si="82"/>
        <v>0.12500001499999999</v>
      </c>
      <c r="E415" s="1">
        <v>20</v>
      </c>
      <c r="F415" s="1">
        <v>1.5</v>
      </c>
      <c r="G415" s="1">
        <v>125</v>
      </c>
      <c r="H415" s="1">
        <v>31.637229779999998</v>
      </c>
      <c r="I415" s="1">
        <f t="shared" si="83"/>
        <v>3.5000000000000003E-2</v>
      </c>
      <c r="J415" s="1">
        <f t="shared" si="84"/>
        <v>0.12500001499999999</v>
      </c>
      <c r="K415" s="1">
        <f t="shared" si="85"/>
        <v>2.9999999999999997E-4</v>
      </c>
      <c r="L415" s="1">
        <f t="shared" si="86"/>
        <v>0.6080553310689355</v>
      </c>
      <c r="M415" s="1">
        <f t="shared" si="87"/>
        <v>3.4722222222222224E-2</v>
      </c>
      <c r="N415" s="1">
        <v>278</v>
      </c>
      <c r="O415" s="1">
        <v>3.0550000000000002</v>
      </c>
      <c r="P415" s="1">
        <v>4148</v>
      </c>
      <c r="Q415" s="1">
        <f>[1]!HeatTransferArea(I415,D415,0.36,K415)</f>
        <v>1.5393805849846469</v>
      </c>
      <c r="R415" s="1">
        <f>[1]!Convection(I415,M415,1000,9*10^-4,K415,0.6,0.36,7)</f>
        <v>33773.470677395402</v>
      </c>
      <c r="S415" s="1">
        <f t="shared" si="88"/>
        <v>0.28401227383039185</v>
      </c>
      <c r="T415" s="1">
        <f t="shared" si="89"/>
        <v>2.759658729644801E-5</v>
      </c>
      <c r="U415" s="1">
        <f t="shared" si="90"/>
        <v>2.1635719247842315E-6</v>
      </c>
      <c r="V415" s="1">
        <f t="shared" si="91"/>
        <v>3.5714290000000002</v>
      </c>
      <c r="W415" s="1">
        <f t="shared" si="92"/>
        <v>205.04186429527002</v>
      </c>
      <c r="X415" s="1">
        <f t="shared" si="93"/>
        <v>6.5466448445171848</v>
      </c>
      <c r="Y415" s="1">
        <f t="shared" si="94"/>
        <v>4.0842101356891057E-2</v>
      </c>
      <c r="Z415" s="1">
        <v>31.637229779999998</v>
      </c>
    </row>
    <row r="416" spans="1:26" x14ac:dyDescent="0.25">
      <c r="A416" s="1">
        <f>35</f>
        <v>35</v>
      </c>
      <c r="B416" s="1">
        <v>0.4</v>
      </c>
      <c r="C416" s="1">
        <v>2.1428569999999998</v>
      </c>
      <c r="D416" s="1">
        <f t="shared" si="82"/>
        <v>7.4999995E-2</v>
      </c>
      <c r="E416" s="1">
        <v>20</v>
      </c>
      <c r="F416" s="1">
        <v>0.5</v>
      </c>
      <c r="G416" s="1">
        <v>125</v>
      </c>
      <c r="H416" s="1">
        <v>23.001559719999999</v>
      </c>
      <c r="I416" s="1">
        <f t="shared" si="83"/>
        <v>3.5000000000000003E-2</v>
      </c>
      <c r="J416" s="1">
        <f t="shared" si="84"/>
        <v>7.4999995E-2</v>
      </c>
      <c r="K416" s="1">
        <f t="shared" si="85"/>
        <v>4.0000000000000002E-4</v>
      </c>
      <c r="L416" s="1">
        <f t="shared" si="86"/>
        <v>0.36483313053917238</v>
      </c>
      <c r="M416" s="1">
        <f t="shared" si="87"/>
        <v>3.4722222222222224E-2</v>
      </c>
      <c r="N416" s="1">
        <v>278</v>
      </c>
      <c r="O416" s="1">
        <v>3.0550000000000002</v>
      </c>
      <c r="P416" s="1">
        <v>4148</v>
      </c>
      <c r="Q416" s="1">
        <f>[1]!HeatTransferArea(I416,D416,0.36,K416)</f>
        <v>0.69272113393513746</v>
      </c>
      <c r="R416" s="1">
        <f>[1]!Convection(I416,M416,1000,9*10^-4,K416,0.6,0.36,7)</f>
        <v>25517.896048113165</v>
      </c>
      <c r="S416" s="1">
        <f t="shared" si="88"/>
        <v>1.4200616342300991</v>
      </c>
      <c r="T416" s="1">
        <f t="shared" si="89"/>
        <v>3.311589239246915E-6</v>
      </c>
      <c r="U416" s="1">
        <f t="shared" si="90"/>
        <v>7.2119064159474388E-7</v>
      </c>
      <c r="V416" s="1">
        <f t="shared" si="91"/>
        <v>2.1428569999999998</v>
      </c>
      <c r="W416" s="1">
        <f t="shared" si="92"/>
        <v>348.57339105882659</v>
      </c>
      <c r="X416" s="1">
        <f t="shared" si="93"/>
        <v>6.5466448445171848</v>
      </c>
      <c r="Y416" s="1">
        <f t="shared" si="94"/>
        <v>0.14846941646663361</v>
      </c>
      <c r="Z416" s="1">
        <v>23.001559719999999</v>
      </c>
    </row>
    <row r="417" spans="1:26" x14ac:dyDescent="0.25">
      <c r="A417" s="1">
        <f>35</f>
        <v>35</v>
      </c>
      <c r="B417" s="1">
        <v>0.4</v>
      </c>
      <c r="C417" s="1">
        <v>2.1428569999999998</v>
      </c>
      <c r="D417" s="1">
        <f t="shared" si="82"/>
        <v>7.4999995E-2</v>
      </c>
      <c r="E417" s="1">
        <v>20</v>
      </c>
      <c r="F417" s="1">
        <v>1</v>
      </c>
      <c r="G417" s="1">
        <v>125</v>
      </c>
      <c r="H417" s="1">
        <v>31.397718709999999</v>
      </c>
      <c r="I417" s="1">
        <f t="shared" si="83"/>
        <v>3.5000000000000003E-2</v>
      </c>
      <c r="J417" s="1">
        <f t="shared" si="84"/>
        <v>7.4999995E-2</v>
      </c>
      <c r="K417" s="1">
        <f t="shared" si="85"/>
        <v>4.0000000000000002E-4</v>
      </c>
      <c r="L417" s="1">
        <f t="shared" si="86"/>
        <v>0.36483313053917238</v>
      </c>
      <c r="M417" s="1">
        <f t="shared" si="87"/>
        <v>3.4722222222222224E-2</v>
      </c>
      <c r="N417" s="1">
        <v>278</v>
      </c>
      <c r="O417" s="1">
        <v>3.0550000000000002</v>
      </c>
      <c r="P417" s="1">
        <v>4148</v>
      </c>
      <c r="Q417" s="1">
        <f>[1]!HeatTransferArea(I417,D417,0.36,K417)</f>
        <v>0.69272113393513746</v>
      </c>
      <c r="R417" s="1">
        <f>[1]!Convection(I417,M417,1000,9*10^-4,K417,0.6,0.36,7)</f>
        <v>25517.896048113165</v>
      </c>
      <c r="S417" s="1">
        <f t="shared" si="88"/>
        <v>0.71003081711504956</v>
      </c>
      <c r="T417" s="1">
        <f t="shared" si="89"/>
        <v>6.62317847849383E-6</v>
      </c>
      <c r="U417" s="1">
        <f t="shared" si="90"/>
        <v>1.4423812831894878E-6</v>
      </c>
      <c r="V417" s="1">
        <f t="shared" si="91"/>
        <v>2.1428569999999998</v>
      </c>
      <c r="W417" s="1">
        <f t="shared" si="92"/>
        <v>174.28669552941329</v>
      </c>
      <c r="X417" s="1">
        <f t="shared" si="93"/>
        <v>6.5466448445171848</v>
      </c>
      <c r="Y417" s="1">
        <f t="shared" si="94"/>
        <v>0.10133227989760871</v>
      </c>
      <c r="Z417" s="1">
        <v>31.397718709999999</v>
      </c>
    </row>
    <row r="418" spans="1:26" x14ac:dyDescent="0.25">
      <c r="A418" s="1">
        <f>35</f>
        <v>35</v>
      </c>
      <c r="B418" s="1">
        <v>0.4</v>
      </c>
      <c r="C418" s="1">
        <v>2.1428569999999998</v>
      </c>
      <c r="D418" s="1">
        <f t="shared" si="82"/>
        <v>7.4999995E-2</v>
      </c>
      <c r="E418" s="1">
        <v>20</v>
      </c>
      <c r="F418" s="1">
        <v>1.5</v>
      </c>
      <c r="G418" s="1">
        <v>125</v>
      </c>
      <c r="H418" s="1">
        <v>32.30292524</v>
      </c>
      <c r="I418" s="1">
        <f t="shared" si="83"/>
        <v>3.5000000000000003E-2</v>
      </c>
      <c r="J418" s="1">
        <f t="shared" si="84"/>
        <v>7.4999995E-2</v>
      </c>
      <c r="K418" s="1">
        <f t="shared" si="85"/>
        <v>4.0000000000000002E-4</v>
      </c>
      <c r="L418" s="1">
        <f t="shared" si="86"/>
        <v>0.36483313053917238</v>
      </c>
      <c r="M418" s="1">
        <f t="shared" si="87"/>
        <v>3.4722222222222224E-2</v>
      </c>
      <c r="N418" s="1">
        <v>278</v>
      </c>
      <c r="O418" s="1">
        <v>3.0550000000000002</v>
      </c>
      <c r="P418" s="1">
        <v>4148</v>
      </c>
      <c r="Q418" s="1">
        <f>[1]!HeatTransferArea(I418,D418,0.36,K418)</f>
        <v>0.69272113393513746</v>
      </c>
      <c r="R418" s="1">
        <f>[1]!Convection(I418,M418,1000,9*10^-4,K418,0.6,0.36,7)</f>
        <v>25517.896048113165</v>
      </c>
      <c r="S418" s="1">
        <f t="shared" si="88"/>
        <v>0.47335387807669965</v>
      </c>
      <c r="T418" s="1">
        <f t="shared" si="89"/>
        <v>9.9347677177407437E-6</v>
      </c>
      <c r="U418" s="1">
        <f t="shared" si="90"/>
        <v>2.1635719247842315E-6</v>
      </c>
      <c r="V418" s="1">
        <f t="shared" si="91"/>
        <v>2.1428569999999998</v>
      </c>
      <c r="W418" s="1">
        <f t="shared" si="92"/>
        <v>116.19113035294218</v>
      </c>
      <c r="X418" s="1">
        <f t="shared" si="93"/>
        <v>6.5466448445171848</v>
      </c>
      <c r="Y418" s="1">
        <f t="shared" si="94"/>
        <v>6.9502481845146957E-2</v>
      </c>
      <c r="Z418" s="1">
        <v>32.30292524</v>
      </c>
    </row>
    <row r="419" spans="1:26" x14ac:dyDescent="0.25">
      <c r="A419" s="1">
        <f>35</f>
        <v>35</v>
      </c>
      <c r="B419" s="1">
        <v>0.4</v>
      </c>
      <c r="C419" s="1">
        <v>2.8571430000000002</v>
      </c>
      <c r="D419" s="1">
        <f t="shared" si="82"/>
        <v>0.100000005</v>
      </c>
      <c r="E419" s="1">
        <v>20</v>
      </c>
      <c r="F419" s="1">
        <v>0.5</v>
      </c>
      <c r="G419" s="1">
        <v>125</v>
      </c>
      <c r="H419" s="1">
        <v>28.855514540000001</v>
      </c>
      <c r="I419" s="1">
        <f t="shared" si="83"/>
        <v>3.5000000000000003E-2</v>
      </c>
      <c r="J419" s="1">
        <f t="shared" si="84"/>
        <v>0.100000005</v>
      </c>
      <c r="K419" s="1">
        <f t="shared" si="85"/>
        <v>4.0000000000000002E-4</v>
      </c>
      <c r="L419" s="1">
        <f t="shared" si="86"/>
        <v>0.48644423080405397</v>
      </c>
      <c r="M419" s="1">
        <f t="shared" si="87"/>
        <v>3.4722222222222224E-2</v>
      </c>
      <c r="N419" s="1">
        <v>278</v>
      </c>
      <c r="O419" s="1">
        <v>3.0550000000000002</v>
      </c>
      <c r="P419" s="1">
        <v>4148</v>
      </c>
      <c r="Q419" s="1">
        <f>[1]!HeatTransferArea(I419,D419,0.36,K419)</f>
        <v>0.92362828633681127</v>
      </c>
      <c r="R419" s="1">
        <f>[1]!Convection(I419,M419,1000,9*10^-4,K419,0.6,0.36,7)</f>
        <v>25517.896048113165</v>
      </c>
      <c r="S419" s="1">
        <f t="shared" si="88"/>
        <v>1.0650461014171875</v>
      </c>
      <c r="T419" s="1">
        <f t="shared" si="89"/>
        <v>5.8872711323576311E-6</v>
      </c>
      <c r="U419" s="1">
        <f t="shared" si="90"/>
        <v>7.2119064159474388E-7</v>
      </c>
      <c r="V419" s="1">
        <f t="shared" si="91"/>
        <v>2.8571430000000002</v>
      </c>
      <c r="W419" s="1">
        <f t="shared" si="92"/>
        <v>348.57339105882659</v>
      </c>
      <c r="X419" s="1">
        <f t="shared" si="93"/>
        <v>6.5466448445171848</v>
      </c>
      <c r="Y419" s="1">
        <f t="shared" si="94"/>
        <v>0.13969142607928295</v>
      </c>
      <c r="Z419" s="1">
        <v>28.855514540000001</v>
      </c>
    </row>
    <row r="420" spans="1:26" x14ac:dyDescent="0.25">
      <c r="A420" s="1">
        <f>35</f>
        <v>35</v>
      </c>
      <c r="B420" s="1">
        <v>0.4</v>
      </c>
      <c r="C420" s="1">
        <v>2.8571430000000002</v>
      </c>
      <c r="D420" s="1">
        <f t="shared" si="82"/>
        <v>0.100000005</v>
      </c>
      <c r="E420" s="1">
        <v>20</v>
      </c>
      <c r="F420" s="1">
        <v>1</v>
      </c>
      <c r="G420" s="1">
        <v>125</v>
      </c>
      <c r="H420" s="1">
        <v>31.6804633</v>
      </c>
      <c r="I420" s="1">
        <f t="shared" si="83"/>
        <v>3.5000000000000003E-2</v>
      </c>
      <c r="J420" s="1">
        <f t="shared" si="84"/>
        <v>0.100000005</v>
      </c>
      <c r="K420" s="1">
        <f t="shared" si="85"/>
        <v>4.0000000000000002E-4</v>
      </c>
      <c r="L420" s="1">
        <f t="shared" si="86"/>
        <v>0.48644423080405397</v>
      </c>
      <c r="M420" s="1">
        <f t="shared" si="87"/>
        <v>3.4722222222222224E-2</v>
      </c>
      <c r="N420" s="1">
        <v>278</v>
      </c>
      <c r="O420" s="1">
        <v>3.0550000000000002</v>
      </c>
      <c r="P420" s="1">
        <v>4148</v>
      </c>
      <c r="Q420" s="1">
        <f>[1]!HeatTransferArea(I420,D420,0.36,K420)</f>
        <v>0.92362828633681127</v>
      </c>
      <c r="R420" s="1">
        <f>[1]!Convection(I420,M420,1000,9*10^-4,K420,0.6,0.36,7)</f>
        <v>25517.896048113165</v>
      </c>
      <c r="S420" s="1">
        <f t="shared" si="88"/>
        <v>0.53252305070859374</v>
      </c>
      <c r="T420" s="1">
        <f t="shared" si="89"/>
        <v>1.1774542264715262E-5</v>
      </c>
      <c r="U420" s="1">
        <f t="shared" si="90"/>
        <v>1.4423812831894878E-6</v>
      </c>
      <c r="V420" s="1">
        <f t="shared" si="91"/>
        <v>2.8571430000000002</v>
      </c>
      <c r="W420" s="1">
        <f t="shared" si="92"/>
        <v>174.28669552941329</v>
      </c>
      <c r="X420" s="1">
        <f t="shared" si="93"/>
        <v>6.5466448445171848</v>
      </c>
      <c r="Y420" s="1">
        <f t="shared" si="94"/>
        <v>7.668359354837874E-2</v>
      </c>
      <c r="Z420" s="1">
        <v>31.6804633</v>
      </c>
    </row>
    <row r="421" spans="1:26" x14ac:dyDescent="0.25">
      <c r="A421" s="1">
        <f>35</f>
        <v>35</v>
      </c>
      <c r="B421" s="1">
        <v>0.4</v>
      </c>
      <c r="C421" s="1">
        <v>2.8571430000000002</v>
      </c>
      <c r="D421" s="1">
        <f t="shared" si="82"/>
        <v>0.100000005</v>
      </c>
      <c r="E421" s="1">
        <v>20</v>
      </c>
      <c r="F421" s="1">
        <v>1.5</v>
      </c>
      <c r="G421" s="1">
        <v>125</v>
      </c>
      <c r="H421" s="1">
        <v>32.024297279999999</v>
      </c>
      <c r="I421" s="1">
        <f t="shared" si="83"/>
        <v>3.5000000000000003E-2</v>
      </c>
      <c r="J421" s="1">
        <f t="shared" si="84"/>
        <v>0.100000005</v>
      </c>
      <c r="K421" s="1">
        <f t="shared" si="85"/>
        <v>4.0000000000000002E-4</v>
      </c>
      <c r="L421" s="1">
        <f t="shared" si="86"/>
        <v>0.48644423080405397</v>
      </c>
      <c r="M421" s="1">
        <f t="shared" si="87"/>
        <v>3.4722222222222224E-2</v>
      </c>
      <c r="N421" s="1">
        <v>278</v>
      </c>
      <c r="O421" s="1">
        <v>3.0550000000000002</v>
      </c>
      <c r="P421" s="1">
        <v>4148</v>
      </c>
      <c r="Q421" s="1">
        <f>[1]!HeatTransferArea(I421,D421,0.36,K421)</f>
        <v>0.92362828633681127</v>
      </c>
      <c r="R421" s="1">
        <f>[1]!Convection(I421,M421,1000,9*10^-4,K421,0.6,0.36,7)</f>
        <v>25517.896048113165</v>
      </c>
      <c r="S421" s="1">
        <f t="shared" si="88"/>
        <v>0.35501536713906245</v>
      </c>
      <c r="T421" s="1">
        <f t="shared" si="89"/>
        <v>1.7661813397072894E-5</v>
      </c>
      <c r="U421" s="1">
        <f t="shared" si="90"/>
        <v>2.1635719247842315E-6</v>
      </c>
      <c r="V421" s="1">
        <f t="shared" si="91"/>
        <v>2.8571430000000002</v>
      </c>
      <c r="W421" s="1">
        <f t="shared" si="92"/>
        <v>116.19113035294218</v>
      </c>
      <c r="X421" s="1">
        <f t="shared" si="93"/>
        <v>6.5466448445171848</v>
      </c>
      <c r="Y421" s="1">
        <f t="shared" si="94"/>
        <v>5.1677236599250762E-2</v>
      </c>
      <c r="Z421" s="1">
        <v>32.024297279999999</v>
      </c>
    </row>
    <row r="422" spans="1:26" x14ac:dyDescent="0.25">
      <c r="A422" s="1">
        <f>35</f>
        <v>35</v>
      </c>
      <c r="B422" s="1">
        <v>0.4</v>
      </c>
      <c r="C422" s="1">
        <v>3.5714290000000002</v>
      </c>
      <c r="D422" s="1">
        <f t="shared" si="82"/>
        <v>0.12500001499999999</v>
      </c>
      <c r="E422" s="1">
        <v>20</v>
      </c>
      <c r="F422" s="1">
        <v>0.5</v>
      </c>
      <c r="G422" s="1">
        <v>125</v>
      </c>
      <c r="H422" s="1">
        <v>30.099764480000001</v>
      </c>
      <c r="I422" s="1">
        <f t="shared" si="83"/>
        <v>3.5000000000000003E-2</v>
      </c>
      <c r="J422" s="1">
        <f t="shared" si="84"/>
        <v>0.12500001499999999</v>
      </c>
      <c r="K422" s="1">
        <f t="shared" si="85"/>
        <v>4.0000000000000002E-4</v>
      </c>
      <c r="L422" s="1">
        <f t="shared" si="86"/>
        <v>0.6080553310689355</v>
      </c>
      <c r="M422" s="1">
        <f t="shared" si="87"/>
        <v>3.4722222222222224E-2</v>
      </c>
      <c r="N422" s="1">
        <v>278</v>
      </c>
      <c r="O422" s="1">
        <v>3.0550000000000002</v>
      </c>
      <c r="P422" s="1">
        <v>4148</v>
      </c>
      <c r="Q422" s="1">
        <f>[1]!HeatTransferArea(I422,D422,0.36,K422)</f>
        <v>1.154535438738485</v>
      </c>
      <c r="R422" s="1">
        <f>[1]!Convection(I422,M422,1000,9*10^-4,K422,0.6,0.36,7)</f>
        <v>25517.896048113165</v>
      </c>
      <c r="S422" s="1">
        <f t="shared" si="88"/>
        <v>0.85203682149117543</v>
      </c>
      <c r="T422" s="1">
        <f t="shared" si="89"/>
        <v>9.1988624321493372E-6</v>
      </c>
      <c r="U422" s="1">
        <f t="shared" si="90"/>
        <v>7.2119064159474388E-7</v>
      </c>
      <c r="V422" s="1">
        <f t="shared" si="91"/>
        <v>3.5714290000000002</v>
      </c>
      <c r="W422" s="1">
        <f t="shared" si="92"/>
        <v>348.57339105882653</v>
      </c>
      <c r="X422" s="1">
        <f t="shared" si="93"/>
        <v>6.5466448445171848</v>
      </c>
      <c r="Y422" s="1">
        <f t="shared" si="94"/>
        <v>0.11657192873010538</v>
      </c>
      <c r="Z422" s="1">
        <v>30.099764480000001</v>
      </c>
    </row>
    <row r="423" spans="1:26" x14ac:dyDescent="0.25">
      <c r="A423" s="1">
        <f>35</f>
        <v>35</v>
      </c>
      <c r="B423" s="1">
        <v>0.4</v>
      </c>
      <c r="C423" s="1">
        <v>3.5714290000000002</v>
      </c>
      <c r="D423" s="1">
        <f t="shared" si="82"/>
        <v>0.12500001499999999</v>
      </c>
      <c r="E423" s="1">
        <v>20</v>
      </c>
      <c r="F423" s="1">
        <v>1</v>
      </c>
      <c r="G423" s="1">
        <v>125</v>
      </c>
      <c r="H423" s="1">
        <v>31.480868109999999</v>
      </c>
      <c r="I423" s="1">
        <f t="shared" si="83"/>
        <v>3.5000000000000003E-2</v>
      </c>
      <c r="J423" s="1">
        <f t="shared" si="84"/>
        <v>0.12500001499999999</v>
      </c>
      <c r="K423" s="1">
        <f t="shared" si="85"/>
        <v>4.0000000000000002E-4</v>
      </c>
      <c r="L423" s="1">
        <f t="shared" si="86"/>
        <v>0.6080553310689355</v>
      </c>
      <c r="M423" s="1">
        <f t="shared" si="87"/>
        <v>3.4722222222222224E-2</v>
      </c>
      <c r="N423" s="1">
        <v>278</v>
      </c>
      <c r="O423" s="1">
        <v>3.0550000000000002</v>
      </c>
      <c r="P423" s="1">
        <v>4148</v>
      </c>
      <c r="Q423" s="1">
        <f>[1]!HeatTransferArea(I423,D423,0.36,K423)</f>
        <v>1.154535438738485</v>
      </c>
      <c r="R423" s="1">
        <f>[1]!Convection(I423,M423,1000,9*10^-4,K423,0.6,0.36,7)</f>
        <v>25517.896048113165</v>
      </c>
      <c r="S423" s="1">
        <f t="shared" si="88"/>
        <v>0.42601841074558772</v>
      </c>
      <c r="T423" s="1">
        <f t="shared" si="89"/>
        <v>1.8397724864298674E-5</v>
      </c>
      <c r="U423" s="1">
        <f t="shared" si="90"/>
        <v>1.4423812831894878E-6</v>
      </c>
      <c r="V423" s="1">
        <f t="shared" si="91"/>
        <v>3.5714290000000002</v>
      </c>
      <c r="W423" s="1">
        <f t="shared" si="92"/>
        <v>174.28669552941327</v>
      </c>
      <c r="X423" s="1">
        <f t="shared" si="93"/>
        <v>6.5466448445171848</v>
      </c>
      <c r="Y423" s="1">
        <f t="shared" si="94"/>
        <v>6.0960369243406906E-2</v>
      </c>
      <c r="Z423" s="1">
        <v>31.480868109999999</v>
      </c>
    </row>
    <row r="424" spans="1:26" x14ac:dyDescent="0.25">
      <c r="A424" s="1">
        <f>35</f>
        <v>35</v>
      </c>
      <c r="B424" s="1">
        <v>0.4</v>
      </c>
      <c r="C424" s="1">
        <v>3.5714290000000002</v>
      </c>
      <c r="D424" s="1">
        <f t="shared" si="82"/>
        <v>0.12500001499999999</v>
      </c>
      <c r="E424" s="1">
        <v>20</v>
      </c>
      <c r="F424" s="1">
        <v>1.5</v>
      </c>
      <c r="G424" s="1">
        <v>125</v>
      </c>
      <c r="H424" s="1">
        <v>31.63163424</v>
      </c>
      <c r="I424" s="1">
        <f t="shared" si="83"/>
        <v>3.5000000000000003E-2</v>
      </c>
      <c r="J424" s="1">
        <f t="shared" si="84"/>
        <v>0.12500001499999999</v>
      </c>
      <c r="K424" s="1">
        <f t="shared" si="85"/>
        <v>4.0000000000000002E-4</v>
      </c>
      <c r="L424" s="1">
        <f t="shared" si="86"/>
        <v>0.6080553310689355</v>
      </c>
      <c r="M424" s="1">
        <f t="shared" si="87"/>
        <v>3.4722222222222224E-2</v>
      </c>
      <c r="N424" s="1">
        <v>278</v>
      </c>
      <c r="O424" s="1">
        <v>3.0550000000000002</v>
      </c>
      <c r="P424" s="1">
        <v>4148</v>
      </c>
      <c r="Q424" s="1">
        <f>[1]!HeatTransferArea(I424,D424,0.36,K424)</f>
        <v>1.154535438738485</v>
      </c>
      <c r="R424" s="1">
        <f>[1]!Convection(I424,M424,1000,9*10^-4,K424,0.6,0.36,7)</f>
        <v>25517.896048113165</v>
      </c>
      <c r="S424" s="1">
        <f t="shared" si="88"/>
        <v>0.28401227383039185</v>
      </c>
      <c r="T424" s="1">
        <f t="shared" si="89"/>
        <v>2.759658729644801E-5</v>
      </c>
      <c r="U424" s="1">
        <f t="shared" si="90"/>
        <v>2.1635719247842315E-6</v>
      </c>
      <c r="V424" s="1">
        <f t="shared" si="91"/>
        <v>3.5714290000000002</v>
      </c>
      <c r="W424" s="1">
        <f t="shared" si="92"/>
        <v>116.19113035294218</v>
      </c>
      <c r="X424" s="1">
        <f t="shared" si="93"/>
        <v>6.5466448445171848</v>
      </c>
      <c r="Y424" s="1">
        <f t="shared" si="94"/>
        <v>4.0834877791066378E-2</v>
      </c>
      <c r="Z424" s="1">
        <v>31.63163424</v>
      </c>
    </row>
    <row r="425" spans="1:26" x14ac:dyDescent="0.25">
      <c r="A425" s="1">
        <f>35</f>
        <v>35</v>
      </c>
      <c r="B425" s="1">
        <v>0.5</v>
      </c>
      <c r="C425" s="1">
        <v>2.1428569999999998</v>
      </c>
      <c r="D425" s="1">
        <f t="shared" si="82"/>
        <v>7.4999995E-2</v>
      </c>
      <c r="E425" s="1">
        <v>20</v>
      </c>
      <c r="F425" s="1">
        <v>0.5</v>
      </c>
      <c r="G425" s="1">
        <v>125</v>
      </c>
      <c r="H425" s="1">
        <v>19.77740412</v>
      </c>
      <c r="I425" s="1">
        <f t="shared" si="83"/>
        <v>3.5000000000000003E-2</v>
      </c>
      <c r="J425" s="1">
        <f t="shared" si="84"/>
        <v>7.4999995E-2</v>
      </c>
      <c r="K425" s="1">
        <f t="shared" si="85"/>
        <v>5.0000000000000001E-4</v>
      </c>
      <c r="L425" s="1">
        <f t="shared" si="86"/>
        <v>0.36483313053917238</v>
      </c>
      <c r="M425" s="1">
        <f t="shared" si="87"/>
        <v>3.4722222222222224E-2</v>
      </c>
      <c r="N425" s="1">
        <v>278</v>
      </c>
      <c r="O425" s="1">
        <v>3.0550000000000002</v>
      </c>
      <c r="P425" s="1">
        <v>4148</v>
      </c>
      <c r="Q425" s="1">
        <f>[1]!HeatTransferArea(I425,D425,0.36,K425)</f>
        <v>0.55417690714810997</v>
      </c>
      <c r="R425" s="1">
        <f>[1]!Convection(I425,M425,1000,9*10^-4,K425,0.6,0.36,7)</f>
        <v>20550.079694253804</v>
      </c>
      <c r="S425" s="1">
        <f t="shared" si="88"/>
        <v>1.4200616342300991</v>
      </c>
      <c r="T425" s="1">
        <f t="shared" si="89"/>
        <v>3.311589239246915E-6</v>
      </c>
      <c r="U425" s="1">
        <f t="shared" si="90"/>
        <v>7.2119064159474388E-7</v>
      </c>
      <c r="V425" s="1">
        <f t="shared" si="91"/>
        <v>2.1428569999999998</v>
      </c>
      <c r="W425" s="1">
        <f t="shared" si="92"/>
        <v>224.57058221568678</v>
      </c>
      <c r="X425" s="1">
        <f t="shared" si="93"/>
        <v>6.5466448445171848</v>
      </c>
      <c r="Y425" s="1">
        <f t="shared" si="94"/>
        <v>0.12765828424965589</v>
      </c>
      <c r="Z425" s="1">
        <v>19.77740412</v>
      </c>
    </row>
    <row r="426" spans="1:26" x14ac:dyDescent="0.25">
      <c r="A426" s="1">
        <f>35</f>
        <v>35</v>
      </c>
      <c r="B426" s="1">
        <v>0.5</v>
      </c>
      <c r="C426" s="1">
        <v>2.1428569999999998</v>
      </c>
      <c r="D426" s="1">
        <f t="shared" si="82"/>
        <v>7.4999995E-2</v>
      </c>
      <c r="E426" s="1">
        <v>20</v>
      </c>
      <c r="F426" s="1">
        <v>1</v>
      </c>
      <c r="G426" s="1">
        <v>125</v>
      </c>
      <c r="H426" s="1">
        <v>29.935083259999999</v>
      </c>
      <c r="I426" s="1">
        <f t="shared" si="83"/>
        <v>3.5000000000000003E-2</v>
      </c>
      <c r="J426" s="1">
        <f t="shared" si="84"/>
        <v>7.4999995E-2</v>
      </c>
      <c r="K426" s="1">
        <f t="shared" si="85"/>
        <v>5.0000000000000001E-4</v>
      </c>
      <c r="L426" s="1">
        <f t="shared" si="86"/>
        <v>0.36483313053917238</v>
      </c>
      <c r="M426" s="1">
        <f t="shared" si="87"/>
        <v>3.4722222222222224E-2</v>
      </c>
      <c r="N426" s="1">
        <v>278</v>
      </c>
      <c r="O426" s="1">
        <v>3.0550000000000002</v>
      </c>
      <c r="P426" s="1">
        <v>4148</v>
      </c>
      <c r="Q426" s="1">
        <f>[1]!HeatTransferArea(I426,D426,0.36,K426)</f>
        <v>0.55417690714810997</v>
      </c>
      <c r="R426" s="1">
        <f>[1]!Convection(I426,M426,1000,9*10^-4,K426,0.6,0.36,7)</f>
        <v>20550.079694253804</v>
      </c>
      <c r="S426" s="1">
        <f t="shared" si="88"/>
        <v>0.71003081711504956</v>
      </c>
      <c r="T426" s="1">
        <f t="shared" si="89"/>
        <v>6.62317847849383E-6</v>
      </c>
      <c r="U426" s="1">
        <f t="shared" si="90"/>
        <v>1.4423812831894878E-6</v>
      </c>
      <c r="V426" s="1">
        <f t="shared" si="91"/>
        <v>2.1428569999999998</v>
      </c>
      <c r="W426" s="1">
        <f t="shared" si="92"/>
        <v>112.28529110784339</v>
      </c>
      <c r="X426" s="1">
        <f t="shared" si="93"/>
        <v>6.5466448445171848</v>
      </c>
      <c r="Y426" s="1">
        <f t="shared" si="94"/>
        <v>9.6611803668857715E-2</v>
      </c>
      <c r="Z426" s="1">
        <v>29.935083259999999</v>
      </c>
    </row>
    <row r="427" spans="1:26" x14ac:dyDescent="0.25">
      <c r="A427" s="1">
        <f>35</f>
        <v>35</v>
      </c>
      <c r="B427" s="1">
        <v>0.5</v>
      </c>
      <c r="C427" s="1">
        <v>2.1428569999999998</v>
      </c>
      <c r="D427" s="1">
        <f t="shared" si="82"/>
        <v>7.4999995E-2</v>
      </c>
      <c r="E427" s="1">
        <v>20</v>
      </c>
      <c r="F427" s="1">
        <v>1.5</v>
      </c>
      <c r="G427" s="1">
        <v>125</v>
      </c>
      <c r="H427" s="1">
        <v>31.12102084</v>
      </c>
      <c r="I427" s="1">
        <f t="shared" si="83"/>
        <v>3.5000000000000003E-2</v>
      </c>
      <c r="J427" s="1">
        <f t="shared" si="84"/>
        <v>7.4999995E-2</v>
      </c>
      <c r="K427" s="1">
        <f t="shared" si="85"/>
        <v>5.0000000000000001E-4</v>
      </c>
      <c r="L427" s="1">
        <f t="shared" si="86"/>
        <v>0.36483313053917238</v>
      </c>
      <c r="M427" s="1">
        <f t="shared" si="87"/>
        <v>3.4722222222222224E-2</v>
      </c>
      <c r="N427" s="1">
        <v>278</v>
      </c>
      <c r="O427" s="1">
        <v>3.0550000000000002</v>
      </c>
      <c r="P427" s="1">
        <v>4148</v>
      </c>
      <c r="Q427" s="1">
        <f>[1]!HeatTransferArea(I427,D427,0.36,K427)</f>
        <v>0.55417690714810997</v>
      </c>
      <c r="R427" s="1">
        <f>[1]!Convection(I427,M427,1000,9*10^-4,K427,0.6,0.36,7)</f>
        <v>20550.079694253804</v>
      </c>
      <c r="S427" s="1">
        <f t="shared" si="88"/>
        <v>0.47335387807669965</v>
      </c>
      <c r="T427" s="1">
        <f t="shared" si="89"/>
        <v>9.9347677177407437E-6</v>
      </c>
      <c r="U427" s="1">
        <f t="shared" si="90"/>
        <v>2.1635719247842315E-6</v>
      </c>
      <c r="V427" s="1">
        <f t="shared" si="91"/>
        <v>2.1428569999999998</v>
      </c>
      <c r="W427" s="1">
        <f t="shared" si="92"/>
        <v>74.856860738562261</v>
      </c>
      <c r="X427" s="1">
        <f t="shared" si="93"/>
        <v>6.5466448445171848</v>
      </c>
      <c r="Y427" s="1">
        <f t="shared" si="94"/>
        <v>6.6959514343182744E-2</v>
      </c>
      <c r="Z427" s="1">
        <v>31.12102084</v>
      </c>
    </row>
    <row r="428" spans="1:26" x14ac:dyDescent="0.25">
      <c r="A428" s="1">
        <f>35</f>
        <v>35</v>
      </c>
      <c r="B428" s="1">
        <v>0.5</v>
      </c>
      <c r="C428" s="1">
        <v>2.8571430000000002</v>
      </c>
      <c r="D428" s="1">
        <f t="shared" si="82"/>
        <v>0.100000005</v>
      </c>
      <c r="E428" s="1">
        <v>20</v>
      </c>
      <c r="F428" s="1">
        <v>0.5</v>
      </c>
      <c r="G428" s="1">
        <v>125</v>
      </c>
      <c r="H428" s="1">
        <v>27.468653360000001</v>
      </c>
      <c r="I428" s="1">
        <f t="shared" si="83"/>
        <v>3.5000000000000003E-2</v>
      </c>
      <c r="J428" s="1">
        <f t="shared" si="84"/>
        <v>0.100000005</v>
      </c>
      <c r="K428" s="1">
        <f t="shared" si="85"/>
        <v>5.0000000000000001E-4</v>
      </c>
      <c r="L428" s="1">
        <f t="shared" si="86"/>
        <v>0.48644423080405397</v>
      </c>
      <c r="M428" s="1">
        <f t="shared" si="87"/>
        <v>3.4722222222222224E-2</v>
      </c>
      <c r="N428" s="1">
        <v>278</v>
      </c>
      <c r="O428" s="1">
        <v>3.0550000000000002</v>
      </c>
      <c r="P428" s="1">
        <v>4148</v>
      </c>
      <c r="Q428" s="1">
        <f>[1]!HeatTransferArea(I428,D428,0.36,K428)</f>
        <v>0.73890262906944904</v>
      </c>
      <c r="R428" s="1">
        <f>[1]!Convection(I428,M428,1000,9*10^-4,K428,0.6,0.36,7)</f>
        <v>20550.079694253804</v>
      </c>
      <c r="S428" s="1">
        <f t="shared" si="88"/>
        <v>1.0650461014171875</v>
      </c>
      <c r="T428" s="1">
        <f t="shared" si="89"/>
        <v>5.8872711323576311E-6</v>
      </c>
      <c r="U428" s="1">
        <f t="shared" si="90"/>
        <v>7.2119064159474388E-7</v>
      </c>
      <c r="V428" s="1">
        <f t="shared" si="91"/>
        <v>2.8571430000000002</v>
      </c>
      <c r="W428" s="1">
        <f t="shared" si="92"/>
        <v>224.57058221568678</v>
      </c>
      <c r="X428" s="1">
        <f t="shared" si="93"/>
        <v>6.5466448445171848</v>
      </c>
      <c r="Y428" s="1">
        <f t="shared" si="94"/>
        <v>0.13297754074067145</v>
      </c>
      <c r="Z428" s="1">
        <v>27.468653360000001</v>
      </c>
    </row>
    <row r="429" spans="1:26" x14ac:dyDescent="0.25">
      <c r="A429" s="1">
        <f>35</f>
        <v>35</v>
      </c>
      <c r="B429" s="1">
        <v>0.5</v>
      </c>
      <c r="C429" s="1">
        <v>2.8571430000000002</v>
      </c>
      <c r="D429" s="1">
        <f t="shared" si="82"/>
        <v>0.100000005</v>
      </c>
      <c r="E429" s="1">
        <v>20</v>
      </c>
      <c r="F429" s="1">
        <v>1</v>
      </c>
      <c r="G429" s="1">
        <v>125</v>
      </c>
      <c r="H429" s="1">
        <v>30.98650335</v>
      </c>
      <c r="I429" s="1">
        <f t="shared" si="83"/>
        <v>3.5000000000000003E-2</v>
      </c>
      <c r="J429" s="1">
        <f t="shared" si="84"/>
        <v>0.100000005</v>
      </c>
      <c r="K429" s="1">
        <f t="shared" si="85"/>
        <v>5.0000000000000001E-4</v>
      </c>
      <c r="L429" s="1">
        <f t="shared" si="86"/>
        <v>0.48644423080405397</v>
      </c>
      <c r="M429" s="1">
        <f t="shared" si="87"/>
        <v>3.4722222222222224E-2</v>
      </c>
      <c r="N429" s="1">
        <v>278</v>
      </c>
      <c r="O429" s="1">
        <v>3.0550000000000002</v>
      </c>
      <c r="P429" s="1">
        <v>4148</v>
      </c>
      <c r="Q429" s="1">
        <f>[1]!HeatTransferArea(I429,D429,0.36,K429)</f>
        <v>0.73890262906944904</v>
      </c>
      <c r="R429" s="1">
        <f>[1]!Convection(I429,M429,1000,9*10^-4,K429,0.6,0.36,7)</f>
        <v>20550.079694253804</v>
      </c>
      <c r="S429" s="1">
        <f t="shared" si="88"/>
        <v>0.53252305070859374</v>
      </c>
      <c r="T429" s="1">
        <f t="shared" si="89"/>
        <v>1.1774542264715262E-5</v>
      </c>
      <c r="U429" s="1">
        <f t="shared" si="90"/>
        <v>1.4423812831894878E-6</v>
      </c>
      <c r="V429" s="1">
        <f t="shared" si="91"/>
        <v>2.8571430000000002</v>
      </c>
      <c r="W429" s="1">
        <f t="shared" si="92"/>
        <v>112.28529110784339</v>
      </c>
      <c r="X429" s="1">
        <f t="shared" si="93"/>
        <v>6.5466448445171848</v>
      </c>
      <c r="Y429" s="1">
        <f t="shared" si="94"/>
        <v>7.5003840880599637E-2</v>
      </c>
      <c r="Z429" s="1">
        <v>30.98650335</v>
      </c>
    </row>
    <row r="430" spans="1:26" x14ac:dyDescent="0.25">
      <c r="A430" s="1">
        <f>35</f>
        <v>35</v>
      </c>
      <c r="B430" s="1">
        <v>0.5</v>
      </c>
      <c r="C430" s="1">
        <v>2.8571430000000002</v>
      </c>
      <c r="D430" s="1">
        <f t="shared" si="82"/>
        <v>0.100000005</v>
      </c>
      <c r="E430" s="1">
        <v>20</v>
      </c>
      <c r="F430" s="1">
        <v>1.5</v>
      </c>
      <c r="G430" s="1">
        <v>125</v>
      </c>
      <c r="H430" s="1">
        <v>31.393398560000001</v>
      </c>
      <c r="I430" s="1">
        <f t="shared" si="83"/>
        <v>3.5000000000000003E-2</v>
      </c>
      <c r="J430" s="1">
        <f t="shared" si="84"/>
        <v>0.100000005</v>
      </c>
      <c r="K430" s="1">
        <f t="shared" si="85"/>
        <v>5.0000000000000001E-4</v>
      </c>
      <c r="L430" s="1">
        <f t="shared" si="86"/>
        <v>0.48644423080405397</v>
      </c>
      <c r="M430" s="1">
        <f t="shared" si="87"/>
        <v>3.4722222222222224E-2</v>
      </c>
      <c r="N430" s="1">
        <v>278</v>
      </c>
      <c r="O430" s="1">
        <v>3.0550000000000002</v>
      </c>
      <c r="P430" s="1">
        <v>4148</v>
      </c>
      <c r="Q430" s="1">
        <f>[1]!HeatTransferArea(I430,D430,0.36,K430)</f>
        <v>0.73890262906944904</v>
      </c>
      <c r="R430" s="1">
        <f>[1]!Convection(I430,M430,1000,9*10^-4,K430,0.6,0.36,7)</f>
        <v>20550.079694253804</v>
      </c>
      <c r="S430" s="1">
        <f t="shared" si="88"/>
        <v>0.35501536713906245</v>
      </c>
      <c r="T430" s="1">
        <f t="shared" si="89"/>
        <v>1.7661813397072894E-5</v>
      </c>
      <c r="U430" s="1">
        <f t="shared" si="90"/>
        <v>2.1635719247842315E-6</v>
      </c>
      <c r="V430" s="1">
        <f t="shared" si="91"/>
        <v>2.8571430000000002</v>
      </c>
      <c r="W430" s="1">
        <f t="shared" si="92"/>
        <v>74.856860738562261</v>
      </c>
      <c r="X430" s="1">
        <f t="shared" si="93"/>
        <v>6.5466448445171848</v>
      </c>
      <c r="Y430" s="1">
        <f t="shared" si="94"/>
        <v>5.0659162661873036E-2</v>
      </c>
      <c r="Z430" s="1">
        <v>31.393398560000001</v>
      </c>
    </row>
    <row r="431" spans="1:26" x14ac:dyDescent="0.25">
      <c r="A431" s="1">
        <f>35</f>
        <v>35</v>
      </c>
      <c r="B431" s="1">
        <v>0.5</v>
      </c>
      <c r="C431" s="1">
        <v>3.5714290000000002</v>
      </c>
      <c r="D431" s="1">
        <f t="shared" si="82"/>
        <v>0.12500001499999999</v>
      </c>
      <c r="E431" s="1">
        <v>20</v>
      </c>
      <c r="F431" s="1">
        <v>0.5</v>
      </c>
      <c r="G431" s="1">
        <v>125</v>
      </c>
      <c r="H431" s="1">
        <v>29.459596019999999</v>
      </c>
      <c r="I431" s="1">
        <f t="shared" si="83"/>
        <v>3.5000000000000003E-2</v>
      </c>
      <c r="J431" s="1">
        <f t="shared" si="84"/>
        <v>0.12500001499999999</v>
      </c>
      <c r="K431" s="1">
        <f t="shared" si="85"/>
        <v>5.0000000000000001E-4</v>
      </c>
      <c r="L431" s="1">
        <f t="shared" si="86"/>
        <v>0.6080553310689355</v>
      </c>
      <c r="M431" s="1">
        <f t="shared" si="87"/>
        <v>3.4722222222222224E-2</v>
      </c>
      <c r="N431" s="1">
        <v>278</v>
      </c>
      <c r="O431" s="1">
        <v>3.0550000000000002</v>
      </c>
      <c r="P431" s="1">
        <v>4148</v>
      </c>
      <c r="Q431" s="1">
        <f>[1]!HeatTransferArea(I431,D431,0.36,K431)</f>
        <v>0.92362835099078811</v>
      </c>
      <c r="R431" s="1">
        <f>[1]!Convection(I431,M431,1000,9*10^-4,K431,0.6,0.36,7)</f>
        <v>20550.079694253804</v>
      </c>
      <c r="S431" s="1">
        <f t="shared" si="88"/>
        <v>0.85203682149117543</v>
      </c>
      <c r="T431" s="1">
        <f t="shared" si="89"/>
        <v>9.1988624321493372E-6</v>
      </c>
      <c r="U431" s="1">
        <f t="shared" si="90"/>
        <v>7.2119064159474388E-7</v>
      </c>
      <c r="V431" s="1">
        <f t="shared" si="91"/>
        <v>3.5714290000000002</v>
      </c>
      <c r="W431" s="1">
        <f t="shared" si="92"/>
        <v>224.57058221568676</v>
      </c>
      <c r="X431" s="1">
        <f t="shared" si="93"/>
        <v>6.5466448445171848</v>
      </c>
      <c r="Y431" s="1">
        <f t="shared" si="94"/>
        <v>0.11409265112167204</v>
      </c>
      <c r="Z431" s="1">
        <v>29.459596019999999</v>
      </c>
    </row>
    <row r="432" spans="1:26" x14ac:dyDescent="0.25">
      <c r="A432" s="1">
        <f>35</f>
        <v>35</v>
      </c>
      <c r="B432" s="1">
        <v>0.5</v>
      </c>
      <c r="C432" s="1">
        <v>3.5714290000000002</v>
      </c>
      <c r="D432" s="1">
        <f t="shared" si="82"/>
        <v>0.12500001499999999</v>
      </c>
      <c r="E432" s="1">
        <v>20</v>
      </c>
      <c r="F432" s="1">
        <v>1</v>
      </c>
      <c r="G432" s="1">
        <v>125</v>
      </c>
      <c r="H432" s="1">
        <v>31.116413619999999</v>
      </c>
      <c r="I432" s="1">
        <f t="shared" si="83"/>
        <v>3.5000000000000003E-2</v>
      </c>
      <c r="J432" s="1">
        <f t="shared" si="84"/>
        <v>0.12500001499999999</v>
      </c>
      <c r="K432" s="1">
        <f t="shared" si="85"/>
        <v>5.0000000000000001E-4</v>
      </c>
      <c r="L432" s="1">
        <f t="shared" si="86"/>
        <v>0.6080553310689355</v>
      </c>
      <c r="M432" s="1">
        <f t="shared" si="87"/>
        <v>3.4722222222222224E-2</v>
      </c>
      <c r="N432" s="1">
        <v>278</v>
      </c>
      <c r="O432" s="1">
        <v>3.0550000000000002</v>
      </c>
      <c r="P432" s="1">
        <v>4148</v>
      </c>
      <c r="Q432" s="1">
        <f>[1]!HeatTransferArea(I432,D432,0.36,K432)</f>
        <v>0.92362835099078811</v>
      </c>
      <c r="R432" s="1">
        <f>[1]!Convection(I432,M432,1000,9*10^-4,K432,0.6,0.36,7)</f>
        <v>20550.079694253804</v>
      </c>
      <c r="S432" s="1">
        <f t="shared" si="88"/>
        <v>0.42601841074558772</v>
      </c>
      <c r="T432" s="1">
        <f t="shared" si="89"/>
        <v>1.8397724864298674E-5</v>
      </c>
      <c r="U432" s="1">
        <f t="shared" si="90"/>
        <v>1.4423812831894878E-6</v>
      </c>
      <c r="V432" s="1">
        <f t="shared" si="91"/>
        <v>3.5714290000000002</v>
      </c>
      <c r="W432" s="1">
        <f t="shared" si="92"/>
        <v>112.28529110784338</v>
      </c>
      <c r="X432" s="1">
        <f t="shared" si="93"/>
        <v>6.5466448445171848</v>
      </c>
      <c r="Y432" s="1">
        <f t="shared" si="94"/>
        <v>6.0254630119403518E-2</v>
      </c>
      <c r="Z432" s="1">
        <v>31.116413619999999</v>
      </c>
    </row>
    <row r="433" spans="1:26" x14ac:dyDescent="0.25">
      <c r="A433" s="1">
        <f>35</f>
        <v>35</v>
      </c>
      <c r="B433" s="1">
        <v>0.5</v>
      </c>
      <c r="C433" s="1">
        <v>3.5714290000000002</v>
      </c>
      <c r="D433" s="1">
        <f t="shared" si="82"/>
        <v>0.12500001499999999</v>
      </c>
      <c r="E433" s="1">
        <v>20</v>
      </c>
      <c r="F433" s="1">
        <v>1.5</v>
      </c>
      <c r="G433" s="1">
        <v>125</v>
      </c>
      <c r="H433" s="1">
        <v>31.246745050000001</v>
      </c>
      <c r="I433" s="1">
        <f t="shared" si="83"/>
        <v>3.5000000000000003E-2</v>
      </c>
      <c r="J433" s="1">
        <f t="shared" si="84"/>
        <v>0.12500001499999999</v>
      </c>
      <c r="K433" s="1">
        <f t="shared" si="85"/>
        <v>5.0000000000000001E-4</v>
      </c>
      <c r="L433" s="1">
        <f t="shared" si="86"/>
        <v>0.6080553310689355</v>
      </c>
      <c r="M433" s="1">
        <f t="shared" si="87"/>
        <v>3.4722222222222224E-2</v>
      </c>
      <c r="N433" s="1">
        <v>278</v>
      </c>
      <c r="O433" s="1">
        <v>3.0550000000000002</v>
      </c>
      <c r="P433" s="1">
        <v>4148</v>
      </c>
      <c r="Q433" s="1">
        <f>[1]!HeatTransferArea(I433,D433,0.36,K433)</f>
        <v>0.92362835099078811</v>
      </c>
      <c r="R433" s="1">
        <f>[1]!Convection(I433,M433,1000,9*10^-4,K433,0.6,0.36,7)</f>
        <v>20550.079694253804</v>
      </c>
      <c r="S433" s="1">
        <f t="shared" si="88"/>
        <v>0.28401227383039185</v>
      </c>
      <c r="T433" s="1">
        <f t="shared" si="89"/>
        <v>2.759658729644801E-5</v>
      </c>
      <c r="U433" s="1">
        <f t="shared" si="90"/>
        <v>2.1635719247842315E-6</v>
      </c>
      <c r="V433" s="1">
        <f t="shared" si="91"/>
        <v>3.5714290000000002</v>
      </c>
      <c r="W433" s="1">
        <f t="shared" si="92"/>
        <v>74.856860738562261</v>
      </c>
      <c r="X433" s="1">
        <f t="shared" si="93"/>
        <v>6.5466448445171848</v>
      </c>
      <c r="Y433" s="1">
        <f t="shared" si="94"/>
        <v>4.0338004853123839E-2</v>
      </c>
      <c r="Z433" s="1">
        <v>31.246745050000001</v>
      </c>
    </row>
  </sheetData>
  <sortState ref="A2:Z433">
    <sortCondition ref="E1"/>
  </sortState>
  <conditionalFormatting sqref="S1:S1048576">
    <cfRule type="cellIs" dxfId="2" priority="2" operator="equal">
      <formula>0.871354878012482</formula>
    </cfRule>
    <cfRule type="cellIs" dxfId="1" priority="3" operator="equal">
      <formula>0.871354878012482</formula>
    </cfRule>
  </conditionalFormatting>
  <conditionalFormatting sqref="H1:H1048576">
    <cfRule type="cellIs" dxfId="0" priority="1" operator="equal">
      <formula>#REF!</formula>
    </cfRule>
  </conditionalFormatting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R201"/>
  <sheetViews>
    <sheetView workbookViewId="0">
      <selection sqref="A1:XFD1048576"/>
    </sheetView>
  </sheetViews>
  <sheetFormatPr defaultRowHeight="15" x14ac:dyDescent="0.25"/>
  <cols>
    <col min="1" max="1" width="18.28515625" customWidth="1"/>
    <col min="2" max="2" width="17" customWidth="1"/>
    <col min="3" max="3" width="16.7109375" customWidth="1"/>
    <col min="4" max="4" width="16.28515625" customWidth="1"/>
    <col min="8" max="10" width="14.7109375" bestFit="1" customWidth="1"/>
  </cols>
  <sheetData>
    <row r="1" spans="1:18" x14ac:dyDescent="0.25">
      <c r="A1" s="3">
        <v>278</v>
      </c>
      <c r="B1" s="3">
        <v>0</v>
      </c>
      <c r="C1" s="4">
        <v>316.79500264751999</v>
      </c>
      <c r="D1" s="3">
        <v>295.37285532840002</v>
      </c>
      <c r="E1">
        <v>278</v>
      </c>
      <c r="F1">
        <v>1.2</v>
      </c>
      <c r="G1">
        <v>2.2430872058352498</v>
      </c>
      <c r="H1" s="4">
        <f>AVERAGE(C1:C201)</f>
        <v>314.05601578542843</v>
      </c>
      <c r="I1" s="4">
        <f>AVERAGE(C51:C201)</f>
        <v>311.2052831916335</v>
      </c>
      <c r="J1" s="4">
        <f>AVERAGE(C101:C201)</f>
        <v>299.65032740754941</v>
      </c>
      <c r="M1">
        <v>278</v>
      </c>
      <c r="N1">
        <v>0</v>
      </c>
      <c r="O1">
        <v>313.65845926907599</v>
      </c>
      <c r="P1">
        <f>AVERAGE(O1:O201)</f>
        <v>278.61609156526345</v>
      </c>
      <c r="Q1">
        <f>AVERAGE(O51:O201)</f>
        <v>264.26525692907285</v>
      </c>
      <c r="R1">
        <f>AVERAGE(O101:O201)</f>
        <v>235.98679374241291</v>
      </c>
    </row>
    <row r="2" spans="1:18" x14ac:dyDescent="0.25">
      <c r="A2" s="3">
        <v>278.10000000000002</v>
      </c>
      <c r="B2" s="3">
        <v>0</v>
      </c>
      <c r="C2" s="4">
        <v>317.02722489601001</v>
      </c>
      <c r="D2" s="3">
        <v>295.41201361679998</v>
      </c>
      <c r="E2">
        <v>278.10000000000002</v>
      </c>
      <c r="F2">
        <v>1.2</v>
      </c>
      <c r="G2">
        <v>2.2534246896669101</v>
      </c>
      <c r="H2" s="4">
        <f>AVERAGE(D1:D201)</f>
        <v>268.6061741319603</v>
      </c>
      <c r="I2" s="4">
        <f>AVERAGE(D51:D201)</f>
        <v>259.25899444496287</v>
      </c>
      <c r="J2" s="4">
        <f>AVERAGE(D101:D201)</f>
        <v>239.16843990433756</v>
      </c>
      <c r="M2">
        <v>278.10000000000002</v>
      </c>
      <c r="N2">
        <v>0</v>
      </c>
      <c r="O2">
        <v>314.01372392889601</v>
      </c>
    </row>
    <row r="3" spans="1:18" x14ac:dyDescent="0.25">
      <c r="A3" s="3">
        <v>278.2</v>
      </c>
      <c r="B3" s="3">
        <v>0</v>
      </c>
      <c r="C3" s="4">
        <v>317.26007973173</v>
      </c>
      <c r="D3" s="3">
        <v>295.4875584788</v>
      </c>
      <c r="E3">
        <v>278.2</v>
      </c>
      <c r="F3">
        <v>1.2</v>
      </c>
      <c r="G3">
        <v>2.2637621734985598</v>
      </c>
      <c r="M3">
        <v>278.2</v>
      </c>
      <c r="N3">
        <v>0</v>
      </c>
      <c r="O3">
        <v>314.36898858871501</v>
      </c>
    </row>
    <row r="4" spans="1:18" x14ac:dyDescent="0.25">
      <c r="A4" s="3">
        <v>278.3</v>
      </c>
      <c r="B4" s="3">
        <v>0</v>
      </c>
      <c r="C4" s="4">
        <v>317.49355740028</v>
      </c>
      <c r="D4" s="3">
        <v>295.55243743540001</v>
      </c>
      <c r="E4">
        <v>278.3</v>
      </c>
      <c r="F4">
        <v>1.2</v>
      </c>
      <c r="G4">
        <v>2.2740996573302201</v>
      </c>
      <c r="M4">
        <v>278.3</v>
      </c>
      <c r="N4">
        <v>0</v>
      </c>
      <c r="O4">
        <v>314.72425324853498</v>
      </c>
    </row>
    <row r="5" spans="1:18" x14ac:dyDescent="0.25">
      <c r="A5" s="3">
        <v>278.39999999999998</v>
      </c>
      <c r="B5" s="3">
        <v>0</v>
      </c>
      <c r="C5" s="4">
        <v>317.72764769123</v>
      </c>
      <c r="D5" s="3">
        <v>295.59146291899998</v>
      </c>
      <c r="E5">
        <v>278.39999999999998</v>
      </c>
      <c r="F5">
        <v>1.2</v>
      </c>
      <c r="G5">
        <v>2.2844371411618698</v>
      </c>
      <c r="M5">
        <v>278.39999999999998</v>
      </c>
      <c r="N5">
        <v>0</v>
      </c>
      <c r="O5">
        <v>315.07951790835398</v>
      </c>
    </row>
    <row r="6" spans="1:18" x14ac:dyDescent="0.25">
      <c r="A6" s="3">
        <v>278.5</v>
      </c>
      <c r="B6" s="3">
        <v>0</v>
      </c>
      <c r="C6" s="4">
        <v>317.96233992778002</v>
      </c>
      <c r="D6" s="3">
        <v>295.66711870670002</v>
      </c>
      <c r="E6">
        <v>278.5</v>
      </c>
      <c r="F6">
        <v>1.2</v>
      </c>
      <c r="G6">
        <v>2.2947746249935199</v>
      </c>
      <c r="M6">
        <v>278.5</v>
      </c>
      <c r="N6">
        <v>0</v>
      </c>
      <c r="O6">
        <v>315.434782568174</v>
      </c>
    </row>
    <row r="7" spans="1:18" x14ac:dyDescent="0.25">
      <c r="A7" s="3">
        <v>278.60000000000002</v>
      </c>
      <c r="B7" s="3">
        <v>0</v>
      </c>
      <c r="C7" s="4">
        <v>318.19762295637003</v>
      </c>
      <c r="D7" s="3">
        <v>295.72687871110003</v>
      </c>
      <c r="E7">
        <v>278.60000000000002</v>
      </c>
      <c r="F7">
        <v>1.2</v>
      </c>
      <c r="G7">
        <v>2.3056504334679002</v>
      </c>
      <c r="M7">
        <v>278.60000000000002</v>
      </c>
      <c r="N7">
        <v>0</v>
      </c>
      <c r="O7">
        <v>315.789696175546</v>
      </c>
    </row>
    <row r="8" spans="1:18" x14ac:dyDescent="0.25">
      <c r="A8" s="3">
        <v>278.7</v>
      </c>
      <c r="B8" s="3">
        <v>0</v>
      </c>
      <c r="C8" s="4">
        <v>318.43348513626</v>
      </c>
      <c r="D8" s="3">
        <v>295.79174728650003</v>
      </c>
      <c r="E8">
        <v>278.7</v>
      </c>
      <c r="F8">
        <v>1.2</v>
      </c>
      <c r="G8">
        <v>2.3165262419422699</v>
      </c>
      <c r="M8">
        <v>278.7</v>
      </c>
      <c r="N8">
        <v>0</v>
      </c>
      <c r="O8">
        <v>316.144609782918</v>
      </c>
    </row>
    <row r="9" spans="1:18" x14ac:dyDescent="0.25">
      <c r="A9" s="3">
        <v>278.8</v>
      </c>
      <c r="B9" s="3">
        <v>0</v>
      </c>
      <c r="C9" s="4">
        <v>318.66991432926</v>
      </c>
      <c r="D9" s="3">
        <v>295.83103911360001</v>
      </c>
      <c r="E9">
        <v>278.8</v>
      </c>
      <c r="F9">
        <v>1.2</v>
      </c>
      <c r="G9">
        <v>2.3274020504166399</v>
      </c>
      <c r="M9">
        <v>278.8</v>
      </c>
      <c r="N9">
        <v>0</v>
      </c>
      <c r="O9">
        <v>316.49952339029102</v>
      </c>
    </row>
    <row r="10" spans="1:18" x14ac:dyDescent="0.25">
      <c r="A10" s="3">
        <v>278.89999999999998</v>
      </c>
      <c r="B10" s="3">
        <v>0</v>
      </c>
      <c r="C10" s="4">
        <v>318.90689788948998</v>
      </c>
      <c r="D10" s="3">
        <v>295.90650419640002</v>
      </c>
      <c r="E10">
        <v>278.89999999999998</v>
      </c>
      <c r="F10">
        <v>1.2</v>
      </c>
      <c r="G10">
        <v>2.33827785889101</v>
      </c>
      <c r="M10">
        <v>278.89999999999998</v>
      </c>
      <c r="N10">
        <v>0</v>
      </c>
      <c r="O10">
        <v>316.85443699766302</v>
      </c>
    </row>
    <row r="11" spans="1:18" x14ac:dyDescent="0.25">
      <c r="A11" s="3">
        <v>279</v>
      </c>
      <c r="B11" s="3">
        <v>0</v>
      </c>
      <c r="C11" s="4">
        <v>319.14442265317001</v>
      </c>
      <c r="D11" s="3">
        <v>295.96630023440002</v>
      </c>
      <c r="E11">
        <v>279</v>
      </c>
      <c r="F11">
        <v>1.2</v>
      </c>
      <c r="G11">
        <v>2.3491536673653899</v>
      </c>
      <c r="M11">
        <v>279</v>
      </c>
      <c r="N11">
        <v>0</v>
      </c>
      <c r="O11">
        <v>317.20935060503501</v>
      </c>
    </row>
    <row r="12" spans="1:18" x14ac:dyDescent="0.25">
      <c r="A12" s="3">
        <v>279.10000000000002</v>
      </c>
      <c r="B12" s="3">
        <v>0</v>
      </c>
      <c r="C12" s="4">
        <v>319.38247492865003</v>
      </c>
      <c r="D12" s="3">
        <v>296.02610907659999</v>
      </c>
      <c r="E12">
        <v>279.10000000000002</v>
      </c>
      <c r="F12">
        <v>1.2</v>
      </c>
      <c r="G12">
        <v>2.3605890618609302</v>
      </c>
      <c r="M12">
        <v>279.10000000000002</v>
      </c>
      <c r="N12">
        <v>0</v>
      </c>
      <c r="O12">
        <v>317.56132939375101</v>
      </c>
    </row>
    <row r="13" spans="1:18" x14ac:dyDescent="0.25">
      <c r="A13" s="3">
        <v>279.2</v>
      </c>
      <c r="B13" s="3">
        <v>0</v>
      </c>
      <c r="C13" s="4">
        <v>319.62104048649002</v>
      </c>
      <c r="D13" s="3">
        <v>296.09094729600002</v>
      </c>
      <c r="E13">
        <v>279.2</v>
      </c>
      <c r="F13">
        <v>1.2</v>
      </c>
      <c r="G13">
        <v>2.3720244563564599</v>
      </c>
      <c r="M13">
        <v>279.2</v>
      </c>
      <c r="N13">
        <v>0</v>
      </c>
      <c r="O13">
        <v>317.91330818246701</v>
      </c>
    </row>
    <row r="14" spans="1:18" x14ac:dyDescent="0.25">
      <c r="A14" s="3">
        <v>279.3</v>
      </c>
      <c r="B14" s="3">
        <v>0</v>
      </c>
      <c r="C14" s="4">
        <v>319.86010454985001</v>
      </c>
      <c r="D14" s="3">
        <v>296.13061568479998</v>
      </c>
      <c r="E14">
        <v>279.3</v>
      </c>
      <c r="F14">
        <v>1.2</v>
      </c>
      <c r="G14">
        <v>2.3834598508520002</v>
      </c>
      <c r="M14">
        <v>279.3</v>
      </c>
      <c r="N14">
        <v>0</v>
      </c>
      <c r="O14">
        <v>318.265286971183</v>
      </c>
    </row>
    <row r="15" spans="1:18" x14ac:dyDescent="0.25">
      <c r="A15" s="3">
        <v>279.39999999999998</v>
      </c>
      <c r="B15" s="3">
        <v>0</v>
      </c>
      <c r="C15" s="4">
        <v>320.09965178495003</v>
      </c>
      <c r="D15" s="3">
        <v>296.2058004013</v>
      </c>
      <c r="E15">
        <v>279.39999999999998</v>
      </c>
      <c r="F15">
        <v>1.2</v>
      </c>
      <c r="G15">
        <v>2.3948952453475401</v>
      </c>
      <c r="M15">
        <v>279.39999999999998</v>
      </c>
      <c r="N15">
        <v>0</v>
      </c>
      <c r="O15">
        <v>318.61726575989798</v>
      </c>
    </row>
    <row r="16" spans="1:18" x14ac:dyDescent="0.25">
      <c r="A16" s="3">
        <v>279.5</v>
      </c>
      <c r="B16" s="3">
        <v>0</v>
      </c>
      <c r="C16" s="4">
        <v>320.33966629196999</v>
      </c>
      <c r="D16" s="3">
        <v>296.26563622420002</v>
      </c>
      <c r="E16">
        <v>279.5</v>
      </c>
      <c r="F16">
        <v>1.2</v>
      </c>
      <c r="G16">
        <v>2.4063306398430799</v>
      </c>
      <c r="M16">
        <v>279.5</v>
      </c>
      <c r="N16">
        <v>0</v>
      </c>
      <c r="O16">
        <v>318.96924454861397</v>
      </c>
    </row>
    <row r="17" spans="1:15" x14ac:dyDescent="0.25">
      <c r="A17" s="3">
        <v>279.60000000000002</v>
      </c>
      <c r="B17" s="3">
        <v>0</v>
      </c>
      <c r="C17" s="4">
        <v>320.58013159613</v>
      </c>
      <c r="D17" s="3">
        <v>296.32548194970002</v>
      </c>
      <c r="E17">
        <v>279.60000000000002</v>
      </c>
      <c r="F17">
        <v>1.2</v>
      </c>
      <c r="G17">
        <v>2.4183428701282299</v>
      </c>
      <c r="M17">
        <v>279.60000000000002</v>
      </c>
      <c r="N17">
        <v>0</v>
      </c>
      <c r="O17">
        <v>319.31537200942398</v>
      </c>
    </row>
    <row r="18" spans="1:15" x14ac:dyDescent="0.25">
      <c r="A18" s="3">
        <v>279.7</v>
      </c>
      <c r="B18" s="3">
        <v>0</v>
      </c>
      <c r="C18" s="4">
        <v>320.82103063922</v>
      </c>
      <c r="D18" s="3">
        <v>296.38533688220002</v>
      </c>
      <c r="E18">
        <v>279.7</v>
      </c>
      <c r="F18">
        <v>1.2</v>
      </c>
      <c r="G18">
        <v>2.4303551004133799</v>
      </c>
      <c r="M18">
        <v>279.7</v>
      </c>
      <c r="N18">
        <v>0</v>
      </c>
      <c r="O18">
        <v>319.66149947023303</v>
      </c>
    </row>
    <row r="19" spans="1:15" x14ac:dyDescent="0.25">
      <c r="A19" s="3">
        <v>279.8</v>
      </c>
      <c r="B19" s="3">
        <v>0</v>
      </c>
      <c r="C19" s="4">
        <v>321.06234577145</v>
      </c>
      <c r="D19" s="3">
        <v>296.44520035750003</v>
      </c>
      <c r="E19">
        <v>279.8</v>
      </c>
      <c r="F19">
        <v>1.2</v>
      </c>
      <c r="G19">
        <v>2.4423673306985401</v>
      </c>
      <c r="M19">
        <v>279.8</v>
      </c>
      <c r="N19">
        <v>0</v>
      </c>
      <c r="O19">
        <v>320.00762693104298</v>
      </c>
    </row>
    <row r="20" spans="1:15" x14ac:dyDescent="0.25">
      <c r="A20" s="3">
        <v>279.89999999999998</v>
      </c>
      <c r="B20" s="3">
        <v>0</v>
      </c>
      <c r="C20" s="4">
        <v>321.30405874387998</v>
      </c>
      <c r="D20" s="3">
        <v>296.50507173979997</v>
      </c>
      <c r="E20">
        <v>279.89999999999998</v>
      </c>
      <c r="F20">
        <v>1.2</v>
      </c>
      <c r="G20">
        <v>2.45437956098369</v>
      </c>
      <c r="M20">
        <v>279.89999999999998</v>
      </c>
      <c r="N20">
        <v>0</v>
      </c>
      <c r="O20">
        <v>320.35375439185202</v>
      </c>
    </row>
    <row r="21" spans="1:15" x14ac:dyDescent="0.25">
      <c r="A21" s="3">
        <v>280</v>
      </c>
      <c r="B21" s="3">
        <v>0</v>
      </c>
      <c r="C21" s="4">
        <v>321.54615070128</v>
      </c>
      <c r="D21" s="3">
        <v>296.5698415901</v>
      </c>
      <c r="E21">
        <v>280</v>
      </c>
      <c r="F21">
        <v>1.2</v>
      </c>
      <c r="G21">
        <v>2.4663917912688502</v>
      </c>
      <c r="M21">
        <v>280</v>
      </c>
      <c r="N21">
        <v>0</v>
      </c>
      <c r="O21">
        <v>320.69988185266197</v>
      </c>
    </row>
    <row r="22" spans="1:15" x14ac:dyDescent="0.25">
      <c r="A22" s="3">
        <v>280.10000000000002</v>
      </c>
      <c r="B22" s="3">
        <v>0</v>
      </c>
      <c r="C22" s="4">
        <v>321.78860217561999</v>
      </c>
      <c r="D22" s="3">
        <v>296.61011679969999</v>
      </c>
      <c r="E22">
        <v>280.10000000000002</v>
      </c>
      <c r="F22">
        <v>1.2</v>
      </c>
      <c r="G22">
        <v>2.4790033928214501</v>
      </c>
      <c r="M22">
        <v>280.10000000000002</v>
      </c>
      <c r="N22">
        <v>0</v>
      </c>
      <c r="O22">
        <v>321.03693726608299</v>
      </c>
    </row>
    <row r="23" spans="1:15" x14ac:dyDescent="0.25">
      <c r="A23" s="3">
        <v>280.2</v>
      </c>
      <c r="B23" s="3">
        <v>0</v>
      </c>
      <c r="C23" s="4">
        <v>322.03139308022998</v>
      </c>
      <c r="D23" s="3">
        <v>296.68482476819997</v>
      </c>
      <c r="E23">
        <v>280.2</v>
      </c>
      <c r="F23">
        <v>1.2</v>
      </c>
      <c r="G23">
        <v>2.49161499437405</v>
      </c>
      <c r="M23">
        <v>280.2</v>
      </c>
      <c r="N23">
        <v>0</v>
      </c>
      <c r="O23">
        <v>321.373992679504</v>
      </c>
    </row>
    <row r="24" spans="1:15" x14ac:dyDescent="0.25">
      <c r="A24" s="3">
        <v>280.3</v>
      </c>
      <c r="B24" s="3">
        <v>0</v>
      </c>
      <c r="C24" s="4">
        <v>322.27450270470001</v>
      </c>
      <c r="D24" s="3">
        <v>296.74470855679999</v>
      </c>
      <c r="E24">
        <v>280.3</v>
      </c>
      <c r="F24">
        <v>1.2</v>
      </c>
      <c r="G24">
        <v>2.5042265959266499</v>
      </c>
      <c r="M24">
        <v>280.3</v>
      </c>
      <c r="N24">
        <v>0</v>
      </c>
      <c r="O24">
        <v>321.71104809292598</v>
      </c>
    </row>
    <row r="25" spans="1:15" x14ac:dyDescent="0.25">
      <c r="A25" s="3">
        <v>280.39999999999998</v>
      </c>
      <c r="B25" s="3">
        <v>0</v>
      </c>
      <c r="C25" s="4">
        <v>322.51790971055999</v>
      </c>
      <c r="D25" s="3">
        <v>296.80459769060002</v>
      </c>
      <c r="E25">
        <v>280.39999999999998</v>
      </c>
      <c r="F25">
        <v>1.2</v>
      </c>
      <c r="G25">
        <v>2.5168381974792502</v>
      </c>
      <c r="M25">
        <v>280.39999999999998</v>
      </c>
      <c r="N25">
        <v>0</v>
      </c>
      <c r="O25">
        <v>322.04810350634699</v>
      </c>
    </row>
    <row r="26" spans="1:15" x14ac:dyDescent="0.25">
      <c r="A26" s="3">
        <v>280.5</v>
      </c>
      <c r="B26" s="3">
        <v>0</v>
      </c>
      <c r="C26" s="4">
        <v>322.76159212790998</v>
      </c>
      <c r="D26" s="3">
        <v>296.86449155899999</v>
      </c>
      <c r="E26">
        <v>280.5</v>
      </c>
      <c r="F26">
        <v>1.2</v>
      </c>
      <c r="G26">
        <v>2.5294497990318501</v>
      </c>
      <c r="M26">
        <v>280.5</v>
      </c>
      <c r="N26">
        <v>0</v>
      </c>
      <c r="O26">
        <v>322.385158919768</v>
      </c>
    </row>
    <row r="27" spans="1:15" x14ac:dyDescent="0.25">
      <c r="A27" s="3">
        <v>280.60000000000002</v>
      </c>
      <c r="B27" s="3">
        <v>0</v>
      </c>
      <c r="C27" s="4">
        <v>323.00552735305001</v>
      </c>
      <c r="D27" s="3">
        <v>296.9243895532</v>
      </c>
      <c r="E27">
        <v>280.60000000000002</v>
      </c>
      <c r="F27">
        <v>1.2</v>
      </c>
      <c r="G27">
        <v>2.5426729647924899</v>
      </c>
      <c r="M27">
        <v>280.60000000000002</v>
      </c>
      <c r="N27">
        <v>0</v>
      </c>
      <c r="O27">
        <v>322.709666523789</v>
      </c>
    </row>
    <row r="28" spans="1:15" x14ac:dyDescent="0.25">
      <c r="A28" s="3">
        <v>280.7</v>
      </c>
      <c r="B28" s="3">
        <v>0</v>
      </c>
      <c r="C28" s="4">
        <v>323.24969214721</v>
      </c>
      <c r="D28" s="3">
        <v>296.98429106290001</v>
      </c>
      <c r="E28">
        <v>280.7</v>
      </c>
      <c r="F28">
        <v>1.2</v>
      </c>
      <c r="G28">
        <v>2.55589613055312</v>
      </c>
      <c r="M28">
        <v>280.7</v>
      </c>
      <c r="N28">
        <v>0</v>
      </c>
      <c r="O28">
        <v>323.03417412780999</v>
      </c>
    </row>
    <row r="29" spans="1:15" x14ac:dyDescent="0.25">
      <c r="A29" s="3">
        <v>280.8</v>
      </c>
      <c r="B29" s="3">
        <v>0</v>
      </c>
      <c r="C29" s="4">
        <v>323.49406263647001</v>
      </c>
      <c r="D29" s="3">
        <v>297.04419547049997</v>
      </c>
      <c r="E29">
        <v>280.8</v>
      </c>
      <c r="F29">
        <v>1.2</v>
      </c>
      <c r="G29">
        <v>2.5691192963137501</v>
      </c>
      <c r="M29">
        <v>280.8</v>
      </c>
      <c r="N29">
        <v>0</v>
      </c>
      <c r="O29">
        <v>323.35868173183098</v>
      </c>
    </row>
    <row r="30" spans="1:15" x14ac:dyDescent="0.25">
      <c r="A30" s="3">
        <v>280.89999999999998</v>
      </c>
      <c r="B30" s="3">
        <v>0</v>
      </c>
      <c r="C30" s="4">
        <v>323.73861431306</v>
      </c>
      <c r="D30" s="3">
        <v>297.1041021497</v>
      </c>
      <c r="E30">
        <v>280.89999999999998</v>
      </c>
      <c r="F30">
        <v>1.2</v>
      </c>
      <c r="G30">
        <v>2.5823424620743798</v>
      </c>
      <c r="M30">
        <v>280.89999999999998</v>
      </c>
      <c r="N30">
        <v>0</v>
      </c>
      <c r="O30">
        <v>323.68318933585101</v>
      </c>
    </row>
    <row r="31" spans="1:15" x14ac:dyDescent="0.25">
      <c r="A31" s="3">
        <v>281</v>
      </c>
      <c r="B31" s="3">
        <v>0</v>
      </c>
      <c r="C31" s="4">
        <v>323.98332203812998</v>
      </c>
      <c r="D31" s="3">
        <v>297.1640104585</v>
      </c>
      <c r="E31">
        <v>281</v>
      </c>
      <c r="F31">
        <v>1.2</v>
      </c>
      <c r="G31">
        <v>2.5955656278350099</v>
      </c>
      <c r="M31">
        <v>281</v>
      </c>
      <c r="N31">
        <v>0</v>
      </c>
      <c r="O31">
        <v>324.00769693987201</v>
      </c>
    </row>
    <row r="32" spans="1:15" x14ac:dyDescent="0.25">
      <c r="A32" s="3">
        <v>281.10000000000002</v>
      </c>
      <c r="B32" s="3">
        <v>0</v>
      </c>
      <c r="C32" s="4">
        <v>324.22816004611002</v>
      </c>
      <c r="D32" s="3">
        <v>297.22391973689997</v>
      </c>
      <c r="E32">
        <v>281.10000000000002</v>
      </c>
      <c r="F32">
        <v>1.2</v>
      </c>
      <c r="G32">
        <v>2.60938980932572</v>
      </c>
      <c r="M32">
        <v>281.10000000000002</v>
      </c>
      <c r="N32">
        <v>0</v>
      </c>
      <c r="O32">
        <v>324.31599751072599</v>
      </c>
    </row>
    <row r="33" spans="1:15" x14ac:dyDescent="0.25">
      <c r="A33" s="3">
        <v>281.2</v>
      </c>
      <c r="B33" s="3">
        <v>0</v>
      </c>
      <c r="C33" s="4">
        <v>324.47310195082002</v>
      </c>
      <c r="D33" s="3">
        <v>297.27907598339999</v>
      </c>
      <c r="E33">
        <v>281.2</v>
      </c>
      <c r="F33">
        <v>1.2</v>
      </c>
      <c r="G33">
        <v>2.6232139908164198</v>
      </c>
      <c r="M33">
        <v>281.2</v>
      </c>
      <c r="N33">
        <v>0</v>
      </c>
      <c r="O33">
        <v>324.62429808157901</v>
      </c>
    </row>
    <row r="34" spans="1:15" x14ac:dyDescent="0.25">
      <c r="A34" s="3">
        <v>281.3</v>
      </c>
      <c r="B34" s="3">
        <v>0</v>
      </c>
      <c r="C34" s="4">
        <v>324.71812075350999</v>
      </c>
      <c r="D34" s="3">
        <v>297.35797094949999</v>
      </c>
      <c r="E34">
        <v>281.3</v>
      </c>
      <c r="F34">
        <v>1.2</v>
      </c>
      <c r="G34">
        <v>2.6370381723071201</v>
      </c>
      <c r="M34">
        <v>281.3</v>
      </c>
      <c r="N34">
        <v>0</v>
      </c>
      <c r="O34">
        <v>324.932598652433</v>
      </c>
    </row>
    <row r="35" spans="1:15" x14ac:dyDescent="0.25">
      <c r="A35" s="3">
        <v>281.39999999999998</v>
      </c>
      <c r="B35" s="3">
        <v>0</v>
      </c>
      <c r="C35" s="4">
        <v>324.96318885304999</v>
      </c>
      <c r="D35" s="3">
        <v>297.40369521619999</v>
      </c>
      <c r="E35">
        <v>281.39999999999998</v>
      </c>
      <c r="F35">
        <v>1.2</v>
      </c>
      <c r="G35">
        <v>2.65086235379782</v>
      </c>
      <c r="M35">
        <v>281.39999999999998</v>
      </c>
      <c r="N35">
        <v>0</v>
      </c>
      <c r="O35">
        <v>325.24089922328602</v>
      </c>
    </row>
    <row r="36" spans="1:15" x14ac:dyDescent="0.25">
      <c r="A36" s="3">
        <v>281.5</v>
      </c>
      <c r="B36" s="3">
        <v>0</v>
      </c>
      <c r="C36" s="4">
        <v>325.20827805836001</v>
      </c>
      <c r="D36" s="3">
        <v>297.46361335979998</v>
      </c>
      <c r="E36">
        <v>281.5</v>
      </c>
      <c r="F36">
        <v>1.2</v>
      </c>
      <c r="G36">
        <v>2.6646865352885198</v>
      </c>
      <c r="M36">
        <v>281.5</v>
      </c>
      <c r="N36">
        <v>0</v>
      </c>
      <c r="O36">
        <v>325.54919979414001</v>
      </c>
    </row>
    <row r="37" spans="1:15" x14ac:dyDescent="0.25">
      <c r="A37" s="3">
        <v>281.60000000000002</v>
      </c>
      <c r="B37" s="3">
        <v>0</v>
      </c>
      <c r="C37" s="4">
        <v>325.45335960334</v>
      </c>
      <c r="D37" s="3">
        <v>297.52352892969998</v>
      </c>
      <c r="E37">
        <v>281.60000000000002</v>
      </c>
      <c r="F37">
        <v>1.2</v>
      </c>
      <c r="G37">
        <v>2.6791049077525502</v>
      </c>
      <c r="M37">
        <v>281.60000000000002</v>
      </c>
      <c r="N37">
        <v>0</v>
      </c>
      <c r="O37">
        <v>325.83754483271201</v>
      </c>
    </row>
    <row r="38" spans="1:15" x14ac:dyDescent="0.25">
      <c r="A38" s="3">
        <v>281.7</v>
      </c>
      <c r="B38" s="3">
        <v>0</v>
      </c>
      <c r="C38" s="4">
        <v>325.69840416455003</v>
      </c>
      <c r="D38" s="3">
        <v>297.58344110069999</v>
      </c>
      <c r="E38">
        <v>281.7</v>
      </c>
      <c r="F38">
        <v>1.2</v>
      </c>
      <c r="G38">
        <v>2.6935232802165698</v>
      </c>
      <c r="M38">
        <v>281.7</v>
      </c>
      <c r="N38">
        <v>0</v>
      </c>
      <c r="O38">
        <v>326.12588987128402</v>
      </c>
    </row>
    <row r="39" spans="1:15" x14ac:dyDescent="0.25">
      <c r="A39" s="3">
        <v>281.8</v>
      </c>
      <c r="B39" s="3">
        <v>0</v>
      </c>
      <c r="C39" s="4">
        <v>325.94338188186998</v>
      </c>
      <c r="D39" s="3">
        <v>297.63870724089998</v>
      </c>
      <c r="E39">
        <v>281.8</v>
      </c>
      <c r="F39">
        <v>1.2</v>
      </c>
      <c r="G39">
        <v>2.7079416526806002</v>
      </c>
      <c r="M39">
        <v>281.8</v>
      </c>
      <c r="N39">
        <v>0</v>
      </c>
      <c r="O39">
        <v>326.41423490985602</v>
      </c>
    </row>
    <row r="40" spans="1:15" x14ac:dyDescent="0.25">
      <c r="A40" s="3">
        <v>281.89999999999998</v>
      </c>
      <c r="B40" s="3">
        <v>0</v>
      </c>
      <c r="C40" s="4">
        <v>326.18826238231998</v>
      </c>
      <c r="D40" s="3">
        <v>297.71711222739998</v>
      </c>
      <c r="E40">
        <v>281.89999999999998</v>
      </c>
      <c r="F40">
        <v>1.2</v>
      </c>
      <c r="G40">
        <v>2.7223600251446198</v>
      </c>
      <c r="M40">
        <v>281.89999999999998</v>
      </c>
      <c r="N40">
        <v>0</v>
      </c>
      <c r="O40">
        <v>326.70257994842899</v>
      </c>
    </row>
    <row r="41" spans="1:15" x14ac:dyDescent="0.25">
      <c r="A41" s="3">
        <v>282</v>
      </c>
      <c r="B41" s="3">
        <v>0</v>
      </c>
      <c r="C41" s="4">
        <v>326.43301480749</v>
      </c>
      <c r="D41" s="3">
        <v>297.76327080879997</v>
      </c>
      <c r="E41">
        <v>282</v>
      </c>
      <c r="F41">
        <v>1.2</v>
      </c>
      <c r="G41">
        <v>2.7367783976086502</v>
      </c>
      <c r="M41">
        <v>282</v>
      </c>
      <c r="N41">
        <v>0</v>
      </c>
      <c r="O41">
        <v>326.99092498700099</v>
      </c>
    </row>
    <row r="42" spans="1:15" x14ac:dyDescent="0.25">
      <c r="A42" s="3">
        <v>282.10000000000002</v>
      </c>
      <c r="B42" s="3">
        <v>0</v>
      </c>
      <c r="C42" s="4">
        <v>326.67760784468999</v>
      </c>
      <c r="D42" s="3">
        <v>297.82317310000002</v>
      </c>
      <c r="E42">
        <v>282.10000000000002</v>
      </c>
      <c r="F42">
        <v>1.2</v>
      </c>
      <c r="G42">
        <v>2.7517775201008701</v>
      </c>
      <c r="M42">
        <v>282.10000000000002</v>
      </c>
      <c r="N42">
        <v>0</v>
      </c>
      <c r="O42">
        <v>327.255591616375</v>
      </c>
    </row>
    <row r="43" spans="1:15" x14ac:dyDescent="0.25">
      <c r="A43" s="3">
        <v>282.2</v>
      </c>
      <c r="B43" s="3">
        <v>0</v>
      </c>
      <c r="C43" s="4">
        <v>326.92200976234</v>
      </c>
      <c r="D43" s="3">
        <v>297.8784778113</v>
      </c>
      <c r="E43">
        <v>282.2</v>
      </c>
      <c r="F43">
        <v>1.2</v>
      </c>
      <c r="G43">
        <v>2.76677664259309</v>
      </c>
      <c r="M43">
        <v>282.2</v>
      </c>
      <c r="N43">
        <v>0</v>
      </c>
      <c r="O43">
        <v>327.52025824574901</v>
      </c>
    </row>
    <row r="44" spans="1:15" x14ac:dyDescent="0.25">
      <c r="A44" s="3">
        <v>282.3</v>
      </c>
      <c r="B44" s="3">
        <v>0</v>
      </c>
      <c r="C44" s="4">
        <v>327.16618844984998</v>
      </c>
      <c r="D44" s="3">
        <v>297.95663146829997</v>
      </c>
      <c r="E44">
        <v>282.3</v>
      </c>
      <c r="F44">
        <v>1.2</v>
      </c>
      <c r="G44">
        <v>2.7817757650853201</v>
      </c>
      <c r="M44">
        <v>282.3</v>
      </c>
      <c r="N44">
        <v>0</v>
      </c>
      <c r="O44">
        <v>327.78492487512301</v>
      </c>
    </row>
    <row r="45" spans="1:15" x14ac:dyDescent="0.25">
      <c r="A45" s="3">
        <v>282.39999999999998</v>
      </c>
      <c r="B45" s="3">
        <v>0</v>
      </c>
      <c r="C45" s="4">
        <v>327.41011146238998</v>
      </c>
      <c r="D45" s="3">
        <v>298.00299940079998</v>
      </c>
      <c r="E45">
        <v>282.39999999999998</v>
      </c>
      <c r="F45">
        <v>1.2</v>
      </c>
      <c r="G45">
        <v>2.79677488757754</v>
      </c>
      <c r="M45">
        <v>282.39999999999998</v>
      </c>
      <c r="N45">
        <v>0</v>
      </c>
      <c r="O45">
        <v>328.04959150449702</v>
      </c>
    </row>
    <row r="46" spans="1:15" x14ac:dyDescent="0.25">
      <c r="A46" s="3">
        <v>282.5</v>
      </c>
      <c r="B46" s="3">
        <v>0</v>
      </c>
      <c r="C46" s="4">
        <v>327.65374607104002</v>
      </c>
      <c r="D46" s="3">
        <v>298.05833300799998</v>
      </c>
      <c r="E46">
        <v>282.5</v>
      </c>
      <c r="F46">
        <v>1.2</v>
      </c>
      <c r="G46">
        <v>2.8117740100697701</v>
      </c>
      <c r="M46">
        <v>282.5</v>
      </c>
      <c r="N46">
        <v>0</v>
      </c>
      <c r="O46">
        <v>328.31425813387102</v>
      </c>
    </row>
    <row r="47" spans="1:15" x14ac:dyDescent="0.25">
      <c r="A47" s="3">
        <v>282.60000000000002</v>
      </c>
      <c r="B47" s="3">
        <v>0</v>
      </c>
      <c r="C47" s="4">
        <v>327.89705931870998</v>
      </c>
      <c r="D47" s="3">
        <v>298.13626361410002</v>
      </c>
      <c r="E47">
        <v>282.60000000000002</v>
      </c>
      <c r="F47">
        <v>1.2</v>
      </c>
      <c r="G47">
        <v>2.82733444751242</v>
      </c>
      <c r="M47">
        <v>282.60000000000002</v>
      </c>
      <c r="N47">
        <v>0</v>
      </c>
      <c r="O47">
        <v>328.551680384603</v>
      </c>
    </row>
    <row r="48" spans="1:15" x14ac:dyDescent="0.25">
      <c r="A48" s="3">
        <v>282.7</v>
      </c>
      <c r="B48" s="3">
        <v>0</v>
      </c>
      <c r="C48" s="4">
        <v>328.14001808244001</v>
      </c>
      <c r="D48" s="3">
        <v>298.18280113380001</v>
      </c>
      <c r="E48">
        <v>282.7</v>
      </c>
      <c r="F48">
        <v>1.2</v>
      </c>
      <c r="G48">
        <v>2.8428948849550699</v>
      </c>
      <c r="M48">
        <v>282.7</v>
      </c>
      <c r="N48">
        <v>0</v>
      </c>
      <c r="O48">
        <v>328.78910263533498</v>
      </c>
    </row>
    <row r="49" spans="1:15" x14ac:dyDescent="0.25">
      <c r="A49" s="3">
        <v>282.8</v>
      </c>
      <c r="B49" s="3">
        <v>0</v>
      </c>
      <c r="C49" s="4">
        <v>328.38258914251998</v>
      </c>
      <c r="D49" s="3">
        <v>298.23808524840001</v>
      </c>
      <c r="E49">
        <v>282.8</v>
      </c>
      <c r="F49">
        <v>1.2</v>
      </c>
      <c r="G49">
        <v>2.8584553223977198</v>
      </c>
      <c r="M49">
        <v>282.8</v>
      </c>
      <c r="N49">
        <v>0</v>
      </c>
      <c r="O49">
        <v>329.02652488606702</v>
      </c>
    </row>
    <row r="50" spans="1:15" x14ac:dyDescent="0.25">
      <c r="A50" s="3">
        <v>282.89999999999998</v>
      </c>
      <c r="B50" s="3">
        <v>0</v>
      </c>
      <c r="C50" s="4">
        <v>328.62473925913997</v>
      </c>
      <c r="D50" s="3">
        <v>298.31605369819999</v>
      </c>
      <c r="E50">
        <v>282.89999999999998</v>
      </c>
      <c r="F50">
        <v>1.2</v>
      </c>
      <c r="G50">
        <v>2.8740157598403702</v>
      </c>
      <c r="M50">
        <v>282.89999999999998</v>
      </c>
      <c r="N50">
        <v>0</v>
      </c>
      <c r="O50">
        <v>329.263947136799</v>
      </c>
    </row>
    <row r="51" spans="1:15" x14ac:dyDescent="0.25">
      <c r="A51" s="3">
        <v>283</v>
      </c>
      <c r="B51" s="3">
        <v>0</v>
      </c>
      <c r="C51" s="4">
        <v>328.86643525711003</v>
      </c>
      <c r="D51" s="3">
        <v>298.35803282310002</v>
      </c>
      <c r="E51">
        <v>283</v>
      </c>
      <c r="F51">
        <v>1.2</v>
      </c>
      <c r="G51">
        <v>2.8895761972830201</v>
      </c>
      <c r="M51">
        <v>283</v>
      </c>
      <c r="N51">
        <v>0</v>
      </c>
      <c r="O51">
        <v>329.50136938753002</v>
      </c>
    </row>
    <row r="52" spans="1:15" x14ac:dyDescent="0.25">
      <c r="A52" s="3">
        <v>283.10000000000002</v>
      </c>
      <c r="B52" s="3">
        <v>0</v>
      </c>
      <c r="C52" s="4">
        <v>329.10764411957001</v>
      </c>
      <c r="D52" s="3">
        <v>298.43576256590001</v>
      </c>
      <c r="E52">
        <v>283.10000000000002</v>
      </c>
      <c r="F52">
        <v>1.2</v>
      </c>
      <c r="G52">
        <v>2.9056735312035702</v>
      </c>
      <c r="M52">
        <v>283.10000000000002</v>
      </c>
      <c r="N52">
        <v>0</v>
      </c>
      <c r="O52">
        <v>329.70827905548202</v>
      </c>
    </row>
    <row r="53" spans="1:15" x14ac:dyDescent="0.25">
      <c r="A53" s="3">
        <v>283.2</v>
      </c>
      <c r="B53" s="3">
        <v>0</v>
      </c>
      <c r="C53" s="4">
        <v>329.34833309131</v>
      </c>
      <c r="D53" s="3">
        <v>298.47792286430001</v>
      </c>
      <c r="E53">
        <v>283.2</v>
      </c>
      <c r="F53">
        <v>1.2</v>
      </c>
      <c r="G53">
        <v>2.9217708651241199</v>
      </c>
      <c r="M53">
        <v>283.2</v>
      </c>
      <c r="N53">
        <v>0</v>
      </c>
      <c r="O53">
        <v>329.915188723433</v>
      </c>
    </row>
    <row r="54" spans="1:15" x14ac:dyDescent="0.25">
      <c r="A54" s="3">
        <v>283.3</v>
      </c>
      <c r="B54" s="3">
        <v>0</v>
      </c>
      <c r="C54" s="4">
        <v>329.58846979262</v>
      </c>
      <c r="D54" s="3">
        <v>298.55118757730003</v>
      </c>
      <c r="E54">
        <v>283.3</v>
      </c>
      <c r="F54">
        <v>1.2</v>
      </c>
      <c r="G54">
        <v>2.93786819904467</v>
      </c>
      <c r="M54">
        <v>283.3</v>
      </c>
      <c r="N54">
        <v>0</v>
      </c>
      <c r="O54">
        <v>330.12209839138399</v>
      </c>
    </row>
    <row r="55" spans="1:15" x14ac:dyDescent="0.25">
      <c r="A55" s="3">
        <v>283.39999999999998</v>
      </c>
      <c r="B55" s="3">
        <v>0</v>
      </c>
      <c r="C55" s="4">
        <v>329.82802234469</v>
      </c>
      <c r="D55" s="3">
        <v>298.6151701192</v>
      </c>
      <c r="E55">
        <v>283.39999999999998</v>
      </c>
      <c r="F55">
        <v>1.2</v>
      </c>
      <c r="G55">
        <v>2.9539655329652201</v>
      </c>
      <c r="M55">
        <v>283.39999999999998</v>
      </c>
      <c r="N55">
        <v>0</v>
      </c>
      <c r="O55">
        <v>330.32900805933502</v>
      </c>
    </row>
    <row r="56" spans="1:15" x14ac:dyDescent="0.25">
      <c r="A56" s="3">
        <v>283.5</v>
      </c>
      <c r="B56" s="3">
        <v>0</v>
      </c>
      <c r="C56" s="4">
        <v>330.06695950762997</v>
      </c>
      <c r="D56" s="3">
        <v>298.65792282130002</v>
      </c>
      <c r="E56">
        <v>283.5</v>
      </c>
      <c r="F56">
        <v>1.2</v>
      </c>
      <c r="G56">
        <v>2.9700628668857698</v>
      </c>
      <c r="M56">
        <v>283.5</v>
      </c>
      <c r="N56">
        <v>0</v>
      </c>
      <c r="O56">
        <v>330.53591772728601</v>
      </c>
    </row>
    <row r="57" spans="1:15" x14ac:dyDescent="0.25">
      <c r="A57" s="3">
        <v>283.60000000000002</v>
      </c>
      <c r="B57" s="3">
        <v>0</v>
      </c>
      <c r="C57" s="4">
        <v>330.30525083216997</v>
      </c>
      <c r="D57" s="3">
        <v>298.73505440870002</v>
      </c>
      <c r="E57">
        <v>283.60000000000002</v>
      </c>
      <c r="F57">
        <v>1.2</v>
      </c>
      <c r="G57">
        <v>2.9867022123256599</v>
      </c>
      <c r="M57">
        <v>283.60000000000002</v>
      </c>
      <c r="N57">
        <v>0</v>
      </c>
      <c r="O57">
        <v>330.70948581043001</v>
      </c>
    </row>
    <row r="58" spans="1:15" x14ac:dyDescent="0.25">
      <c r="A58" s="3">
        <v>283.7</v>
      </c>
      <c r="B58" s="3">
        <v>0</v>
      </c>
      <c r="C58" s="4">
        <v>330.54286682644999</v>
      </c>
      <c r="D58" s="3">
        <v>298.77763184280002</v>
      </c>
      <c r="E58">
        <v>283.7</v>
      </c>
      <c r="F58">
        <v>1.2</v>
      </c>
      <c r="G58">
        <v>3.0033415577655398</v>
      </c>
      <c r="M58">
        <v>283.7</v>
      </c>
      <c r="N58">
        <v>0</v>
      </c>
      <c r="O58">
        <v>330.88305389357498</v>
      </c>
    </row>
    <row r="59" spans="1:15" x14ac:dyDescent="0.25">
      <c r="A59" s="3">
        <v>283.8</v>
      </c>
      <c r="B59" s="3">
        <v>0</v>
      </c>
      <c r="C59" s="4">
        <v>330.77977913938003</v>
      </c>
      <c r="D59" s="3">
        <v>298.85060626580002</v>
      </c>
      <c r="E59">
        <v>283.8</v>
      </c>
      <c r="F59">
        <v>1.2</v>
      </c>
      <c r="G59">
        <v>3.0199809032054299</v>
      </c>
      <c r="M59">
        <v>283.8</v>
      </c>
      <c r="N59">
        <v>0</v>
      </c>
      <c r="O59">
        <v>331.05662197671899</v>
      </c>
    </row>
    <row r="60" spans="1:15" x14ac:dyDescent="0.25">
      <c r="A60" s="3">
        <v>283.89999999999998</v>
      </c>
      <c r="B60" s="3">
        <v>0</v>
      </c>
      <c r="C60" s="4">
        <v>331.01596076196</v>
      </c>
      <c r="D60" s="3">
        <v>298.91042476529998</v>
      </c>
      <c r="E60">
        <v>283.89999999999998</v>
      </c>
      <c r="F60">
        <v>1.2</v>
      </c>
      <c r="G60">
        <v>3.0366202486453102</v>
      </c>
      <c r="M60">
        <v>283.89999999999998</v>
      </c>
      <c r="N60">
        <v>0</v>
      </c>
      <c r="O60">
        <v>331.23019005986299</v>
      </c>
    </row>
    <row r="61" spans="1:15" x14ac:dyDescent="0.25">
      <c r="A61" s="3">
        <v>284</v>
      </c>
      <c r="B61" s="3">
        <v>0</v>
      </c>
      <c r="C61" s="4">
        <v>331.25138624863001</v>
      </c>
      <c r="D61" s="3">
        <v>298.97025995640001</v>
      </c>
      <c r="E61">
        <v>284</v>
      </c>
      <c r="F61">
        <v>1.2</v>
      </c>
      <c r="G61">
        <v>3.0532595940851999</v>
      </c>
      <c r="M61">
        <v>284</v>
      </c>
      <c r="N61">
        <v>0</v>
      </c>
      <c r="O61">
        <v>331.40375814300802</v>
      </c>
    </row>
    <row r="62" spans="1:15" x14ac:dyDescent="0.25">
      <c r="A62" s="3">
        <v>284.10000000000002</v>
      </c>
      <c r="B62" s="3">
        <v>0</v>
      </c>
      <c r="C62" s="4">
        <v>331.48603196042001</v>
      </c>
      <c r="D62" s="3">
        <v>299.03427667480003</v>
      </c>
      <c r="E62">
        <v>284.10000000000002</v>
      </c>
      <c r="F62">
        <v>1.2</v>
      </c>
      <c r="G62">
        <v>3.0704058961976699</v>
      </c>
      <c r="M62">
        <v>284.10000000000002</v>
      </c>
      <c r="N62">
        <v>0</v>
      </c>
      <c r="O62">
        <v>331.54172641533501</v>
      </c>
    </row>
    <row r="63" spans="1:15" x14ac:dyDescent="0.25">
      <c r="A63" s="3">
        <v>284.2</v>
      </c>
      <c r="B63" s="3">
        <v>0</v>
      </c>
      <c r="C63" s="4">
        <v>331.71987633224001</v>
      </c>
      <c r="D63" s="3">
        <v>299.0774202746</v>
      </c>
      <c r="E63">
        <v>284.2</v>
      </c>
      <c r="F63">
        <v>1.2</v>
      </c>
      <c r="G63">
        <v>3.0875521983101302</v>
      </c>
      <c r="M63">
        <v>284.2</v>
      </c>
      <c r="N63">
        <v>0</v>
      </c>
      <c r="O63">
        <v>331.67969468766199</v>
      </c>
    </row>
    <row r="64" spans="1:15" x14ac:dyDescent="0.25">
      <c r="A64" s="3">
        <v>284.3</v>
      </c>
      <c r="B64" s="3">
        <v>0</v>
      </c>
      <c r="C64" s="4">
        <v>331.95290016676</v>
      </c>
      <c r="D64" s="3">
        <v>299.14993480219999</v>
      </c>
      <c r="E64">
        <v>284.3</v>
      </c>
      <c r="F64">
        <v>1.2</v>
      </c>
      <c r="G64">
        <v>3.10469850042259</v>
      </c>
      <c r="M64">
        <v>284.3</v>
      </c>
      <c r="N64">
        <v>0</v>
      </c>
      <c r="O64">
        <v>331.81766295998898</v>
      </c>
    </row>
    <row r="65" spans="1:15" x14ac:dyDescent="0.25">
      <c r="A65" s="3">
        <v>284.39999999999998</v>
      </c>
      <c r="B65" s="3">
        <v>0</v>
      </c>
      <c r="C65" s="4">
        <v>332.18508695769998</v>
      </c>
      <c r="D65" s="3">
        <v>299.20978547290002</v>
      </c>
      <c r="E65">
        <v>284.39999999999998</v>
      </c>
      <c r="F65">
        <v>1.2</v>
      </c>
      <c r="G65">
        <v>3.1218448025350498</v>
      </c>
      <c r="M65">
        <v>284.39999999999998</v>
      </c>
      <c r="N65">
        <v>0</v>
      </c>
      <c r="O65">
        <v>331.95563123231602</v>
      </c>
    </row>
    <row r="66" spans="1:15" x14ac:dyDescent="0.25">
      <c r="A66" s="3">
        <v>284.5</v>
      </c>
      <c r="B66" s="3">
        <v>0</v>
      </c>
      <c r="C66" s="4">
        <v>332.41642324576998</v>
      </c>
      <c r="D66" s="3">
        <v>299.26963904590002</v>
      </c>
      <c r="E66">
        <v>284.5</v>
      </c>
      <c r="F66">
        <v>1.2</v>
      </c>
      <c r="G66">
        <v>3.1389911046475198</v>
      </c>
      <c r="M66">
        <v>284.5</v>
      </c>
      <c r="N66">
        <v>0</v>
      </c>
      <c r="O66">
        <v>332.09359950464301</v>
      </c>
    </row>
    <row r="67" spans="1:15" x14ac:dyDescent="0.25">
      <c r="A67" s="3">
        <v>284.60000000000002</v>
      </c>
      <c r="B67" s="3">
        <v>0</v>
      </c>
      <c r="C67" s="4">
        <v>332.64689901072001</v>
      </c>
      <c r="D67" s="3">
        <v>299.3294925559</v>
      </c>
      <c r="E67">
        <v>284.60000000000002</v>
      </c>
      <c r="F67">
        <v>1.2</v>
      </c>
      <c r="G67">
        <v>3.1565628340709901</v>
      </c>
      <c r="M67">
        <v>284.60000000000002</v>
      </c>
      <c r="N67">
        <v>0</v>
      </c>
      <c r="O67">
        <v>332.14967587042901</v>
      </c>
    </row>
    <row r="68" spans="1:15" x14ac:dyDescent="0.25">
      <c r="A68" s="3">
        <v>284.7</v>
      </c>
      <c r="B68" s="3">
        <v>0</v>
      </c>
      <c r="C68" s="4">
        <v>332.87650810366</v>
      </c>
      <c r="D68" s="3">
        <v>299.38934298829997</v>
      </c>
      <c r="E68">
        <v>284.7</v>
      </c>
      <c r="F68">
        <v>1.2</v>
      </c>
      <c r="G68">
        <v>3.1741345634944498</v>
      </c>
      <c r="M68">
        <v>284.7</v>
      </c>
      <c r="N68">
        <v>0</v>
      </c>
      <c r="O68">
        <v>332.20575223621501</v>
      </c>
    </row>
    <row r="69" spans="1:15" x14ac:dyDescent="0.25">
      <c r="A69" s="3">
        <v>284.8</v>
      </c>
      <c r="B69" s="3">
        <v>0</v>
      </c>
      <c r="C69" s="4">
        <v>333.10524872427999</v>
      </c>
      <c r="D69" s="3">
        <v>299.44511190750001</v>
      </c>
      <c r="E69">
        <v>284.8</v>
      </c>
      <c r="F69">
        <v>1.2</v>
      </c>
      <c r="G69">
        <v>3.1917062929179201</v>
      </c>
      <c r="M69">
        <v>284.8</v>
      </c>
      <c r="N69">
        <v>0</v>
      </c>
      <c r="O69">
        <v>332.261828602001</v>
      </c>
    </row>
    <row r="70" spans="1:15" x14ac:dyDescent="0.25">
      <c r="A70" s="3">
        <v>284.89999999999998</v>
      </c>
      <c r="B70" s="3">
        <v>0</v>
      </c>
      <c r="C70" s="4">
        <v>333.33312394822002</v>
      </c>
      <c r="D70" s="3">
        <v>299.52122080319998</v>
      </c>
      <c r="E70">
        <v>284.89999999999998</v>
      </c>
      <c r="F70">
        <v>1.2</v>
      </c>
      <c r="G70">
        <v>3.2092780223413899</v>
      </c>
      <c r="M70">
        <v>284.89999999999998</v>
      </c>
      <c r="N70">
        <v>0</v>
      </c>
      <c r="O70">
        <v>332.317904967787</v>
      </c>
    </row>
    <row r="71" spans="1:15" x14ac:dyDescent="0.25">
      <c r="A71" s="3">
        <v>285</v>
      </c>
      <c r="B71" s="3">
        <v>0</v>
      </c>
      <c r="C71" s="4">
        <v>333.56014231061999</v>
      </c>
      <c r="D71" s="3">
        <v>299.56888833279999</v>
      </c>
      <c r="E71">
        <v>285</v>
      </c>
      <c r="F71">
        <v>1.2</v>
      </c>
      <c r="G71">
        <v>3.2268497517648602</v>
      </c>
      <c r="M71">
        <v>285</v>
      </c>
      <c r="N71">
        <v>0</v>
      </c>
      <c r="O71">
        <v>332.373981333573</v>
      </c>
    </row>
    <row r="72" spans="1:15" x14ac:dyDescent="0.25">
      <c r="A72" s="3">
        <v>285.10000000000002</v>
      </c>
      <c r="B72" s="3">
        <v>0</v>
      </c>
      <c r="C72" s="4">
        <v>333.78631845297002</v>
      </c>
      <c r="D72" s="3">
        <v>299.62474377849998</v>
      </c>
      <c r="E72">
        <v>285.10000000000002</v>
      </c>
      <c r="F72">
        <v>1.2</v>
      </c>
      <c r="G72">
        <v>3.2445105422128901</v>
      </c>
      <c r="M72">
        <v>285.10000000000002</v>
      </c>
      <c r="N72">
        <v>0</v>
      </c>
      <c r="O72">
        <v>332.08127643034402</v>
      </c>
    </row>
    <row r="73" spans="1:15" x14ac:dyDescent="0.25">
      <c r="A73" s="3">
        <v>285.2</v>
      </c>
      <c r="B73" s="3">
        <v>0</v>
      </c>
      <c r="C73" s="4">
        <v>334.01167384105997</v>
      </c>
      <c r="D73" s="3">
        <v>299.70037281470002</v>
      </c>
      <c r="E73">
        <v>285.2</v>
      </c>
      <c r="F73">
        <v>1.2</v>
      </c>
      <c r="G73">
        <v>3.2621713326609201</v>
      </c>
      <c r="M73">
        <v>285.2</v>
      </c>
      <c r="N73">
        <v>0</v>
      </c>
      <c r="O73">
        <v>331.78857152711601</v>
      </c>
    </row>
    <row r="74" spans="1:15" x14ac:dyDescent="0.25">
      <c r="A74" s="3">
        <v>285.3</v>
      </c>
      <c r="B74" s="3">
        <v>0</v>
      </c>
      <c r="C74" s="4">
        <v>334.23623756356</v>
      </c>
      <c r="D74" s="3">
        <v>299.74840867500001</v>
      </c>
      <c r="E74">
        <v>285.3</v>
      </c>
      <c r="F74">
        <v>1.2</v>
      </c>
      <c r="G74">
        <v>3.27983212310895</v>
      </c>
      <c r="M74">
        <v>285.3</v>
      </c>
      <c r="N74">
        <v>0</v>
      </c>
      <c r="O74">
        <v>331.49586662388799</v>
      </c>
    </row>
    <row r="75" spans="1:15" x14ac:dyDescent="0.25">
      <c r="A75" s="3">
        <v>285.39999999999998</v>
      </c>
      <c r="B75" s="3">
        <v>0</v>
      </c>
      <c r="C75" s="4">
        <v>334.46004722198001</v>
      </c>
      <c r="D75" s="3">
        <v>299.80421297160001</v>
      </c>
      <c r="E75">
        <v>285.39999999999998</v>
      </c>
      <c r="F75">
        <v>1.2</v>
      </c>
      <c r="G75">
        <v>3.2974929135569799</v>
      </c>
      <c r="M75">
        <v>285.39999999999998</v>
      </c>
      <c r="N75">
        <v>0</v>
      </c>
      <c r="O75">
        <v>331.20316172065998</v>
      </c>
    </row>
    <row r="76" spans="1:15" x14ac:dyDescent="0.25">
      <c r="A76" s="3">
        <v>285.5</v>
      </c>
      <c r="B76" s="3">
        <v>0</v>
      </c>
      <c r="C76" s="4">
        <v>334.68314992462001</v>
      </c>
      <c r="D76" s="3">
        <v>299.87974511480002</v>
      </c>
      <c r="E76">
        <v>285.5</v>
      </c>
      <c r="F76">
        <v>1.2</v>
      </c>
      <c r="G76">
        <v>3.3151537040050099</v>
      </c>
      <c r="M76">
        <v>285.5</v>
      </c>
      <c r="N76">
        <v>0</v>
      </c>
      <c r="O76">
        <v>330.910456817431</v>
      </c>
    </row>
    <row r="77" spans="1:15" x14ac:dyDescent="0.25">
      <c r="A77" s="3">
        <v>285.60000000000002</v>
      </c>
      <c r="B77" s="3">
        <v>0</v>
      </c>
      <c r="C77" s="4">
        <v>334.90560339946001</v>
      </c>
      <c r="D77" s="3">
        <v>299.92383798219998</v>
      </c>
      <c r="E77">
        <v>285.60000000000002</v>
      </c>
      <c r="F77">
        <v>1.2</v>
      </c>
      <c r="G77">
        <v>3.3320125948967299</v>
      </c>
      <c r="M77">
        <v>285.60000000000002</v>
      </c>
      <c r="N77">
        <v>0</v>
      </c>
      <c r="O77">
        <v>329.91080997346</v>
      </c>
    </row>
    <row r="78" spans="1:15" x14ac:dyDescent="0.25">
      <c r="A78" s="3">
        <v>285.7</v>
      </c>
      <c r="B78" s="3">
        <v>0</v>
      </c>
      <c r="C78" s="4">
        <v>335.12747724341</v>
      </c>
      <c r="D78" s="3">
        <v>299.99537480980001</v>
      </c>
      <c r="E78">
        <v>285.7</v>
      </c>
      <c r="F78">
        <v>1.2</v>
      </c>
      <c r="G78">
        <v>3.3488714857884498</v>
      </c>
      <c r="M78">
        <v>285.7</v>
      </c>
      <c r="N78">
        <v>0</v>
      </c>
      <c r="O78">
        <v>328.91116312948998</v>
      </c>
    </row>
    <row r="79" spans="1:15" x14ac:dyDescent="0.25">
      <c r="A79" s="3">
        <v>285.8</v>
      </c>
      <c r="B79" s="3">
        <v>0</v>
      </c>
      <c r="C79" s="4">
        <v>335.34885432875001</v>
      </c>
      <c r="D79" s="3">
        <v>300.05503039860002</v>
      </c>
      <c r="E79">
        <v>285.8</v>
      </c>
      <c r="F79">
        <v>1.2</v>
      </c>
      <c r="G79">
        <v>3.3657303766801698</v>
      </c>
      <c r="M79">
        <v>285.8</v>
      </c>
      <c r="N79">
        <v>0</v>
      </c>
      <c r="O79">
        <v>327.91151628551899</v>
      </c>
    </row>
    <row r="80" spans="1:15" x14ac:dyDescent="0.25">
      <c r="A80" s="3">
        <v>285.89999999999998</v>
      </c>
      <c r="B80" s="3">
        <v>0</v>
      </c>
      <c r="C80" s="4">
        <v>335.56983239134001</v>
      </c>
      <c r="D80" s="3">
        <v>300.11846676189998</v>
      </c>
      <c r="E80">
        <v>285.89999999999998</v>
      </c>
      <c r="F80">
        <v>1.2</v>
      </c>
      <c r="G80">
        <v>3.3825892675718801</v>
      </c>
      <c r="M80">
        <v>285.89999999999998</v>
      </c>
      <c r="N80">
        <v>0</v>
      </c>
      <c r="O80">
        <v>326.91186944154799</v>
      </c>
    </row>
    <row r="81" spans="1:15" x14ac:dyDescent="0.25">
      <c r="A81" s="3">
        <v>286</v>
      </c>
      <c r="B81" s="3">
        <v>0</v>
      </c>
      <c r="C81" s="4">
        <v>335.79052583031</v>
      </c>
      <c r="D81" s="3">
        <v>300.16308404440002</v>
      </c>
      <c r="E81">
        <v>286</v>
      </c>
      <c r="F81">
        <v>1.2</v>
      </c>
      <c r="G81">
        <v>3.3994481584636</v>
      </c>
      <c r="M81">
        <v>286</v>
      </c>
      <c r="N81">
        <v>0</v>
      </c>
      <c r="O81">
        <v>325.912222597577</v>
      </c>
    </row>
    <row r="82" spans="1:15" x14ac:dyDescent="0.25">
      <c r="A82" s="3">
        <v>286.10000000000002</v>
      </c>
      <c r="B82" s="3">
        <v>0</v>
      </c>
      <c r="C82" s="4">
        <v>336.01106775466002</v>
      </c>
      <c r="D82" s="3">
        <v>300.23418561990002</v>
      </c>
      <c r="E82">
        <v>286.10000000000002</v>
      </c>
      <c r="F82">
        <v>1.2</v>
      </c>
      <c r="G82">
        <v>3.4142776451795598</v>
      </c>
      <c r="M82">
        <v>286.10000000000002</v>
      </c>
      <c r="N82">
        <v>0</v>
      </c>
      <c r="O82">
        <v>324.19552706309099</v>
      </c>
    </row>
    <row r="83" spans="1:15" x14ac:dyDescent="0.25">
      <c r="A83" s="3">
        <v>286.2</v>
      </c>
      <c r="B83" s="3">
        <v>0</v>
      </c>
      <c r="C83" s="4">
        <v>336.23161231991003</v>
      </c>
      <c r="D83" s="3">
        <v>300.29385540369998</v>
      </c>
      <c r="E83">
        <v>286.2</v>
      </c>
      <c r="F83">
        <v>1.2</v>
      </c>
      <c r="G83">
        <v>3.42910713189552</v>
      </c>
      <c r="M83">
        <v>286.2</v>
      </c>
      <c r="N83">
        <v>0</v>
      </c>
      <c r="O83">
        <v>322.47883152860697</v>
      </c>
    </row>
    <row r="84" spans="1:15" x14ac:dyDescent="0.25">
      <c r="A84" s="3">
        <v>286.3</v>
      </c>
      <c r="B84" s="3">
        <v>0</v>
      </c>
      <c r="C84" s="4">
        <v>336.45233740740002</v>
      </c>
      <c r="D84" s="3">
        <v>300.3498248985</v>
      </c>
      <c r="E84">
        <v>286.3</v>
      </c>
      <c r="F84">
        <v>1.2</v>
      </c>
      <c r="G84">
        <v>3.4439366186114899</v>
      </c>
      <c r="M84">
        <v>286.3</v>
      </c>
      <c r="N84">
        <v>0</v>
      </c>
      <c r="O84">
        <v>320.76213599412102</v>
      </c>
    </row>
    <row r="85" spans="1:15" x14ac:dyDescent="0.25">
      <c r="A85" s="3">
        <v>286.39999999999998</v>
      </c>
      <c r="B85" s="3">
        <v>0</v>
      </c>
      <c r="C85" s="4">
        <v>336.67344771054002</v>
      </c>
      <c r="D85" s="3">
        <v>300.4242316799</v>
      </c>
      <c r="E85">
        <v>286.39999999999998</v>
      </c>
      <c r="F85">
        <v>1.2</v>
      </c>
      <c r="G85">
        <v>3.4587661053274399</v>
      </c>
      <c r="M85">
        <v>286.39999999999998</v>
      </c>
      <c r="N85">
        <v>0</v>
      </c>
      <c r="O85">
        <v>319.04544045963598</v>
      </c>
    </row>
    <row r="86" spans="1:15" x14ac:dyDescent="0.25">
      <c r="A86" s="3">
        <v>286.5</v>
      </c>
      <c r="B86" s="3">
        <v>0</v>
      </c>
      <c r="C86" s="4">
        <v>336.89517830760002</v>
      </c>
      <c r="D86" s="3">
        <v>300.47281707299999</v>
      </c>
      <c r="E86">
        <v>286.5</v>
      </c>
      <c r="F86">
        <v>1.2</v>
      </c>
      <c r="G86">
        <v>3.4735955920434098</v>
      </c>
      <c r="M86">
        <v>286.5</v>
      </c>
      <c r="N86">
        <v>0</v>
      </c>
      <c r="O86">
        <v>317.32874492514998</v>
      </c>
    </row>
    <row r="87" spans="1:15" x14ac:dyDescent="0.25">
      <c r="A87" s="3">
        <v>286.60000000000002</v>
      </c>
      <c r="B87" s="3">
        <v>0</v>
      </c>
      <c r="C87" s="4">
        <v>337.11779882032999</v>
      </c>
      <c r="D87" s="3">
        <v>300.52881101290001</v>
      </c>
      <c r="E87">
        <v>286.60000000000002</v>
      </c>
      <c r="F87">
        <v>1.2</v>
      </c>
      <c r="G87">
        <v>3.4854381293780601</v>
      </c>
      <c r="M87">
        <v>286.60000000000002</v>
      </c>
      <c r="N87">
        <v>0</v>
      </c>
      <c r="O87">
        <v>315.18640830602402</v>
      </c>
    </row>
    <row r="88" spans="1:15" x14ac:dyDescent="0.25">
      <c r="A88" s="3">
        <v>286.7</v>
      </c>
      <c r="B88" s="3">
        <v>0</v>
      </c>
      <c r="C88" s="4">
        <v>337.34161828254997</v>
      </c>
      <c r="D88" s="3">
        <v>300.60285458139998</v>
      </c>
      <c r="E88">
        <v>286.7</v>
      </c>
      <c r="F88">
        <v>1.2</v>
      </c>
      <c r="G88">
        <v>3.4972806667127001</v>
      </c>
      <c r="M88">
        <v>286.7</v>
      </c>
      <c r="N88">
        <v>0</v>
      </c>
      <c r="O88">
        <v>313.04407168689897</v>
      </c>
    </row>
    <row r="89" spans="1:15" x14ac:dyDescent="0.25">
      <c r="A89" s="3">
        <v>286.8</v>
      </c>
      <c r="B89" s="3">
        <v>0</v>
      </c>
      <c r="C89" s="4">
        <v>337.56699087646001</v>
      </c>
      <c r="D89" s="3">
        <v>300.64805484430002</v>
      </c>
      <c r="E89">
        <v>286.8</v>
      </c>
      <c r="F89">
        <v>1.2</v>
      </c>
      <c r="G89">
        <v>3.5091232040473401</v>
      </c>
      <c r="M89">
        <v>286.8</v>
      </c>
      <c r="N89">
        <v>0</v>
      </c>
      <c r="O89">
        <v>310.90173506777302</v>
      </c>
    </row>
    <row r="90" spans="1:15" x14ac:dyDescent="0.25">
      <c r="A90" s="3">
        <v>286.89999999999998</v>
      </c>
      <c r="B90" s="3">
        <v>0</v>
      </c>
      <c r="C90" s="4">
        <v>337.79432273778002</v>
      </c>
      <c r="D90" s="3">
        <v>300.7183635408</v>
      </c>
      <c r="E90">
        <v>286.89999999999998</v>
      </c>
      <c r="F90">
        <v>1.2</v>
      </c>
      <c r="G90">
        <v>3.5209657413819802</v>
      </c>
      <c r="M90">
        <v>286.89999999999998</v>
      </c>
      <c r="N90">
        <v>0</v>
      </c>
      <c r="O90">
        <v>308.75939844864803</v>
      </c>
    </row>
    <row r="91" spans="1:15" x14ac:dyDescent="0.25">
      <c r="A91" s="3">
        <v>287</v>
      </c>
      <c r="B91" s="3">
        <v>0</v>
      </c>
      <c r="C91" s="4">
        <v>338.02408008988999</v>
      </c>
      <c r="D91" s="3">
        <v>300.7778083389</v>
      </c>
      <c r="E91">
        <v>287</v>
      </c>
      <c r="F91">
        <v>1.2</v>
      </c>
      <c r="G91">
        <v>3.5328082787166299</v>
      </c>
      <c r="M91">
        <v>287</v>
      </c>
      <c r="N91">
        <v>0</v>
      </c>
      <c r="O91">
        <v>306.61706182952202</v>
      </c>
    </row>
    <row r="92" spans="1:15" x14ac:dyDescent="0.25">
      <c r="A92" s="3">
        <v>287.10000000000002</v>
      </c>
      <c r="B92" s="3">
        <v>0</v>
      </c>
      <c r="C92" s="4">
        <v>338.25679904615998</v>
      </c>
      <c r="D92" s="3">
        <v>300.83726446610001</v>
      </c>
      <c r="E92">
        <v>287.10000000000002</v>
      </c>
      <c r="F92">
        <v>1.2</v>
      </c>
      <c r="G92">
        <v>3.541161913517</v>
      </c>
      <c r="M92">
        <v>287.10000000000002</v>
      </c>
      <c r="N92">
        <v>0</v>
      </c>
      <c r="O92">
        <v>304.34658864266601</v>
      </c>
    </row>
    <row r="93" spans="1:15" x14ac:dyDescent="0.25">
      <c r="A93" s="3">
        <v>287.2</v>
      </c>
      <c r="B93" s="3">
        <v>0</v>
      </c>
      <c r="C93" s="4">
        <v>338.49309752891998</v>
      </c>
      <c r="D93" s="3">
        <v>300.8967180354</v>
      </c>
      <c r="E93">
        <v>287.2</v>
      </c>
      <c r="F93">
        <v>1.2</v>
      </c>
      <c r="G93">
        <v>3.5495155483173702</v>
      </c>
      <c r="M93">
        <v>287.2</v>
      </c>
      <c r="N93">
        <v>0</v>
      </c>
      <c r="O93">
        <v>302.07611545581301</v>
      </c>
    </row>
    <row r="94" spans="1:15" x14ac:dyDescent="0.25">
      <c r="A94" s="3">
        <v>287.3</v>
      </c>
      <c r="B94" s="3">
        <v>0</v>
      </c>
      <c r="C94" s="4">
        <v>338.73368990521999</v>
      </c>
      <c r="D94" s="3">
        <v>300.95615504239998</v>
      </c>
      <c r="E94">
        <v>287.3</v>
      </c>
      <c r="F94">
        <v>1.2</v>
      </c>
      <c r="G94">
        <v>3.5578691831177398</v>
      </c>
      <c r="M94">
        <v>287.3</v>
      </c>
      <c r="N94">
        <v>0</v>
      </c>
      <c r="O94">
        <v>299.80564226895802</v>
      </c>
    </row>
    <row r="95" spans="1:15" x14ac:dyDescent="0.25">
      <c r="A95" s="3">
        <v>287.39999999999998</v>
      </c>
      <c r="B95" s="3">
        <v>0</v>
      </c>
      <c r="C95" s="4">
        <v>338.97940515447999</v>
      </c>
      <c r="D95" s="3">
        <v>301.01216874990001</v>
      </c>
      <c r="E95">
        <v>287.39999999999998</v>
      </c>
      <c r="F95">
        <v>1.2</v>
      </c>
      <c r="G95">
        <v>3.5662228179181001</v>
      </c>
      <c r="M95">
        <v>287.39999999999998</v>
      </c>
      <c r="N95">
        <v>0</v>
      </c>
      <c r="O95">
        <v>297.53516908210401</v>
      </c>
    </row>
    <row r="96" spans="1:15" x14ac:dyDescent="0.25">
      <c r="A96" s="3">
        <v>287.5</v>
      </c>
      <c r="B96" s="3">
        <v>0</v>
      </c>
      <c r="C96" s="4">
        <v>339.23120969247998</v>
      </c>
      <c r="D96" s="3">
        <v>301.0850512934</v>
      </c>
      <c r="E96">
        <v>287.5</v>
      </c>
      <c r="F96">
        <v>1.2</v>
      </c>
      <c r="G96">
        <v>3.5745764527184698</v>
      </c>
      <c r="M96">
        <v>287.5</v>
      </c>
      <c r="N96">
        <v>0</v>
      </c>
      <c r="O96">
        <v>295.26469589524902</v>
      </c>
    </row>
    <row r="97" spans="1:15" x14ac:dyDescent="0.25">
      <c r="A97" s="3">
        <v>287.60000000000002</v>
      </c>
      <c r="B97" s="3">
        <v>0</v>
      </c>
      <c r="C97" s="4">
        <v>339.49023643085002</v>
      </c>
      <c r="D97" s="3">
        <v>301.13091366079999</v>
      </c>
      <c r="E97">
        <v>287.60000000000002</v>
      </c>
      <c r="F97">
        <v>1.2</v>
      </c>
      <c r="G97">
        <v>3.57937427138538</v>
      </c>
      <c r="M97">
        <v>287.60000000000002</v>
      </c>
      <c r="N97">
        <v>0</v>
      </c>
      <c r="O97">
        <v>293.079889343849</v>
      </c>
    </row>
    <row r="98" spans="1:15" x14ac:dyDescent="0.25">
      <c r="A98" s="3">
        <v>287.7</v>
      </c>
      <c r="B98" s="3">
        <v>0</v>
      </c>
      <c r="C98" s="4">
        <v>339.75782233350998</v>
      </c>
      <c r="D98" s="3">
        <v>301.20025530100003</v>
      </c>
      <c r="E98">
        <v>287.7</v>
      </c>
      <c r="F98">
        <v>1.2</v>
      </c>
      <c r="G98">
        <v>3.5841720900522902</v>
      </c>
      <c r="M98">
        <v>287.7</v>
      </c>
      <c r="N98">
        <v>0</v>
      </c>
      <c r="O98">
        <v>290.89508279245098</v>
      </c>
    </row>
    <row r="99" spans="1:15" x14ac:dyDescent="0.25">
      <c r="A99" s="3">
        <v>287.8</v>
      </c>
      <c r="B99" s="3">
        <v>0</v>
      </c>
      <c r="C99" s="4">
        <v>340.03555778116998</v>
      </c>
      <c r="D99" s="3">
        <v>301.25943246870003</v>
      </c>
      <c r="E99">
        <v>287.8</v>
      </c>
      <c r="F99">
        <v>1.2</v>
      </c>
      <c r="G99">
        <v>3.5889699087192</v>
      </c>
      <c r="M99">
        <v>287.8</v>
      </c>
      <c r="N99">
        <v>0</v>
      </c>
      <c r="O99">
        <v>288.71027624105102</v>
      </c>
    </row>
    <row r="100" spans="1:15" x14ac:dyDescent="0.25">
      <c r="A100" s="3">
        <v>287.89999999999998</v>
      </c>
      <c r="B100" s="3">
        <v>0</v>
      </c>
      <c r="C100" s="4">
        <v>340.32535271491997</v>
      </c>
      <c r="D100" s="3">
        <v>301.31859862060003</v>
      </c>
      <c r="E100">
        <v>287.89999999999998</v>
      </c>
      <c r="F100">
        <v>1.2</v>
      </c>
      <c r="G100">
        <v>3.5937677273861</v>
      </c>
      <c r="M100">
        <v>287.89999999999998</v>
      </c>
      <c r="N100">
        <v>0</v>
      </c>
      <c r="O100">
        <v>286.52546968965299</v>
      </c>
    </row>
    <row r="101" spans="1:15" x14ac:dyDescent="0.25">
      <c r="A101" s="3">
        <v>288</v>
      </c>
      <c r="B101" s="3">
        <v>0</v>
      </c>
      <c r="C101" s="4">
        <v>340.62952723900997</v>
      </c>
      <c r="D101" s="3">
        <v>301.37449168109998</v>
      </c>
      <c r="E101">
        <v>288</v>
      </c>
      <c r="F101">
        <v>1.2</v>
      </c>
      <c r="G101">
        <v>3.5985655460530102</v>
      </c>
      <c r="M101">
        <v>288</v>
      </c>
      <c r="N101">
        <v>0</v>
      </c>
      <c r="O101">
        <v>284.34066313825298</v>
      </c>
    </row>
    <row r="102" spans="1:15" x14ac:dyDescent="0.25">
      <c r="A102" s="3">
        <v>288.10000000000002</v>
      </c>
      <c r="B102" s="3">
        <v>0</v>
      </c>
      <c r="C102" s="4">
        <v>340.95093894730002</v>
      </c>
      <c r="D102" s="3">
        <v>301.44329536409998</v>
      </c>
      <c r="E102">
        <v>288.10000000000002</v>
      </c>
      <c r="F102">
        <v>1.2</v>
      </c>
      <c r="G102">
        <v>3.6000592890540801</v>
      </c>
      <c r="M102">
        <v>288.10000000000002</v>
      </c>
      <c r="N102">
        <v>0</v>
      </c>
      <c r="O102">
        <v>282.359292325507</v>
      </c>
    </row>
    <row r="103" spans="1:15" x14ac:dyDescent="0.25">
      <c r="A103" s="3">
        <v>288.2</v>
      </c>
      <c r="B103" s="3">
        <v>0</v>
      </c>
      <c r="C103" s="4">
        <v>341.29316733271003</v>
      </c>
      <c r="D103" s="3">
        <v>301.50532374310001</v>
      </c>
      <c r="E103">
        <v>288.2</v>
      </c>
      <c r="F103">
        <v>1.2</v>
      </c>
      <c r="G103">
        <v>3.6015530320551501</v>
      </c>
      <c r="M103">
        <v>288.2</v>
      </c>
      <c r="N103">
        <v>0</v>
      </c>
      <c r="O103">
        <v>280.37792151276301</v>
      </c>
    </row>
    <row r="104" spans="1:15" x14ac:dyDescent="0.25">
      <c r="A104" s="3">
        <v>288.3</v>
      </c>
      <c r="B104" s="3">
        <v>0</v>
      </c>
      <c r="C104" s="4">
        <v>341.66079066229997</v>
      </c>
      <c r="D104" s="3">
        <v>301.54851867280001</v>
      </c>
      <c r="E104">
        <v>288.3</v>
      </c>
      <c r="F104">
        <v>1.2</v>
      </c>
      <c r="G104">
        <v>3.6030467750562298</v>
      </c>
      <c r="M104">
        <v>288.3</v>
      </c>
      <c r="N104">
        <v>0</v>
      </c>
      <c r="O104">
        <v>278.39655070001697</v>
      </c>
    </row>
    <row r="105" spans="1:15" x14ac:dyDescent="0.25">
      <c r="A105" s="3">
        <v>288.39999999999998</v>
      </c>
      <c r="B105" s="3">
        <v>0</v>
      </c>
      <c r="C105" s="4">
        <v>342.05982031571</v>
      </c>
      <c r="D105" s="3">
        <v>301.62938897150002</v>
      </c>
      <c r="E105">
        <v>288.39999999999998</v>
      </c>
      <c r="F105">
        <v>1.2</v>
      </c>
      <c r="G105">
        <v>3.6045405180572998</v>
      </c>
      <c r="M105">
        <v>288.39999999999998</v>
      </c>
      <c r="N105">
        <v>0</v>
      </c>
      <c r="O105">
        <v>276.41517988727298</v>
      </c>
    </row>
    <row r="106" spans="1:15" x14ac:dyDescent="0.25">
      <c r="A106" s="3">
        <v>288.5</v>
      </c>
      <c r="B106" s="3">
        <v>0</v>
      </c>
      <c r="C106" s="4">
        <v>342.49842043328999</v>
      </c>
      <c r="D106" s="3">
        <v>301.67571278000003</v>
      </c>
      <c r="E106">
        <v>288.5</v>
      </c>
      <c r="F106">
        <v>1.2</v>
      </c>
      <c r="G106">
        <v>3.6060342610583702</v>
      </c>
      <c r="M106">
        <v>288.5</v>
      </c>
      <c r="N106">
        <v>0</v>
      </c>
      <c r="O106">
        <v>274.43380907452701</v>
      </c>
    </row>
    <row r="107" spans="1:15" x14ac:dyDescent="0.25">
      <c r="A107" s="3">
        <v>288.60000000000002</v>
      </c>
      <c r="B107" s="3">
        <v>0</v>
      </c>
      <c r="C107" s="4">
        <v>342.98818714283999</v>
      </c>
      <c r="D107" s="3">
        <v>301.74365325190001</v>
      </c>
      <c r="E107">
        <v>288.60000000000002</v>
      </c>
      <c r="F107">
        <v>1.2</v>
      </c>
      <c r="G107">
        <v>3.60461968344879</v>
      </c>
      <c r="M107">
        <v>288.60000000000002</v>
      </c>
      <c r="N107">
        <v>0</v>
      </c>
      <c r="O107">
        <v>272.69973292902102</v>
      </c>
    </row>
    <row r="108" spans="1:15" x14ac:dyDescent="0.25">
      <c r="A108" s="3">
        <v>288.7</v>
      </c>
      <c r="B108" s="3">
        <v>0</v>
      </c>
      <c r="C108" s="4">
        <v>343.54664714909001</v>
      </c>
      <c r="D108" s="3">
        <v>301.802222411</v>
      </c>
      <c r="E108">
        <v>288.7</v>
      </c>
      <c r="F108">
        <v>1.2</v>
      </c>
      <c r="G108">
        <v>3.6032051058392098</v>
      </c>
      <c r="M108">
        <v>288.7</v>
      </c>
      <c r="N108">
        <v>0</v>
      </c>
      <c r="O108">
        <v>270.96565678351499</v>
      </c>
    </row>
    <row r="109" spans="1:15" x14ac:dyDescent="0.25">
      <c r="A109" s="3">
        <v>288.8</v>
      </c>
      <c r="B109" s="3">
        <v>0</v>
      </c>
      <c r="C109" s="4">
        <v>344.20283809492003</v>
      </c>
      <c r="D109" s="3">
        <v>301.85778163949999</v>
      </c>
      <c r="E109">
        <v>288.8</v>
      </c>
      <c r="F109">
        <v>1.2</v>
      </c>
      <c r="G109">
        <v>3.6017905282296301</v>
      </c>
      <c r="M109">
        <v>288.8</v>
      </c>
      <c r="N109">
        <v>0</v>
      </c>
      <c r="O109">
        <v>269.23158063800901</v>
      </c>
    </row>
    <row r="110" spans="1:15" x14ac:dyDescent="0.25">
      <c r="A110" s="3">
        <v>288.89999999999998</v>
      </c>
      <c r="B110" s="3">
        <v>0</v>
      </c>
      <c r="C110" s="4">
        <v>345.01268718388002</v>
      </c>
      <c r="D110" s="3">
        <v>301.92513236650001</v>
      </c>
      <c r="E110">
        <v>288.89999999999998</v>
      </c>
      <c r="F110">
        <v>1.2</v>
      </c>
      <c r="G110">
        <v>3.6003759506200499</v>
      </c>
      <c r="M110">
        <v>288.89999999999998</v>
      </c>
      <c r="N110">
        <v>0</v>
      </c>
      <c r="O110">
        <v>267.49750449250399</v>
      </c>
    </row>
    <row r="111" spans="1:15" x14ac:dyDescent="0.25">
      <c r="A111" s="3">
        <v>289</v>
      </c>
      <c r="B111" s="3">
        <v>0</v>
      </c>
      <c r="C111" s="4">
        <v>346.12239777876999</v>
      </c>
      <c r="D111" s="3">
        <v>301.98337198619998</v>
      </c>
      <c r="E111">
        <v>289</v>
      </c>
      <c r="F111">
        <v>1.2</v>
      </c>
      <c r="G111">
        <v>3.5989613730104701</v>
      </c>
      <c r="M111">
        <v>289</v>
      </c>
      <c r="N111">
        <v>0</v>
      </c>
      <c r="O111">
        <v>265.76342834699699</v>
      </c>
    </row>
    <row r="112" spans="1:15" x14ac:dyDescent="0.25">
      <c r="A112" s="3">
        <v>289.10000000000002</v>
      </c>
      <c r="B112" s="3">
        <v>0</v>
      </c>
      <c r="C112" s="4">
        <v>346.95433108939</v>
      </c>
      <c r="D112" s="3">
        <v>302.03868516509999</v>
      </c>
      <c r="E112">
        <v>289.10000000000002</v>
      </c>
      <c r="F112">
        <v>1.2</v>
      </c>
      <c r="G112">
        <v>3.5950739526319802</v>
      </c>
      <c r="M112">
        <v>289.10000000000002</v>
      </c>
      <c r="N112">
        <v>0</v>
      </c>
      <c r="O112">
        <v>264.275796018802</v>
      </c>
    </row>
    <row r="113" spans="1:15" x14ac:dyDescent="0.25">
      <c r="A113" s="3">
        <v>289.2</v>
      </c>
      <c r="B113" s="3">
        <v>0</v>
      </c>
      <c r="C113" s="4">
        <v>344.49001559924</v>
      </c>
      <c r="D113" s="3">
        <v>302.10537265250002</v>
      </c>
      <c r="E113">
        <v>289.2</v>
      </c>
      <c r="F113">
        <v>1.2</v>
      </c>
      <c r="G113">
        <v>3.5911865322534902</v>
      </c>
      <c r="M113">
        <v>289.2</v>
      </c>
      <c r="N113">
        <v>0</v>
      </c>
      <c r="O113">
        <v>262.78816369060701</v>
      </c>
    </row>
    <row r="114" spans="1:15" x14ac:dyDescent="0.25">
      <c r="A114" s="3">
        <v>289.3</v>
      </c>
      <c r="B114" s="3">
        <v>0</v>
      </c>
      <c r="C114" s="4">
        <v>342.62749001037002</v>
      </c>
      <c r="D114" s="3">
        <v>302.16043017760001</v>
      </c>
      <c r="E114">
        <v>289.3</v>
      </c>
      <c r="F114">
        <v>1.2</v>
      </c>
      <c r="G114">
        <v>3.5872991118750099</v>
      </c>
      <c r="M114">
        <v>289.3</v>
      </c>
      <c r="N114">
        <v>0</v>
      </c>
      <c r="O114">
        <v>261.30053136241099</v>
      </c>
    </row>
    <row r="115" spans="1:15" x14ac:dyDescent="0.25">
      <c r="A115" s="3">
        <v>289.39999999999998</v>
      </c>
      <c r="B115" s="3">
        <v>0</v>
      </c>
      <c r="C115" s="4">
        <v>340.98724384806002</v>
      </c>
      <c r="D115" s="3">
        <v>302.22657874629999</v>
      </c>
      <c r="E115">
        <v>289.39999999999998</v>
      </c>
      <c r="F115">
        <v>1.2</v>
      </c>
      <c r="G115">
        <v>3.5834116914965199</v>
      </c>
      <c r="M115">
        <v>289.39999999999998</v>
      </c>
      <c r="N115">
        <v>0</v>
      </c>
      <c r="O115">
        <v>259.81289903421703</v>
      </c>
    </row>
    <row r="116" spans="1:15" x14ac:dyDescent="0.25">
      <c r="A116" s="3">
        <v>289.5</v>
      </c>
      <c r="B116" s="3">
        <v>0</v>
      </c>
      <c r="C116" s="4">
        <v>339.47612522789001</v>
      </c>
      <c r="D116" s="3">
        <v>302.28135658809998</v>
      </c>
      <c r="E116">
        <v>289.5</v>
      </c>
      <c r="F116">
        <v>1.2</v>
      </c>
      <c r="G116">
        <v>3.57952427111803</v>
      </c>
      <c r="M116">
        <v>289.5</v>
      </c>
      <c r="N116">
        <v>0</v>
      </c>
      <c r="O116">
        <v>258.32526670602101</v>
      </c>
    </row>
    <row r="117" spans="1:15" x14ac:dyDescent="0.25">
      <c r="A117" s="3">
        <v>289.60000000000002</v>
      </c>
      <c r="B117" s="3">
        <v>0</v>
      </c>
      <c r="C117" s="4">
        <v>338.05203523269</v>
      </c>
      <c r="D117" s="3">
        <v>302.34425119859998</v>
      </c>
      <c r="E117">
        <v>289.60000000000002</v>
      </c>
      <c r="F117">
        <v>1.2</v>
      </c>
      <c r="G117">
        <v>3.5735802949289002</v>
      </c>
      <c r="M117">
        <v>289.60000000000002</v>
      </c>
      <c r="N117">
        <v>0</v>
      </c>
      <c r="O117">
        <v>257.06138372962801</v>
      </c>
    </row>
    <row r="118" spans="1:15" x14ac:dyDescent="0.25">
      <c r="A118" s="3">
        <v>289.7</v>
      </c>
      <c r="B118" s="3">
        <v>0</v>
      </c>
      <c r="C118" s="4">
        <v>336.69130023941</v>
      </c>
      <c r="D118" s="3">
        <v>302.40934352160002</v>
      </c>
      <c r="E118">
        <v>289.7</v>
      </c>
      <c r="F118">
        <v>1.2</v>
      </c>
      <c r="G118">
        <v>3.5676363187397699</v>
      </c>
      <c r="M118">
        <v>289.7</v>
      </c>
      <c r="N118">
        <v>0</v>
      </c>
      <c r="O118">
        <v>255.797500753235</v>
      </c>
    </row>
    <row r="119" spans="1:15" x14ac:dyDescent="0.25">
      <c r="A119" s="3">
        <v>289.8</v>
      </c>
      <c r="B119" s="3">
        <v>0</v>
      </c>
      <c r="C119" s="4">
        <v>335.37889831336997</v>
      </c>
      <c r="D119" s="3">
        <v>302.46615950770001</v>
      </c>
      <c r="E119">
        <v>289.8</v>
      </c>
      <c r="F119">
        <v>1.2</v>
      </c>
      <c r="G119">
        <v>3.5616923425506299</v>
      </c>
      <c r="M119">
        <v>289.8</v>
      </c>
      <c r="N119">
        <v>0</v>
      </c>
      <c r="O119">
        <v>254.53361777684199</v>
      </c>
    </row>
    <row r="120" spans="1:15" x14ac:dyDescent="0.25">
      <c r="A120" s="3">
        <v>289.89999999999998</v>
      </c>
      <c r="B120" s="3">
        <v>0</v>
      </c>
      <c r="C120" s="4">
        <v>334.10452768347</v>
      </c>
      <c r="D120" s="3">
        <v>302.51769845429999</v>
      </c>
      <c r="E120">
        <v>289.89999999999998</v>
      </c>
      <c r="F120">
        <v>1.2</v>
      </c>
      <c r="G120">
        <v>3.5557483663615002</v>
      </c>
      <c r="M120">
        <v>289.89999999999998</v>
      </c>
      <c r="N120">
        <v>0</v>
      </c>
      <c r="O120">
        <v>253.26973480044899</v>
      </c>
    </row>
    <row r="121" spans="1:15" x14ac:dyDescent="0.25">
      <c r="A121" s="3">
        <v>290</v>
      </c>
      <c r="B121" s="3">
        <v>0</v>
      </c>
      <c r="C121" s="4">
        <v>332.86072996043998</v>
      </c>
      <c r="D121" s="3">
        <v>302.58704275820003</v>
      </c>
      <c r="E121">
        <v>290</v>
      </c>
      <c r="F121">
        <v>1.2</v>
      </c>
      <c r="G121">
        <v>3.5498043901723699</v>
      </c>
      <c r="M121">
        <v>290</v>
      </c>
      <c r="N121">
        <v>0</v>
      </c>
      <c r="O121">
        <v>252.00585182405601</v>
      </c>
    </row>
    <row r="122" spans="1:15" x14ac:dyDescent="0.25">
      <c r="A122" s="3">
        <v>290.10000000000002</v>
      </c>
      <c r="B122" s="3">
        <v>0</v>
      </c>
      <c r="C122" s="4">
        <v>331.64188558563001</v>
      </c>
      <c r="D122" s="3">
        <v>302.65048181600002</v>
      </c>
      <c r="E122">
        <v>290.10000000000002</v>
      </c>
      <c r="F122">
        <v>1.2</v>
      </c>
      <c r="G122">
        <v>3.54217450803386</v>
      </c>
      <c r="M122">
        <v>290.10000000000002</v>
      </c>
      <c r="N122">
        <v>0</v>
      </c>
      <c r="O122">
        <v>250.935307986694</v>
      </c>
    </row>
    <row r="123" spans="1:15" x14ac:dyDescent="0.25">
      <c r="A123" s="3">
        <v>290.2</v>
      </c>
      <c r="B123" s="3">
        <v>0</v>
      </c>
      <c r="C123" s="4">
        <v>330.44362979178999</v>
      </c>
      <c r="D123" s="3">
        <v>302.70123082179998</v>
      </c>
      <c r="E123">
        <v>290.2</v>
      </c>
      <c r="F123">
        <v>1.2</v>
      </c>
      <c r="G123">
        <v>3.5345446258953501</v>
      </c>
      <c r="M123">
        <v>290.2</v>
      </c>
      <c r="N123">
        <v>0</v>
      </c>
      <c r="O123">
        <v>249.86476414933199</v>
      </c>
    </row>
    <row r="124" spans="1:15" x14ac:dyDescent="0.25">
      <c r="A124" s="3">
        <v>290.3</v>
      </c>
      <c r="B124" s="3">
        <v>0</v>
      </c>
      <c r="C124" s="4">
        <v>329.26249102651002</v>
      </c>
      <c r="D124" s="3">
        <v>302.77107878470002</v>
      </c>
      <c r="E124">
        <v>290.3</v>
      </c>
      <c r="F124">
        <v>1.2</v>
      </c>
      <c r="G124">
        <v>3.5269147437568402</v>
      </c>
      <c r="M124">
        <v>290.3</v>
      </c>
      <c r="N124">
        <v>0</v>
      </c>
      <c r="O124">
        <v>248.79422031196901</v>
      </c>
    </row>
    <row r="125" spans="1:15" x14ac:dyDescent="0.25">
      <c r="A125" s="3">
        <v>290.39999999999998</v>
      </c>
      <c r="B125" s="3">
        <v>0</v>
      </c>
      <c r="C125" s="4">
        <v>328.09565574355003</v>
      </c>
      <c r="D125" s="3">
        <v>302.82110688709997</v>
      </c>
      <c r="E125">
        <v>290.39999999999998</v>
      </c>
      <c r="F125">
        <v>1.2</v>
      </c>
      <c r="G125">
        <v>3.5192848616183401</v>
      </c>
      <c r="M125">
        <v>290.39999999999998</v>
      </c>
      <c r="N125">
        <v>0</v>
      </c>
      <c r="O125">
        <v>247.723676474608</v>
      </c>
    </row>
    <row r="126" spans="1:15" x14ac:dyDescent="0.25">
      <c r="A126" s="3">
        <v>290.5</v>
      </c>
      <c r="B126" s="3">
        <v>0</v>
      </c>
      <c r="C126" s="4">
        <v>326.94080914416003</v>
      </c>
      <c r="D126" s="3">
        <v>302.8849510572</v>
      </c>
      <c r="E126">
        <v>290.5</v>
      </c>
      <c r="F126">
        <v>1.2</v>
      </c>
      <c r="G126">
        <v>3.5116549794798302</v>
      </c>
      <c r="M126">
        <v>290.5</v>
      </c>
      <c r="N126">
        <v>0</v>
      </c>
      <c r="O126">
        <v>246.65313263724499</v>
      </c>
    </row>
    <row r="127" spans="1:15" x14ac:dyDescent="0.25">
      <c r="A127" s="3">
        <v>290.60000000000002</v>
      </c>
      <c r="B127" s="3">
        <v>0</v>
      </c>
      <c r="C127" s="4">
        <v>325.79602371141999</v>
      </c>
      <c r="D127" s="3">
        <v>302.95013515739998</v>
      </c>
      <c r="E127">
        <v>290.60000000000002</v>
      </c>
      <c r="F127">
        <v>1.2</v>
      </c>
      <c r="G127">
        <v>3.50270850141926</v>
      </c>
      <c r="M127">
        <v>290.60000000000002</v>
      </c>
      <c r="N127">
        <v>0</v>
      </c>
      <c r="O127">
        <v>245.74520649832201</v>
      </c>
    </row>
    <row r="128" spans="1:15" x14ac:dyDescent="0.25">
      <c r="A128" s="3">
        <v>290.7</v>
      </c>
      <c r="B128" s="3">
        <v>0</v>
      </c>
      <c r="C128" s="4">
        <v>324.65967898931001</v>
      </c>
      <c r="D128" s="3">
        <v>303.00534061859997</v>
      </c>
      <c r="E128">
        <v>290.7</v>
      </c>
      <c r="F128">
        <v>1.2</v>
      </c>
      <c r="G128">
        <v>3.4937620233586899</v>
      </c>
      <c r="M128">
        <v>290.7</v>
      </c>
      <c r="N128">
        <v>0</v>
      </c>
      <c r="O128">
        <v>244.83728035939899</v>
      </c>
    </row>
    <row r="129" spans="1:15" x14ac:dyDescent="0.25">
      <c r="A129" s="3">
        <v>290.8</v>
      </c>
      <c r="B129" s="3">
        <v>0</v>
      </c>
      <c r="C129" s="4">
        <v>323.53040245630001</v>
      </c>
      <c r="D129" s="3">
        <v>303.06432947640002</v>
      </c>
      <c r="E129">
        <v>290.8</v>
      </c>
      <c r="F129">
        <v>1.2</v>
      </c>
      <c r="G129">
        <v>3.4848155452981202</v>
      </c>
      <c r="M129">
        <v>290.8</v>
      </c>
      <c r="N129">
        <v>0</v>
      </c>
      <c r="O129">
        <v>243.92935422047501</v>
      </c>
    </row>
    <row r="130" spans="1:15" x14ac:dyDescent="0.25">
      <c r="A130" s="3">
        <v>290.89999999999998</v>
      </c>
      <c r="B130" s="3">
        <v>0</v>
      </c>
      <c r="C130" s="4">
        <v>322.40702503838997</v>
      </c>
      <c r="D130" s="3">
        <v>303.13077476310002</v>
      </c>
      <c r="E130">
        <v>290.89999999999998</v>
      </c>
      <c r="F130">
        <v>1.2</v>
      </c>
      <c r="G130">
        <v>3.4758690672375598</v>
      </c>
      <c r="M130">
        <v>290.89999999999998</v>
      </c>
      <c r="N130">
        <v>0</v>
      </c>
      <c r="O130">
        <v>243.02142808155199</v>
      </c>
    </row>
    <row r="131" spans="1:15" x14ac:dyDescent="0.25">
      <c r="A131" s="3">
        <v>291</v>
      </c>
      <c r="B131" s="3">
        <v>0</v>
      </c>
      <c r="C131" s="4">
        <v>321.28854702660999</v>
      </c>
      <c r="D131" s="3">
        <v>303.18928676669998</v>
      </c>
      <c r="E131">
        <v>291</v>
      </c>
      <c r="F131">
        <v>1.2</v>
      </c>
      <c r="G131">
        <v>3.4669225891769901</v>
      </c>
      <c r="M131">
        <v>291</v>
      </c>
      <c r="N131">
        <v>0</v>
      </c>
      <c r="O131">
        <v>242.113501942629</v>
      </c>
    </row>
    <row r="132" spans="1:15" x14ac:dyDescent="0.25">
      <c r="A132" s="3">
        <v>291.10000000000002</v>
      </c>
      <c r="B132" s="3">
        <v>0</v>
      </c>
      <c r="C132" s="4">
        <v>320.17411154406</v>
      </c>
      <c r="D132" s="3">
        <v>303.24253840760002</v>
      </c>
      <c r="E132">
        <v>291.10000000000002</v>
      </c>
      <c r="F132">
        <v>1.2</v>
      </c>
      <c r="G132">
        <v>3.45690361035359</v>
      </c>
      <c r="M132">
        <v>291.10000000000002</v>
      </c>
      <c r="N132">
        <v>0</v>
      </c>
      <c r="O132">
        <v>241.340434074169</v>
      </c>
    </row>
    <row r="133" spans="1:15" x14ac:dyDescent="0.25">
      <c r="A133" s="3">
        <v>291.2</v>
      </c>
      <c r="B133" s="3">
        <v>0</v>
      </c>
      <c r="C133" s="4">
        <v>319.06298359177998</v>
      </c>
      <c r="D133" s="3">
        <v>303.30632797459998</v>
      </c>
      <c r="E133">
        <v>291.2</v>
      </c>
      <c r="F133">
        <v>1.2</v>
      </c>
      <c r="G133">
        <v>3.4468846315302</v>
      </c>
      <c r="M133">
        <v>291.2</v>
      </c>
      <c r="N133">
        <v>0</v>
      </c>
      <c r="O133">
        <v>240.56736620571101</v>
      </c>
    </row>
    <row r="134" spans="1:15" x14ac:dyDescent="0.25">
      <c r="A134" s="3">
        <v>291.3</v>
      </c>
      <c r="B134" s="3">
        <v>0</v>
      </c>
      <c r="C134" s="4">
        <v>317.95453328398997</v>
      </c>
      <c r="D134" s="3">
        <v>303.36592210689997</v>
      </c>
      <c r="E134">
        <v>291.3</v>
      </c>
      <c r="F134">
        <v>1.2</v>
      </c>
      <c r="G134">
        <v>3.43686565270681</v>
      </c>
      <c r="M134">
        <v>291.3</v>
      </c>
      <c r="N134">
        <v>0</v>
      </c>
      <c r="O134">
        <v>239.794298337252</v>
      </c>
    </row>
    <row r="135" spans="1:15" x14ac:dyDescent="0.25">
      <c r="A135" s="3">
        <v>291.39999999999998</v>
      </c>
      <c r="B135" s="3">
        <v>0</v>
      </c>
      <c r="C135" s="4">
        <v>316.84822227443999</v>
      </c>
      <c r="D135" s="3">
        <v>303.42858729599999</v>
      </c>
      <c r="E135">
        <v>291.39999999999998</v>
      </c>
      <c r="F135">
        <v>1.2</v>
      </c>
      <c r="G135">
        <v>3.42684667388342</v>
      </c>
      <c r="M135">
        <v>291.39999999999998</v>
      </c>
      <c r="N135">
        <v>0</v>
      </c>
      <c r="O135">
        <v>239.02123046879299</v>
      </c>
    </row>
    <row r="136" spans="1:15" x14ac:dyDescent="0.25">
      <c r="A136" s="3">
        <v>291.5</v>
      </c>
      <c r="B136" s="3">
        <v>0</v>
      </c>
      <c r="C136" s="4">
        <v>315.74359264477999</v>
      </c>
      <c r="D136" s="3">
        <v>303.48625501589999</v>
      </c>
      <c r="E136">
        <v>291.5</v>
      </c>
      <c r="F136">
        <v>1.2</v>
      </c>
      <c r="G136">
        <v>3.4168276950600198</v>
      </c>
      <c r="M136">
        <v>291.5</v>
      </c>
      <c r="N136">
        <v>0</v>
      </c>
      <c r="O136">
        <v>238.24816260033401</v>
      </c>
    </row>
    <row r="137" spans="1:15" x14ac:dyDescent="0.25">
      <c r="A137" s="3">
        <v>291.60000000000002</v>
      </c>
      <c r="B137" s="3">
        <v>0</v>
      </c>
      <c r="C137" s="4">
        <v>314.64025771370001</v>
      </c>
      <c r="D137" s="3">
        <v>303.54060507460002</v>
      </c>
      <c r="E137">
        <v>291.60000000000002</v>
      </c>
      <c r="F137">
        <v>1.2</v>
      </c>
      <c r="G137">
        <v>3.4059376894672502</v>
      </c>
      <c r="M137">
        <v>291.60000000000002</v>
      </c>
      <c r="N137">
        <v>0</v>
      </c>
      <c r="O137">
        <v>237.586214170321</v>
      </c>
    </row>
    <row r="138" spans="1:15" x14ac:dyDescent="0.25">
      <c r="A138" s="3">
        <v>291.7</v>
      </c>
      <c r="B138" s="3">
        <v>0</v>
      </c>
      <c r="C138" s="4">
        <v>313.53789436009998</v>
      </c>
      <c r="D138" s="3">
        <v>303.60422815869998</v>
      </c>
      <c r="E138">
        <v>291.7</v>
      </c>
      <c r="F138">
        <v>1.2</v>
      </c>
      <c r="G138">
        <v>3.3950476838744801</v>
      </c>
      <c r="M138">
        <v>291.7</v>
      </c>
      <c r="N138">
        <v>0</v>
      </c>
      <c r="O138">
        <v>236.92426574030901</v>
      </c>
    </row>
    <row r="139" spans="1:15" x14ac:dyDescent="0.25">
      <c r="A139" s="3">
        <v>291.8</v>
      </c>
      <c r="B139" s="3">
        <v>0</v>
      </c>
      <c r="C139" s="4">
        <v>312.43623655038999</v>
      </c>
      <c r="D139" s="3">
        <v>303.66178641099998</v>
      </c>
      <c r="E139">
        <v>291.8</v>
      </c>
      <c r="F139">
        <v>1.2</v>
      </c>
      <c r="G139">
        <v>3.3841576782817002</v>
      </c>
      <c r="M139">
        <v>291.8</v>
      </c>
      <c r="N139">
        <v>0</v>
      </c>
      <c r="O139">
        <v>236.26231731029699</v>
      </c>
    </row>
    <row r="140" spans="1:15" x14ac:dyDescent="0.25">
      <c r="A140" s="3">
        <v>291.89999999999998</v>
      </c>
      <c r="B140" s="3">
        <v>0</v>
      </c>
      <c r="C140" s="4">
        <v>311.33506983108998</v>
      </c>
      <c r="D140" s="3">
        <v>303.71995513799999</v>
      </c>
      <c r="E140">
        <v>291.89999999999998</v>
      </c>
      <c r="F140">
        <v>1.2</v>
      </c>
      <c r="G140">
        <v>3.3732676726889301</v>
      </c>
      <c r="M140">
        <v>291.89999999999998</v>
      </c>
      <c r="N140">
        <v>0</v>
      </c>
      <c r="O140">
        <v>235.600368880285</v>
      </c>
    </row>
    <row r="141" spans="1:15" x14ac:dyDescent="0.25">
      <c r="A141" s="3">
        <v>292</v>
      </c>
      <c r="B141" s="3">
        <v>0</v>
      </c>
      <c r="C141" s="4">
        <v>310.23422660096003</v>
      </c>
      <c r="D141" s="3">
        <v>303.77757563860001</v>
      </c>
      <c r="E141">
        <v>292</v>
      </c>
      <c r="F141">
        <v>1.2</v>
      </c>
      <c r="G141">
        <v>3.3623776670961498</v>
      </c>
      <c r="M141">
        <v>292</v>
      </c>
      <c r="N141">
        <v>0</v>
      </c>
      <c r="O141">
        <v>234.93842045027299</v>
      </c>
    </row>
    <row r="142" spans="1:15" x14ac:dyDescent="0.25">
      <c r="A142" s="3">
        <v>292.10000000000002</v>
      </c>
      <c r="B142" s="3">
        <v>0</v>
      </c>
      <c r="C142" s="4">
        <v>309.13358201659997</v>
      </c>
      <c r="D142" s="3">
        <v>303.83780894709997</v>
      </c>
      <c r="E142">
        <v>292.10000000000002</v>
      </c>
      <c r="F142">
        <v>1.2</v>
      </c>
      <c r="G142">
        <v>3.3507976139051601</v>
      </c>
      <c r="M142">
        <v>292.10000000000002</v>
      </c>
      <c r="N142">
        <v>0</v>
      </c>
      <c r="O142">
        <v>234.36787485359201</v>
      </c>
    </row>
    <row r="143" spans="1:15" x14ac:dyDescent="0.25">
      <c r="A143" s="3">
        <v>292.2</v>
      </c>
      <c r="B143" s="3">
        <v>0</v>
      </c>
      <c r="C143" s="4">
        <v>308.03305041582001</v>
      </c>
      <c r="D143" s="3">
        <v>303.8875389488</v>
      </c>
      <c r="E143">
        <v>292.2</v>
      </c>
      <c r="F143">
        <v>1.2</v>
      </c>
      <c r="G143">
        <v>3.3392175607141699</v>
      </c>
      <c r="M143">
        <v>292.2</v>
      </c>
      <c r="N143">
        <v>0</v>
      </c>
      <c r="O143">
        <v>233.79732925691201</v>
      </c>
    </row>
    <row r="144" spans="1:15" x14ac:dyDescent="0.25">
      <c r="A144" s="3">
        <v>292.3</v>
      </c>
      <c r="B144" s="3">
        <v>0</v>
      </c>
      <c r="C144" s="4">
        <v>306.93258216610002</v>
      </c>
      <c r="D144" s="3">
        <v>303.94537995780001</v>
      </c>
      <c r="E144">
        <v>292.3</v>
      </c>
      <c r="F144">
        <v>1.2</v>
      </c>
      <c r="G144">
        <v>3.3276375075231699</v>
      </c>
      <c r="M144">
        <v>292.3</v>
      </c>
      <c r="N144">
        <v>0</v>
      </c>
      <c r="O144">
        <v>233.22678366023101</v>
      </c>
    </row>
    <row r="145" spans="1:15" x14ac:dyDescent="0.25">
      <c r="A145" s="3">
        <v>292.39999999999998</v>
      </c>
      <c r="B145" s="3">
        <v>0</v>
      </c>
      <c r="C145" s="4">
        <v>305.83216086394998</v>
      </c>
      <c r="D145" s="3">
        <v>303.99849351829999</v>
      </c>
      <c r="E145">
        <v>292.39999999999998</v>
      </c>
      <c r="F145">
        <v>1.2</v>
      </c>
      <c r="G145">
        <v>3.3160574543321801</v>
      </c>
      <c r="M145">
        <v>292.39999999999998</v>
      </c>
      <c r="N145">
        <v>0</v>
      </c>
      <c r="O145">
        <v>232.656238063551</v>
      </c>
    </row>
    <row r="146" spans="1:15" x14ac:dyDescent="0.25">
      <c r="A146" s="3">
        <v>292.5</v>
      </c>
      <c r="B146" s="3">
        <v>0</v>
      </c>
      <c r="C146" s="4">
        <v>304.73180082473999</v>
      </c>
      <c r="D146" s="3">
        <v>304.04617182689998</v>
      </c>
      <c r="E146">
        <v>292.5</v>
      </c>
      <c r="F146">
        <v>1.2</v>
      </c>
      <c r="G146">
        <v>3.3044774011411802</v>
      </c>
      <c r="M146">
        <v>292.5</v>
      </c>
      <c r="N146">
        <v>0</v>
      </c>
      <c r="O146">
        <v>232.08569246687</v>
      </c>
    </row>
    <row r="147" spans="1:15" x14ac:dyDescent="0.25">
      <c r="A147" s="3">
        <v>292.60000000000002</v>
      </c>
      <c r="B147" s="3">
        <v>0</v>
      </c>
      <c r="C147" s="4">
        <v>303.63154481405002</v>
      </c>
      <c r="D147" s="3">
        <v>304.0894551623</v>
      </c>
      <c r="E147">
        <v>292.60000000000002</v>
      </c>
      <c r="F147">
        <v>1.2</v>
      </c>
      <c r="G147">
        <v>3.2923567822286799</v>
      </c>
      <c r="M147">
        <v>292.60000000000002</v>
      </c>
      <c r="N147">
        <v>0</v>
      </c>
      <c r="O147">
        <v>231.59042369179701</v>
      </c>
    </row>
    <row r="148" spans="1:15" x14ac:dyDescent="0.25">
      <c r="A148" s="3">
        <v>292.7</v>
      </c>
      <c r="B148" s="3">
        <v>0</v>
      </c>
      <c r="C148" s="4">
        <v>302.53146198027002</v>
      </c>
      <c r="D148" s="3">
        <v>304.15493178150001</v>
      </c>
      <c r="E148">
        <v>292.7</v>
      </c>
      <c r="F148">
        <v>1.2</v>
      </c>
      <c r="G148">
        <v>3.2802361633161801</v>
      </c>
      <c r="M148">
        <v>292.7</v>
      </c>
      <c r="N148">
        <v>0</v>
      </c>
      <c r="O148">
        <v>231.095154916723</v>
      </c>
    </row>
    <row r="149" spans="1:15" x14ac:dyDescent="0.25">
      <c r="A149" s="3">
        <v>292.8</v>
      </c>
      <c r="B149" s="3">
        <v>0</v>
      </c>
      <c r="C149" s="4">
        <v>301.43164595565997</v>
      </c>
      <c r="D149" s="3">
        <v>304.16369184109999</v>
      </c>
      <c r="E149">
        <v>292.8</v>
      </c>
      <c r="F149">
        <v>1.2</v>
      </c>
      <c r="G149">
        <v>3.2681155444036798</v>
      </c>
      <c r="M149">
        <v>292.8</v>
      </c>
      <c r="N149">
        <v>0</v>
      </c>
      <c r="O149">
        <v>230.59988614164999</v>
      </c>
    </row>
    <row r="150" spans="1:15" x14ac:dyDescent="0.25">
      <c r="A150" s="3">
        <v>292.89999999999998</v>
      </c>
      <c r="B150" s="3">
        <v>0</v>
      </c>
      <c r="C150" s="4">
        <v>300.33221309851001</v>
      </c>
      <c r="D150" s="3">
        <v>304.17245006159999</v>
      </c>
      <c r="E150">
        <v>292.89999999999998</v>
      </c>
      <c r="F150">
        <v>1.2</v>
      </c>
      <c r="G150">
        <v>3.25599492549118</v>
      </c>
      <c r="M150">
        <v>292.89999999999998</v>
      </c>
      <c r="N150">
        <v>0</v>
      </c>
      <c r="O150">
        <v>230.10461736657601</v>
      </c>
    </row>
    <row r="151" spans="1:15" x14ac:dyDescent="0.25">
      <c r="A151" s="3">
        <v>293</v>
      </c>
      <c r="B151" s="3">
        <v>0</v>
      </c>
      <c r="C151" s="4">
        <v>299.23330085408003</v>
      </c>
      <c r="D151" s="3">
        <v>185.81170771570001</v>
      </c>
      <c r="E151">
        <v>293</v>
      </c>
      <c r="F151">
        <v>1.2</v>
      </c>
      <c r="G151">
        <v>3.2438743065786801</v>
      </c>
      <c r="M151">
        <v>293</v>
      </c>
      <c r="N151">
        <v>0</v>
      </c>
      <c r="O151">
        <v>229.60934859150299</v>
      </c>
    </row>
    <row r="152" spans="1:15" x14ac:dyDescent="0.25">
      <c r="A152" s="3">
        <v>293.10000000000002</v>
      </c>
      <c r="B152" s="3">
        <v>0</v>
      </c>
      <c r="C152" s="4">
        <v>298.13506621577</v>
      </c>
      <c r="D152" s="3">
        <v>176.3617309995</v>
      </c>
      <c r="E152">
        <v>293.10000000000002</v>
      </c>
      <c r="F152">
        <v>1.2</v>
      </c>
      <c r="G152">
        <v>3.2313368724372502</v>
      </c>
      <c r="M152">
        <v>293.10000000000002</v>
      </c>
      <c r="N152">
        <v>0</v>
      </c>
      <c r="O152">
        <v>229.17626429925301</v>
      </c>
    </row>
    <row r="153" spans="1:15" x14ac:dyDescent="0.25">
      <c r="A153" s="3">
        <v>293.2</v>
      </c>
      <c r="B153" s="3">
        <v>0</v>
      </c>
      <c r="C153" s="4">
        <v>297.03768427115</v>
      </c>
      <c r="D153" s="3">
        <v>176.35697055060001</v>
      </c>
      <c r="E153">
        <v>293.2</v>
      </c>
      <c r="F153">
        <v>1.2</v>
      </c>
      <c r="G153">
        <v>3.2187994382958198</v>
      </c>
      <c r="M153">
        <v>293.2</v>
      </c>
      <c r="N153">
        <v>0</v>
      </c>
      <c r="O153">
        <v>228.74318000700299</v>
      </c>
    </row>
    <row r="154" spans="1:15" x14ac:dyDescent="0.25">
      <c r="A154" s="3">
        <v>293.3</v>
      </c>
      <c r="B154" s="3">
        <v>0</v>
      </c>
      <c r="C154" s="4">
        <v>295.94134682008001</v>
      </c>
      <c r="D154" s="3">
        <v>176.3638284022</v>
      </c>
      <c r="E154">
        <v>293.3</v>
      </c>
      <c r="F154">
        <v>1.2</v>
      </c>
      <c r="G154">
        <v>3.2062620041543899</v>
      </c>
      <c r="M154">
        <v>293.3</v>
      </c>
      <c r="N154">
        <v>0</v>
      </c>
      <c r="O154">
        <v>228.310095714753</v>
      </c>
    </row>
    <row r="155" spans="1:15" x14ac:dyDescent="0.25">
      <c r="A155" s="3">
        <v>293.39999999999998</v>
      </c>
      <c r="B155" s="3">
        <v>0</v>
      </c>
      <c r="C155" s="4">
        <v>294.84626105476002</v>
      </c>
      <c r="D155" s="3">
        <v>176.37204865480001</v>
      </c>
      <c r="E155">
        <v>293.39999999999998</v>
      </c>
      <c r="F155">
        <v>1.2</v>
      </c>
      <c r="G155">
        <v>3.1937245700129702</v>
      </c>
      <c r="M155">
        <v>293.39999999999998</v>
      </c>
      <c r="N155">
        <v>0</v>
      </c>
      <c r="O155">
        <v>227.87701142250401</v>
      </c>
    </row>
    <row r="156" spans="1:15" x14ac:dyDescent="0.25">
      <c r="A156" s="3">
        <v>293.5</v>
      </c>
      <c r="B156" s="3">
        <v>0</v>
      </c>
      <c r="C156" s="4">
        <v>293.75264829270998</v>
      </c>
      <c r="D156" s="3">
        <v>176.3805964071</v>
      </c>
      <c r="E156">
        <v>293.5</v>
      </c>
      <c r="F156">
        <v>1.2</v>
      </c>
      <c r="G156">
        <v>3.1811871358715398</v>
      </c>
      <c r="M156">
        <v>293.5</v>
      </c>
      <c r="N156">
        <v>0</v>
      </c>
      <c r="O156">
        <v>227.443927130254</v>
      </c>
    </row>
    <row r="157" spans="1:15" x14ac:dyDescent="0.25">
      <c r="A157" s="3">
        <v>293.60000000000002</v>
      </c>
      <c r="B157" s="3">
        <v>0</v>
      </c>
      <c r="C157" s="4">
        <v>292.66074275610998</v>
      </c>
      <c r="D157" s="3">
        <v>176.38924853809999</v>
      </c>
      <c r="E157">
        <v>293.60000000000002</v>
      </c>
      <c r="F157">
        <v>1.2</v>
      </c>
      <c r="G157">
        <v>3.1683357065881599</v>
      </c>
      <c r="M157">
        <v>293.60000000000002</v>
      </c>
      <c r="N157">
        <v>0</v>
      </c>
      <c r="O157">
        <v>227.06242476680299</v>
      </c>
    </row>
    <row r="158" spans="1:15" x14ac:dyDescent="0.25">
      <c r="A158" s="3">
        <v>293.7</v>
      </c>
      <c r="B158" s="3">
        <v>0</v>
      </c>
      <c r="C158" s="4">
        <v>291.57079039151</v>
      </c>
      <c r="D158" s="3">
        <v>176.39794116300001</v>
      </c>
      <c r="E158">
        <v>293.7</v>
      </c>
      <c r="F158">
        <v>1.2</v>
      </c>
      <c r="G158">
        <v>3.1554842773047902</v>
      </c>
      <c r="M158">
        <v>293.7</v>
      </c>
      <c r="N158">
        <v>0</v>
      </c>
      <c r="O158">
        <v>226.68092240335301</v>
      </c>
    </row>
    <row r="159" spans="1:15" x14ac:dyDescent="0.25">
      <c r="A159" s="3">
        <v>293.8</v>
      </c>
      <c r="B159" s="3">
        <v>0</v>
      </c>
      <c r="C159" s="4">
        <v>290.48304772559999</v>
      </c>
      <c r="D159" s="3">
        <v>176.40665624010001</v>
      </c>
      <c r="E159">
        <v>293.8</v>
      </c>
      <c r="F159">
        <v>1.2</v>
      </c>
      <c r="G159">
        <v>3.1426328480214099</v>
      </c>
      <c r="M159">
        <v>293.8</v>
      </c>
      <c r="N159">
        <v>0</v>
      </c>
      <c r="O159">
        <v>226.299420039903</v>
      </c>
    </row>
    <row r="160" spans="1:15" x14ac:dyDescent="0.25">
      <c r="A160" s="3">
        <v>293.89999999999998</v>
      </c>
      <c r="B160" s="3">
        <v>0</v>
      </c>
      <c r="C160" s="4">
        <v>289.39778075330997</v>
      </c>
      <c r="D160" s="3">
        <v>176.41538110249999</v>
      </c>
      <c r="E160">
        <v>293.89999999999998</v>
      </c>
      <c r="F160">
        <v>1.2</v>
      </c>
      <c r="G160">
        <v>3.1297814187380402</v>
      </c>
      <c r="M160">
        <v>293.89999999999998</v>
      </c>
      <c r="N160">
        <v>0</v>
      </c>
      <c r="O160">
        <v>225.91791767645299</v>
      </c>
    </row>
    <row r="161" spans="1:15" x14ac:dyDescent="0.25">
      <c r="A161" s="3">
        <v>294</v>
      </c>
      <c r="B161" s="3">
        <v>0</v>
      </c>
      <c r="C161" s="4">
        <v>288.31526385563001</v>
      </c>
      <c r="D161" s="3">
        <v>176.42410696779999</v>
      </c>
      <c r="E161">
        <v>294</v>
      </c>
      <c r="F161">
        <v>1.2</v>
      </c>
      <c r="G161">
        <v>3.1169299894546598</v>
      </c>
      <c r="M161">
        <v>294</v>
      </c>
      <c r="N161">
        <v>0</v>
      </c>
      <c r="O161">
        <v>225.53641531300201</v>
      </c>
    </row>
    <row r="162" spans="1:15" x14ac:dyDescent="0.25">
      <c r="A162" s="3">
        <v>294.10000000000002</v>
      </c>
      <c r="B162" s="3">
        <v>0</v>
      </c>
      <c r="C162" s="4">
        <v>287.23577874507998</v>
      </c>
      <c r="D162" s="3">
        <v>176.43283615659999</v>
      </c>
      <c r="E162">
        <v>294.10000000000002</v>
      </c>
      <c r="F162">
        <v>1.2</v>
      </c>
      <c r="G162">
        <v>3.1038503630956602</v>
      </c>
      <c r="M162">
        <v>294.10000000000002</v>
      </c>
      <c r="N162">
        <v>0</v>
      </c>
      <c r="O162">
        <v>225.197904381163</v>
      </c>
    </row>
    <row r="163" spans="1:15" x14ac:dyDescent="0.25">
      <c r="A163" s="3">
        <v>294.2</v>
      </c>
      <c r="B163" s="3">
        <v>0</v>
      </c>
      <c r="C163" s="4">
        <v>286.15961343727997</v>
      </c>
      <c r="D163" s="3">
        <v>176.44156476840001</v>
      </c>
      <c r="E163">
        <v>294.2</v>
      </c>
      <c r="F163">
        <v>1.2</v>
      </c>
      <c r="G163">
        <v>3.0907707367366601</v>
      </c>
      <c r="M163">
        <v>294.2</v>
      </c>
      <c r="N163">
        <v>0</v>
      </c>
      <c r="O163">
        <v>224.85939344932501</v>
      </c>
    </row>
    <row r="164" spans="1:15" x14ac:dyDescent="0.25">
      <c r="A164" s="3">
        <v>294.3</v>
      </c>
      <c r="B164" s="3">
        <v>0</v>
      </c>
      <c r="C164" s="4">
        <v>285.08706124781997</v>
      </c>
      <c r="D164" s="3">
        <v>176.45029470770001</v>
      </c>
      <c r="E164">
        <v>294.3</v>
      </c>
      <c r="F164">
        <v>1.2</v>
      </c>
      <c r="G164">
        <v>3.0776911103776601</v>
      </c>
      <c r="M164">
        <v>294.3</v>
      </c>
      <c r="N164">
        <v>0</v>
      </c>
      <c r="O164">
        <v>224.520882517486</v>
      </c>
    </row>
    <row r="165" spans="1:15" x14ac:dyDescent="0.25">
      <c r="A165" s="3">
        <v>294.39999999999998</v>
      </c>
      <c r="B165" s="3">
        <v>0</v>
      </c>
      <c r="C165" s="4">
        <v>284.01841981388998</v>
      </c>
      <c r="D165" s="3">
        <v>176.45902250040001</v>
      </c>
      <c r="E165">
        <v>294.39999999999998</v>
      </c>
      <c r="F165">
        <v>1.2</v>
      </c>
      <c r="G165">
        <v>3.06461148401866</v>
      </c>
      <c r="M165">
        <v>294.39999999999998</v>
      </c>
      <c r="N165">
        <v>0</v>
      </c>
      <c r="O165">
        <v>224.18237158564699</v>
      </c>
    </row>
    <row r="166" spans="1:15" x14ac:dyDescent="0.25">
      <c r="A166" s="3">
        <v>294.5</v>
      </c>
      <c r="B166" s="3">
        <v>0</v>
      </c>
      <c r="C166" s="4">
        <v>282.95399014038998</v>
      </c>
      <c r="D166" s="3">
        <v>176.4677493396</v>
      </c>
      <c r="E166">
        <v>294.5</v>
      </c>
      <c r="F166">
        <v>1.2</v>
      </c>
      <c r="G166">
        <v>3.0515318576596502</v>
      </c>
      <c r="M166">
        <v>294.5</v>
      </c>
      <c r="N166">
        <v>0</v>
      </c>
      <c r="O166">
        <v>223.84386065380801</v>
      </c>
    </row>
    <row r="167" spans="1:15" x14ac:dyDescent="0.25">
      <c r="A167" s="3">
        <v>294.60000000000002</v>
      </c>
      <c r="B167" s="3">
        <v>0</v>
      </c>
      <c r="C167" s="4">
        <v>281.89407567081003</v>
      </c>
      <c r="D167" s="3">
        <v>176.47647607330001</v>
      </c>
      <c r="E167">
        <v>294.60000000000002</v>
      </c>
      <c r="F167">
        <v>1.2</v>
      </c>
      <c r="G167">
        <v>3.03832024316864</v>
      </c>
      <c r="M167">
        <v>294.60000000000002</v>
      </c>
      <c r="N167">
        <v>0</v>
      </c>
      <c r="O167">
        <v>223.54136422043899</v>
      </c>
    </row>
    <row r="168" spans="1:15" x14ac:dyDescent="0.25">
      <c r="A168" s="3">
        <v>294.7</v>
      </c>
      <c r="B168" s="3">
        <v>0</v>
      </c>
      <c r="C168" s="4">
        <v>280.83898138321001</v>
      </c>
      <c r="D168" s="3">
        <v>176.4851997833</v>
      </c>
      <c r="E168">
        <v>294.7</v>
      </c>
      <c r="F168">
        <v>1.2</v>
      </c>
      <c r="G168">
        <v>3.0251086286776299</v>
      </c>
      <c r="M168">
        <v>294.7</v>
      </c>
      <c r="N168">
        <v>0</v>
      </c>
      <c r="O168">
        <v>223.23886778707001</v>
      </c>
    </row>
    <row r="169" spans="1:15" x14ac:dyDescent="0.25">
      <c r="A169" s="3">
        <v>294.8</v>
      </c>
      <c r="B169" s="3">
        <v>0</v>
      </c>
      <c r="C169" s="4">
        <v>279.78901291175998</v>
      </c>
      <c r="D169" s="3">
        <v>176.49392168649999</v>
      </c>
      <c r="E169">
        <v>294.8</v>
      </c>
      <c r="F169">
        <v>1.2</v>
      </c>
      <c r="G169">
        <v>3.0118970141866099</v>
      </c>
      <c r="M169">
        <v>294.8</v>
      </c>
      <c r="N169">
        <v>0</v>
      </c>
      <c r="O169">
        <v>222.93637135370099</v>
      </c>
    </row>
    <row r="170" spans="1:15" x14ac:dyDescent="0.25">
      <c r="A170" s="3">
        <v>294.89999999999998</v>
      </c>
      <c r="B170" s="3">
        <v>0</v>
      </c>
      <c r="C170" s="4">
        <v>278.74447569476001</v>
      </c>
      <c r="D170" s="3">
        <v>176.50264416620001</v>
      </c>
      <c r="E170">
        <v>294.89999999999998</v>
      </c>
      <c r="F170">
        <v>1.2</v>
      </c>
      <c r="G170">
        <v>2.99868539969561</v>
      </c>
      <c r="M170">
        <v>294.89999999999998</v>
      </c>
      <c r="N170">
        <v>0</v>
      </c>
      <c r="O170">
        <v>222.633874920332</v>
      </c>
    </row>
    <row r="171" spans="1:15" x14ac:dyDescent="0.25">
      <c r="A171" s="3">
        <v>295</v>
      </c>
      <c r="B171" s="3">
        <v>0</v>
      </c>
      <c r="C171" s="4">
        <v>277.70567414984998</v>
      </c>
      <c r="D171" s="3">
        <v>176.51136277059999</v>
      </c>
      <c r="E171">
        <v>295</v>
      </c>
      <c r="F171">
        <v>1.2</v>
      </c>
      <c r="G171">
        <v>2.9854737852045901</v>
      </c>
      <c r="M171">
        <v>295</v>
      </c>
      <c r="N171">
        <v>0</v>
      </c>
      <c r="O171">
        <v>222.33137848696299</v>
      </c>
    </row>
    <row r="172" spans="1:15" x14ac:dyDescent="0.25">
      <c r="A172" s="3">
        <v>295.10000000000002</v>
      </c>
      <c r="B172" s="3">
        <v>0</v>
      </c>
      <c r="C172" s="4">
        <v>276.67291087721998</v>
      </c>
      <c r="D172" s="3">
        <v>176.52008109549999</v>
      </c>
      <c r="E172">
        <v>295.10000000000002</v>
      </c>
      <c r="F172">
        <v>1.2</v>
      </c>
      <c r="G172">
        <v>2.97225254676319</v>
      </c>
      <c r="M172">
        <v>295.10000000000002</v>
      </c>
      <c r="N172">
        <v>0</v>
      </c>
      <c r="O172">
        <v>222.059209804338</v>
      </c>
    </row>
    <row r="173" spans="1:15" x14ac:dyDescent="0.25">
      <c r="A173" s="3">
        <v>295.2</v>
      </c>
      <c r="B173" s="3">
        <v>0</v>
      </c>
      <c r="C173" s="4">
        <v>275.64648589205001</v>
      </c>
      <c r="D173" s="3">
        <v>176.52879746159999</v>
      </c>
      <c r="E173">
        <v>295.2</v>
      </c>
      <c r="F173">
        <v>1.2</v>
      </c>
      <c r="G173">
        <v>2.9590313083218001</v>
      </c>
      <c r="M173">
        <v>295.2</v>
      </c>
      <c r="N173">
        <v>0</v>
      </c>
      <c r="O173">
        <v>221.787041121713</v>
      </c>
    </row>
    <row r="174" spans="1:15" x14ac:dyDescent="0.25">
      <c r="A174" s="3">
        <v>295.3</v>
      </c>
      <c r="B174" s="3">
        <v>0</v>
      </c>
      <c r="C174" s="4">
        <v>274.62669588686998</v>
      </c>
      <c r="D174" s="3">
        <v>176.53751166000001</v>
      </c>
      <c r="E174">
        <v>295.3</v>
      </c>
      <c r="F174">
        <v>1.2</v>
      </c>
      <c r="G174">
        <v>2.9458100698804</v>
      </c>
      <c r="M174">
        <v>295.3</v>
      </c>
      <c r="N174">
        <v>0</v>
      </c>
      <c r="O174">
        <v>221.51487243908801</v>
      </c>
    </row>
    <row r="175" spans="1:15" x14ac:dyDescent="0.25">
      <c r="A175" s="3">
        <v>295.39999999999998</v>
      </c>
      <c r="B175" s="3">
        <v>0</v>
      </c>
      <c r="C175" s="4">
        <v>273.61383352492999</v>
      </c>
      <c r="D175" s="3">
        <v>176.54622451239999</v>
      </c>
      <c r="E175">
        <v>295.39999999999998</v>
      </c>
      <c r="F175">
        <v>1.2</v>
      </c>
      <c r="G175">
        <v>2.9325888314390101</v>
      </c>
      <c r="M175">
        <v>295.39999999999998</v>
      </c>
      <c r="N175">
        <v>0</v>
      </c>
      <c r="O175">
        <v>221.24270375646299</v>
      </c>
    </row>
    <row r="176" spans="1:15" x14ac:dyDescent="0.25">
      <c r="A176" s="3">
        <v>295.5</v>
      </c>
      <c r="B176" s="3">
        <v>0</v>
      </c>
      <c r="C176" s="4">
        <v>272.60818676553998</v>
      </c>
      <c r="D176" s="3">
        <v>176.55493499889999</v>
      </c>
      <c r="E176">
        <v>295.5</v>
      </c>
      <c r="F176">
        <v>1.2</v>
      </c>
      <c r="G176">
        <v>2.9193675929976202</v>
      </c>
      <c r="M176">
        <v>295.5</v>
      </c>
      <c r="N176">
        <v>0</v>
      </c>
      <c r="O176">
        <v>220.97053507383799</v>
      </c>
    </row>
    <row r="177" spans="1:15" x14ac:dyDescent="0.25">
      <c r="A177" s="3">
        <v>295.60000000000002</v>
      </c>
      <c r="B177" s="3">
        <v>0</v>
      </c>
      <c r="C177" s="4">
        <v>271.61003822212001</v>
      </c>
      <c r="D177" s="3">
        <v>176.5636446558</v>
      </c>
      <c r="E177">
        <v>295.60000000000002</v>
      </c>
      <c r="F177">
        <v>1.2</v>
      </c>
      <c r="G177">
        <v>2.90610162083712</v>
      </c>
      <c r="M177">
        <v>295.60000000000002</v>
      </c>
      <c r="N177">
        <v>0</v>
      </c>
      <c r="O177">
        <v>220.72403902812101</v>
      </c>
    </row>
    <row r="178" spans="1:15" x14ac:dyDescent="0.25">
      <c r="A178" s="3">
        <v>295.7</v>
      </c>
      <c r="B178" s="3">
        <v>0</v>
      </c>
      <c r="C178" s="4">
        <v>270.619664554</v>
      </c>
      <c r="D178" s="3">
        <v>176.57235208259999</v>
      </c>
      <c r="E178">
        <v>295.7</v>
      </c>
      <c r="F178">
        <v>1.2</v>
      </c>
      <c r="G178">
        <v>2.8928356486766398</v>
      </c>
      <c r="M178">
        <v>295.7</v>
      </c>
      <c r="N178">
        <v>0</v>
      </c>
      <c r="O178">
        <v>220.47754298240301</v>
      </c>
    </row>
    <row r="179" spans="1:15" x14ac:dyDescent="0.25">
      <c r="A179" s="3">
        <v>295.8</v>
      </c>
      <c r="B179" s="3">
        <v>0</v>
      </c>
      <c r="C179" s="4">
        <v>269.63733589243998</v>
      </c>
      <c r="D179" s="3">
        <v>176.58105785859999</v>
      </c>
      <c r="E179">
        <v>295.8</v>
      </c>
      <c r="F179">
        <v>1.2</v>
      </c>
      <c r="G179">
        <v>2.87956967651614</v>
      </c>
      <c r="M179">
        <v>295.8</v>
      </c>
      <c r="N179">
        <v>0</v>
      </c>
      <c r="O179">
        <v>220.231046936685</v>
      </c>
    </row>
    <row r="180" spans="1:15" x14ac:dyDescent="0.25">
      <c r="A180" s="3">
        <v>295.89999999999998</v>
      </c>
      <c r="B180" s="3">
        <v>0</v>
      </c>
      <c r="C180" s="4">
        <v>268.66331530171999</v>
      </c>
      <c r="D180" s="3">
        <v>176.58976195</v>
      </c>
      <c r="E180">
        <v>295.89999999999998</v>
      </c>
      <c r="F180">
        <v>1.2</v>
      </c>
      <c r="G180">
        <v>2.8663037043556598</v>
      </c>
      <c r="M180">
        <v>295.89999999999998</v>
      </c>
      <c r="N180">
        <v>0</v>
      </c>
      <c r="O180">
        <v>219.98455089096799</v>
      </c>
    </row>
    <row r="181" spans="1:15" x14ac:dyDescent="0.25">
      <c r="A181" s="3">
        <v>296</v>
      </c>
      <c r="B181" s="3">
        <v>0</v>
      </c>
      <c r="C181" s="4">
        <v>267.69785827573997</v>
      </c>
      <c r="D181" s="3">
        <v>176.59846465800001</v>
      </c>
      <c r="E181">
        <v>296</v>
      </c>
      <c r="F181">
        <v>1.2</v>
      </c>
      <c r="G181">
        <v>2.8530377321951601</v>
      </c>
      <c r="M181">
        <v>296</v>
      </c>
      <c r="N181">
        <v>0</v>
      </c>
      <c r="O181">
        <v>219.73805484524999</v>
      </c>
    </row>
    <row r="182" spans="1:15" x14ac:dyDescent="0.25">
      <c r="A182" s="3">
        <v>296.10000000000002</v>
      </c>
      <c r="B182" s="3">
        <v>0</v>
      </c>
      <c r="C182" s="4">
        <v>266.74121227054002</v>
      </c>
      <c r="D182" s="3">
        <v>176.60716421769999</v>
      </c>
      <c r="E182">
        <v>296.10000000000002</v>
      </c>
      <c r="F182">
        <v>1.2</v>
      </c>
      <c r="G182">
        <v>2.8397697759987199</v>
      </c>
      <c r="M182">
        <v>296.10000000000002</v>
      </c>
      <c r="N182">
        <v>0</v>
      </c>
      <c r="O182">
        <v>219.51340279490901</v>
      </c>
    </row>
    <row r="183" spans="1:15" x14ac:dyDescent="0.25">
      <c r="A183" s="3">
        <v>296.2</v>
      </c>
      <c r="B183" s="3">
        <v>0</v>
      </c>
      <c r="C183" s="4">
        <v>265.79361627313</v>
      </c>
      <c r="D183" s="3">
        <v>176.6158639914</v>
      </c>
      <c r="E183">
        <v>296.2</v>
      </c>
      <c r="F183">
        <v>1.2</v>
      </c>
      <c r="G183">
        <v>2.8265018198022802</v>
      </c>
      <c r="M183">
        <v>296.2</v>
      </c>
      <c r="N183">
        <v>0</v>
      </c>
      <c r="O183">
        <v>219.28875074456801</v>
      </c>
    </row>
    <row r="184" spans="1:15" x14ac:dyDescent="0.25">
      <c r="A184" s="3">
        <v>296.3</v>
      </c>
      <c r="B184" s="3">
        <v>0</v>
      </c>
      <c r="C184" s="4">
        <v>264.85530040671</v>
      </c>
      <c r="D184" s="3">
        <v>176.6245603406</v>
      </c>
      <c r="E184">
        <v>296.3</v>
      </c>
      <c r="F184">
        <v>1.2</v>
      </c>
      <c r="G184">
        <v>2.8132338636058298</v>
      </c>
      <c r="M184">
        <v>296.3</v>
      </c>
      <c r="N184">
        <v>0</v>
      </c>
      <c r="O184">
        <v>219.064098694227</v>
      </c>
    </row>
    <row r="185" spans="1:15" x14ac:dyDescent="0.25">
      <c r="A185" s="3">
        <v>296.39999999999998</v>
      </c>
      <c r="B185" s="3">
        <v>0</v>
      </c>
      <c r="C185" s="4">
        <v>263.9264855724</v>
      </c>
      <c r="D185" s="3">
        <v>176.63325617379999</v>
      </c>
      <c r="E185">
        <v>296.39999999999998</v>
      </c>
      <c r="F185">
        <v>1.2</v>
      </c>
      <c r="G185">
        <v>2.7999659074093901</v>
      </c>
      <c r="M185">
        <v>296.39999999999998</v>
      </c>
      <c r="N185">
        <v>0</v>
      </c>
      <c r="O185">
        <v>218.83944664388599</v>
      </c>
    </row>
    <row r="186" spans="1:15" x14ac:dyDescent="0.25">
      <c r="A186" s="3">
        <v>296.5</v>
      </c>
      <c r="B186" s="3">
        <v>0</v>
      </c>
      <c r="C186" s="4">
        <v>263.00738312739003</v>
      </c>
      <c r="D186" s="3">
        <v>176.6419491044</v>
      </c>
      <c r="E186">
        <v>296.5</v>
      </c>
      <c r="F186">
        <v>1.2</v>
      </c>
      <c r="G186">
        <v>2.7866979512129402</v>
      </c>
      <c r="M186">
        <v>296.5</v>
      </c>
      <c r="N186">
        <v>0</v>
      </c>
      <c r="O186">
        <v>218.61479459354399</v>
      </c>
    </row>
    <row r="187" spans="1:15" x14ac:dyDescent="0.25">
      <c r="A187" s="3">
        <v>296.60000000000002</v>
      </c>
      <c r="B187" s="3">
        <v>0</v>
      </c>
      <c r="C187" s="4">
        <v>262.09819459929003</v>
      </c>
      <c r="D187" s="3">
        <v>176.65064151659999</v>
      </c>
      <c r="E187">
        <v>296.60000000000002</v>
      </c>
      <c r="F187">
        <v>1.2</v>
      </c>
      <c r="G187">
        <v>2.7734645202905499</v>
      </c>
      <c r="M187">
        <v>296.60000000000002</v>
      </c>
      <c r="N187">
        <v>0</v>
      </c>
      <c r="O187">
        <v>218.40882207777699</v>
      </c>
    </row>
    <row r="188" spans="1:15" x14ac:dyDescent="0.25">
      <c r="A188" s="3">
        <v>296.7</v>
      </c>
      <c r="B188" s="3">
        <v>0</v>
      </c>
      <c r="C188" s="4">
        <v>261.19911143644998</v>
      </c>
      <c r="D188" s="3">
        <v>176.65933114180001</v>
      </c>
      <c r="E188">
        <v>296.7</v>
      </c>
      <c r="F188">
        <v>1.2</v>
      </c>
      <c r="G188">
        <v>2.7602310893681699</v>
      </c>
      <c r="M188">
        <v>296.7</v>
      </c>
      <c r="N188">
        <v>0</v>
      </c>
      <c r="O188">
        <v>218.20284956200899</v>
      </c>
    </row>
    <row r="189" spans="1:15" x14ac:dyDescent="0.25">
      <c r="A189" s="3">
        <v>296.8</v>
      </c>
      <c r="B189" s="3">
        <v>0</v>
      </c>
      <c r="C189" s="4">
        <v>260.31031479362002</v>
      </c>
      <c r="D189" s="3">
        <v>176.6680195342</v>
      </c>
      <c r="E189">
        <v>296.8</v>
      </c>
      <c r="F189">
        <v>1.2</v>
      </c>
      <c r="G189">
        <v>2.7469976584457698</v>
      </c>
      <c r="M189">
        <v>296.8</v>
      </c>
      <c r="N189">
        <v>0</v>
      </c>
      <c r="O189">
        <v>217.996877046241</v>
      </c>
    </row>
    <row r="190" spans="1:15" x14ac:dyDescent="0.25">
      <c r="A190" s="3">
        <v>296.89999999999998</v>
      </c>
      <c r="B190" s="3">
        <v>0</v>
      </c>
      <c r="C190" s="4">
        <v>259.43197535255001</v>
      </c>
      <c r="D190" s="3">
        <v>176.67670617179999</v>
      </c>
      <c r="E190">
        <v>296.89999999999998</v>
      </c>
      <c r="F190">
        <v>1.2</v>
      </c>
      <c r="G190">
        <v>2.7337642275233902</v>
      </c>
      <c r="M190">
        <v>296.89999999999998</v>
      </c>
      <c r="N190">
        <v>0</v>
      </c>
      <c r="O190">
        <v>217.790904530473</v>
      </c>
    </row>
    <row r="191" spans="1:15" x14ac:dyDescent="0.25">
      <c r="A191" s="3">
        <v>297</v>
      </c>
      <c r="B191" s="3">
        <v>0</v>
      </c>
      <c r="C191" s="4">
        <v>258.56425317681999</v>
      </c>
      <c r="D191" s="3">
        <v>176.68539121090001</v>
      </c>
      <c r="E191">
        <v>297</v>
      </c>
      <c r="F191">
        <v>1.2</v>
      </c>
      <c r="G191">
        <v>2.7205307966009999</v>
      </c>
      <c r="M191">
        <v>297</v>
      </c>
      <c r="N191">
        <v>0</v>
      </c>
      <c r="O191">
        <v>217.584932014705</v>
      </c>
    </row>
    <row r="192" spans="1:15" x14ac:dyDescent="0.25">
      <c r="A192" s="3">
        <v>297.10000000000002</v>
      </c>
      <c r="B192" s="3">
        <v>0</v>
      </c>
      <c r="C192" s="4">
        <v>257.7072976</v>
      </c>
      <c r="D192" s="3">
        <v>176.69407403349999</v>
      </c>
      <c r="E192">
        <v>297.10000000000002</v>
      </c>
      <c r="F192">
        <v>1.2</v>
      </c>
      <c r="G192">
        <v>2.7073631939317</v>
      </c>
      <c r="M192">
        <v>297.10000000000002</v>
      </c>
      <c r="N192">
        <v>0</v>
      </c>
      <c r="O192">
        <v>217.39501040920501</v>
      </c>
    </row>
    <row r="193" spans="1:15" x14ac:dyDescent="0.25">
      <c r="A193" s="3">
        <v>297.2</v>
      </c>
      <c r="B193" s="3">
        <v>0</v>
      </c>
      <c r="C193" s="4">
        <v>256.86124714640999</v>
      </c>
      <c r="D193" s="3">
        <v>176.70275547450001</v>
      </c>
      <c r="E193">
        <v>297.2</v>
      </c>
      <c r="F193">
        <v>1.2</v>
      </c>
      <c r="G193">
        <v>2.6941955912624098</v>
      </c>
      <c r="M193">
        <v>297.2</v>
      </c>
      <c r="N193">
        <v>0</v>
      </c>
      <c r="O193">
        <v>217.205088803705</v>
      </c>
    </row>
    <row r="194" spans="1:15" x14ac:dyDescent="0.25">
      <c r="A194" s="3">
        <v>297.3</v>
      </c>
      <c r="B194" s="3">
        <v>0</v>
      </c>
      <c r="C194" s="4">
        <v>256.02622948332998</v>
      </c>
      <c r="D194" s="3">
        <v>176.71143525080001</v>
      </c>
      <c r="E194">
        <v>297.3</v>
      </c>
      <c r="F194">
        <v>1.2</v>
      </c>
      <c r="G194">
        <v>2.6810279885931099</v>
      </c>
      <c r="M194">
        <v>297.3</v>
      </c>
      <c r="N194">
        <v>0</v>
      </c>
      <c r="O194">
        <v>217.01516719820501</v>
      </c>
    </row>
    <row r="195" spans="1:15" x14ac:dyDescent="0.25">
      <c r="A195" s="3">
        <v>297.39999999999998</v>
      </c>
      <c r="B195" s="3">
        <v>0</v>
      </c>
      <c r="C195" s="4">
        <v>255.20236140371</v>
      </c>
      <c r="D195" s="3">
        <v>176.7201134508</v>
      </c>
      <c r="E195">
        <v>297.39999999999998</v>
      </c>
      <c r="F195">
        <v>1.2</v>
      </c>
      <c r="G195">
        <v>2.6678603859238201</v>
      </c>
      <c r="M195">
        <v>297.39999999999998</v>
      </c>
      <c r="N195">
        <v>0</v>
      </c>
      <c r="O195">
        <v>216.82524559270499</v>
      </c>
    </row>
    <row r="196" spans="1:15" x14ac:dyDescent="0.25">
      <c r="A196" s="3">
        <v>297.5</v>
      </c>
      <c r="B196" s="3">
        <v>0</v>
      </c>
      <c r="C196" s="4">
        <v>254.38974883824</v>
      </c>
      <c r="D196" s="3">
        <v>176.72878908440001</v>
      </c>
      <c r="E196">
        <v>297.5</v>
      </c>
      <c r="F196">
        <v>1.2</v>
      </c>
      <c r="G196">
        <v>2.6546927832545202</v>
      </c>
      <c r="M196">
        <v>297.5</v>
      </c>
      <c r="N196">
        <v>0</v>
      </c>
      <c r="O196">
        <v>216.635323987205</v>
      </c>
    </row>
    <row r="197" spans="1:15" x14ac:dyDescent="0.25">
      <c r="A197" s="3">
        <v>297.60000000000002</v>
      </c>
      <c r="B197" s="3">
        <v>0</v>
      </c>
      <c r="C197" s="4">
        <v>253.58848689536001</v>
      </c>
      <c r="D197" s="3">
        <v>176.73746364819999</v>
      </c>
      <c r="E197">
        <v>297.60000000000002</v>
      </c>
      <c r="F197">
        <v>1.2</v>
      </c>
      <c r="G197">
        <v>2.64161794394172</v>
      </c>
      <c r="M197">
        <v>297.60000000000002</v>
      </c>
      <c r="N197">
        <v>0</v>
      </c>
      <c r="O197">
        <v>216.45925884801801</v>
      </c>
    </row>
    <row r="198" spans="1:15" x14ac:dyDescent="0.25">
      <c r="A198" s="3">
        <v>297.7</v>
      </c>
      <c r="B198" s="3">
        <v>0</v>
      </c>
      <c r="C198" s="4">
        <v>252.79865992819001</v>
      </c>
      <c r="D198" s="3">
        <v>176.74613671520001</v>
      </c>
      <c r="E198">
        <v>297.7</v>
      </c>
      <c r="F198">
        <v>1.2</v>
      </c>
      <c r="G198">
        <v>2.6285431046289198</v>
      </c>
      <c r="M198">
        <v>297.7</v>
      </c>
      <c r="N198">
        <v>0</v>
      </c>
      <c r="O198">
        <v>216.28319370883199</v>
      </c>
    </row>
    <row r="199" spans="1:15" x14ac:dyDescent="0.25">
      <c r="A199" s="3">
        <v>297.8</v>
      </c>
      <c r="B199" s="3">
        <v>0</v>
      </c>
      <c r="C199" s="4">
        <v>252.02034162691999</v>
      </c>
      <c r="D199" s="3">
        <v>176.7548070844</v>
      </c>
      <c r="E199">
        <v>297.8</v>
      </c>
      <c r="F199">
        <v>1.2</v>
      </c>
      <c r="G199">
        <v>2.6154682653161201</v>
      </c>
      <c r="M199">
        <v>297.8</v>
      </c>
      <c r="N199">
        <v>0</v>
      </c>
      <c r="O199">
        <v>216.107128569645</v>
      </c>
    </row>
    <row r="200" spans="1:15" x14ac:dyDescent="0.25">
      <c r="A200" s="3">
        <v>297.89999999999998</v>
      </c>
      <c r="B200" s="3">
        <v>0</v>
      </c>
      <c r="C200" s="4">
        <v>251.25359513519001</v>
      </c>
      <c r="D200" s="3">
        <v>176.76347696030001</v>
      </c>
      <c r="E200">
        <v>297.89999999999998</v>
      </c>
      <c r="F200">
        <v>1.2</v>
      </c>
      <c r="G200">
        <v>2.6023934260033301</v>
      </c>
      <c r="M200">
        <v>297.89999999999998</v>
      </c>
      <c r="N200">
        <v>0</v>
      </c>
      <c r="O200">
        <v>215.93106343045801</v>
      </c>
    </row>
    <row r="201" spans="1:15" x14ac:dyDescent="0.25">
      <c r="A201" s="3">
        <v>298</v>
      </c>
      <c r="B201" s="3">
        <v>0</v>
      </c>
      <c r="C201" s="4">
        <v>250.49847318923</v>
      </c>
      <c r="D201" s="3">
        <v>176.7721445514</v>
      </c>
      <c r="E201">
        <v>298</v>
      </c>
      <c r="F201">
        <v>1.2</v>
      </c>
      <c r="G201">
        <v>2.5893185866905202</v>
      </c>
      <c r="M201">
        <v>298</v>
      </c>
      <c r="N201">
        <v>0</v>
      </c>
      <c r="O201">
        <v>215.75499829127199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Raw</vt:lpstr>
      <vt:lpstr>Data1</vt:lpstr>
      <vt:lpstr>Data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2018-10-01T12:47:11Z</dcterms:created>
  <dcterms:modified xsi:type="dcterms:W3CDTF">2018-10-02T16:47:37Z</dcterms:modified>
</cp:coreProperties>
</file>